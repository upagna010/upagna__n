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df1b0ef0a5d3a049/Videos/Pictures/Documents/Desktop/"/>
    </mc:Choice>
  </mc:AlternateContent>
  <xr:revisionPtr revIDLastSave="0" documentId="8_{6C2B1C13-FE48-4FD6-9762-EBBB2B5C05AE}" xr6:coauthVersionLast="47" xr6:coauthVersionMax="47" xr10:uidLastSave="{00000000-0000-0000-0000-000000000000}"/>
  <bookViews>
    <workbookView xWindow="-110" yWindow="-110" windowWidth="19420" windowHeight="10300" activeTab="2" xr2:uid="{00000000-000D-0000-FFFF-FFFF00000000}"/>
  </bookViews>
  <sheets>
    <sheet name="pivot" sheetId="13" r:id="rId1"/>
    <sheet name="Market_Basket_Data" sheetId="1" r:id="rId2"/>
    <sheet name="Dashboard" sheetId="15" r:id="rId3"/>
  </sheets>
  <definedNames>
    <definedName name="_xlnm._FilterDatabase" localSheetId="1" hidden="1">Market_Basket_Data!$G$1:$G$162</definedName>
    <definedName name="Slicer_Basket_Size">#N/A</definedName>
    <definedName name="Slicer_Category">#N/A</definedName>
    <definedName name="Slicer_Order_Date">#N/A</definedName>
    <definedName name="Slicer_Product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7" i="1" l="1"/>
  <c r="K8" i="1"/>
  <c r="B152" i="1"/>
  <c r="A152" i="1"/>
  <c r="K11" i="1"/>
  <c r="K93" i="1"/>
  <c r="K4"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96" i="1"/>
</calcChain>
</file>

<file path=xl/sharedStrings.xml><?xml version="1.0" encoding="utf-8"?>
<sst xmlns="http://schemas.openxmlformats.org/spreadsheetml/2006/main" count="1013" uniqueCount="370">
  <si>
    <t>Transaction_ID</t>
  </si>
  <si>
    <t>Customer_ID</t>
  </si>
  <si>
    <t>Order_Date</t>
  </si>
  <si>
    <t>Product_Name</t>
  </si>
  <si>
    <t>Category</t>
  </si>
  <si>
    <t>Quantity</t>
  </si>
  <si>
    <t>Unit_Price_USD</t>
  </si>
  <si>
    <t>Basket_Size</t>
  </si>
  <si>
    <t>Cross_Sell_Product</t>
  </si>
  <si>
    <t>TXN001</t>
  </si>
  <si>
    <t>CUST038</t>
  </si>
  <si>
    <t>01-01-2025</t>
  </si>
  <si>
    <t>Laptop</t>
  </si>
  <si>
    <t>Electronics</t>
  </si>
  <si>
    <t>Wireless Mouse</t>
  </si>
  <si>
    <t>TXN002</t>
  </si>
  <si>
    <t>CUST008</t>
  </si>
  <si>
    <t>02-01-2025</t>
  </si>
  <si>
    <t>Running Shoes</t>
  </si>
  <si>
    <t>Fashion</t>
  </si>
  <si>
    <t>Sports Socks</t>
  </si>
  <si>
    <t>TXN003</t>
  </si>
  <si>
    <t>CUST023</t>
  </si>
  <si>
    <t>03-01-2025</t>
  </si>
  <si>
    <t>Air Fryer</t>
  </si>
  <si>
    <t>Home Appliances</t>
  </si>
  <si>
    <t>Cooking Spray</t>
  </si>
  <si>
    <t>TXN004</t>
  </si>
  <si>
    <t>CUST033</t>
  </si>
  <si>
    <t>04-01-2025</t>
  </si>
  <si>
    <t>Coffee Maker</t>
  </si>
  <si>
    <t>Coffee Pods</t>
  </si>
  <si>
    <t>TXN005</t>
  </si>
  <si>
    <t>CUST019</t>
  </si>
  <si>
    <t>05-01-2025</t>
  </si>
  <si>
    <t>Backpack</t>
  </si>
  <si>
    <t>Water Bottle</t>
  </si>
  <si>
    <t>TXN006</t>
  </si>
  <si>
    <t>CUST057</t>
  </si>
  <si>
    <t>06-01-2025</t>
  </si>
  <si>
    <t>Smartphone</t>
  </si>
  <si>
    <t>Phone Case</t>
  </si>
  <si>
    <t>TXN007</t>
  </si>
  <si>
    <t>CUST050</t>
  </si>
  <si>
    <t>07-01-2025</t>
  </si>
  <si>
    <t>TXN008</t>
  </si>
  <si>
    <t>CUST060</t>
  </si>
  <si>
    <t>08-01-2025</t>
  </si>
  <si>
    <t>TXN009</t>
  </si>
  <si>
    <t>CUST035</t>
  </si>
  <si>
    <t>09-01-2025</t>
  </si>
  <si>
    <t>Tablet</t>
  </si>
  <si>
    <t>Tablet Cover</t>
  </si>
  <si>
    <t>TXN010</t>
  </si>
  <si>
    <t>CUST021</t>
  </si>
  <si>
    <t>10-01-2025</t>
  </si>
  <si>
    <t>Gaming Mouse</t>
  </si>
  <si>
    <t>Gaming Keyboard</t>
  </si>
  <si>
    <t>TXN011</t>
  </si>
  <si>
    <t>CUST056</t>
  </si>
  <si>
    <t>11-01-2025</t>
  </si>
  <si>
    <t>Headphones</t>
  </si>
  <si>
    <t>Bluetooth Speaker</t>
  </si>
  <si>
    <t>TXN012</t>
  </si>
  <si>
    <t>CUST040</t>
  </si>
  <si>
    <t>12-01-2025</t>
  </si>
  <si>
    <t>TXN013</t>
  </si>
  <si>
    <t>CUST028</t>
  </si>
  <si>
    <t>13-01-2025</t>
  </si>
  <si>
    <t>TXN014</t>
  </si>
  <si>
    <t>CUST058</t>
  </si>
  <si>
    <t>14-01-2025</t>
  </si>
  <si>
    <t>TXN015</t>
  </si>
  <si>
    <t>CUST054</t>
  </si>
  <si>
    <t>15-01-2025</t>
  </si>
  <si>
    <t>TXN016</t>
  </si>
  <si>
    <t>CUST032</t>
  </si>
  <si>
    <t>16-01-2025</t>
  </si>
  <si>
    <t>TXN017</t>
  </si>
  <si>
    <t>17-01-2025</t>
  </si>
  <si>
    <t>TXN018</t>
  </si>
  <si>
    <t>CUST034</t>
  </si>
  <si>
    <t>18-01-2025</t>
  </si>
  <si>
    <t>Smart Watch</t>
  </si>
  <si>
    <t>Watch Strap</t>
  </si>
  <si>
    <t>TXN019</t>
  </si>
  <si>
    <t>CUST002</t>
  </si>
  <si>
    <t>19-01-2025</t>
  </si>
  <si>
    <t>TXN020</t>
  </si>
  <si>
    <t>CUST036</t>
  </si>
  <si>
    <t>20-01-2025</t>
  </si>
  <si>
    <t>TXN021</t>
  </si>
  <si>
    <t>21-01-2025</t>
  </si>
  <si>
    <t>TXN022</t>
  </si>
  <si>
    <t>22-01-2025</t>
  </si>
  <si>
    <t>TXN023</t>
  </si>
  <si>
    <t>23-01-2025</t>
  </si>
  <si>
    <t>TXN024</t>
  </si>
  <si>
    <t>CUST046</t>
  </si>
  <si>
    <t>24-01-2025</t>
  </si>
  <si>
    <t>TXN025</t>
  </si>
  <si>
    <t>CUST024</t>
  </si>
  <si>
    <t>25-01-2025</t>
  </si>
  <si>
    <t>TXN026</t>
  </si>
  <si>
    <t>CUST048</t>
  </si>
  <si>
    <t>26-01-2025</t>
  </si>
  <si>
    <t>TXN027</t>
  </si>
  <si>
    <t>27-01-2025</t>
  </si>
  <si>
    <t>TXN028</t>
  </si>
  <si>
    <t>CUST061</t>
  </si>
  <si>
    <t>28-01-2025</t>
  </si>
  <si>
    <t>TXN029</t>
  </si>
  <si>
    <t>CUST043</t>
  </si>
  <si>
    <t>29-01-2025</t>
  </si>
  <si>
    <t>TXN030</t>
  </si>
  <si>
    <t>CUST074</t>
  </si>
  <si>
    <t>30-01-2025</t>
  </si>
  <si>
    <t>TXN031</t>
  </si>
  <si>
    <t>31-01-2025</t>
  </si>
  <si>
    <t>TXN032</t>
  </si>
  <si>
    <t>CUST045</t>
  </si>
  <si>
    <t>01-02-2025</t>
  </si>
  <si>
    <t>TXN033</t>
  </si>
  <si>
    <t>02-02-2025</t>
  </si>
  <si>
    <t>TXN034</t>
  </si>
  <si>
    <t>CUST049</t>
  </si>
  <si>
    <t>03-02-2025</t>
  </si>
  <si>
    <t>TXN035</t>
  </si>
  <si>
    <t>04-02-2025</t>
  </si>
  <si>
    <t>TXN036</t>
  </si>
  <si>
    <t>05-02-2025</t>
  </si>
  <si>
    <t>TXN037</t>
  </si>
  <si>
    <t>06-02-2025</t>
  </si>
  <si>
    <t>TXN038</t>
  </si>
  <si>
    <t>CUST068</t>
  </si>
  <si>
    <t>07-02-2025</t>
  </si>
  <si>
    <t>TXN039</t>
  </si>
  <si>
    <t>CUST020</t>
  </si>
  <si>
    <t>08-02-2025</t>
  </si>
  <si>
    <t>TXN040</t>
  </si>
  <si>
    <t>09-02-2025</t>
  </si>
  <si>
    <t>TXN041</t>
  </si>
  <si>
    <t>CUST062</t>
  </si>
  <si>
    <t>10-02-2025</t>
  </si>
  <si>
    <t>TXN042</t>
  </si>
  <si>
    <t>CUST059</t>
  </si>
  <si>
    <t>11-02-2025</t>
  </si>
  <si>
    <t>TXN043</t>
  </si>
  <si>
    <t>CUST066</t>
  </si>
  <si>
    <t>12-02-2025</t>
  </si>
  <si>
    <t>TXN044</t>
  </si>
  <si>
    <t>CUST015</t>
  </si>
  <si>
    <t>13-02-2025</t>
  </si>
  <si>
    <t>TXN045</t>
  </si>
  <si>
    <t>14-02-2025</t>
  </si>
  <si>
    <t>TXN046</t>
  </si>
  <si>
    <t>CUST064</t>
  </si>
  <si>
    <t>15-02-2025</t>
  </si>
  <si>
    <t>TXN047</t>
  </si>
  <si>
    <t>16-02-2025</t>
  </si>
  <si>
    <t>TXN048</t>
  </si>
  <si>
    <t>CUST005</t>
  </si>
  <si>
    <t>17-02-2025</t>
  </si>
  <si>
    <t>TXN049</t>
  </si>
  <si>
    <t>CUST027</t>
  </si>
  <si>
    <t>18-02-2025</t>
  </si>
  <si>
    <t>TXN050</t>
  </si>
  <si>
    <t>CUST052</t>
  </si>
  <si>
    <t>19-02-2025</t>
  </si>
  <si>
    <t>TXN051</t>
  </si>
  <si>
    <t>20-02-2025</t>
  </si>
  <si>
    <t>TXN052</t>
  </si>
  <si>
    <t>CUST010</t>
  </si>
  <si>
    <t>21-02-2025</t>
  </si>
  <si>
    <t>TXN053</t>
  </si>
  <si>
    <t>22-02-2025</t>
  </si>
  <si>
    <t>TXN054</t>
  </si>
  <si>
    <t>CUST072</t>
  </si>
  <si>
    <t>23-02-2025</t>
  </si>
  <si>
    <t>TXN055</t>
  </si>
  <si>
    <t>CUST017</t>
  </si>
  <si>
    <t>24-02-2025</t>
  </si>
  <si>
    <t>TXN056</t>
  </si>
  <si>
    <t>CUST029</t>
  </si>
  <si>
    <t>25-02-2025</t>
  </si>
  <si>
    <t>TXN057</t>
  </si>
  <si>
    <t>CUST031</t>
  </si>
  <si>
    <t>26-02-2025</t>
  </si>
  <si>
    <t>TXN058</t>
  </si>
  <si>
    <t>CUST051</t>
  </si>
  <si>
    <t>27-02-2025</t>
  </si>
  <si>
    <t>TXN059</t>
  </si>
  <si>
    <t>CUST039</t>
  </si>
  <si>
    <t>28-02-2025</t>
  </si>
  <si>
    <t>TXN060</t>
  </si>
  <si>
    <t>CUST014</t>
  </si>
  <si>
    <t>01-03-2025</t>
  </si>
  <si>
    <t>TXN061</t>
  </si>
  <si>
    <t>02-03-2025</t>
  </si>
  <si>
    <t>TXN062</t>
  </si>
  <si>
    <t>CUST063</t>
  </si>
  <si>
    <t>03-03-2025</t>
  </si>
  <si>
    <t>TXN063</t>
  </si>
  <si>
    <t>04-03-2025</t>
  </si>
  <si>
    <t>TXN064</t>
  </si>
  <si>
    <t>05-03-2025</t>
  </si>
  <si>
    <t>TXN065</t>
  </si>
  <si>
    <t>CUST037</t>
  </si>
  <si>
    <t>06-03-2025</t>
  </si>
  <si>
    <t>TXN066</t>
  </si>
  <si>
    <t>07-03-2025</t>
  </si>
  <si>
    <t>TXN067</t>
  </si>
  <si>
    <t>08-03-2025</t>
  </si>
  <si>
    <t>TXN068</t>
  </si>
  <si>
    <t>CUST069</t>
  </si>
  <si>
    <t>09-03-2025</t>
  </si>
  <si>
    <t>TXN069</t>
  </si>
  <si>
    <t>CUST018</t>
  </si>
  <si>
    <t>10-03-2025</t>
  </si>
  <si>
    <t>TXN070</t>
  </si>
  <si>
    <t>11-03-2025</t>
  </si>
  <si>
    <t>TXN071</t>
  </si>
  <si>
    <t>CUST065</t>
  </si>
  <si>
    <t>12-03-2025</t>
  </si>
  <si>
    <t>TXN072</t>
  </si>
  <si>
    <t>13-03-2025</t>
  </si>
  <si>
    <t>TXN073</t>
  </si>
  <si>
    <t>14-03-2025</t>
  </si>
  <si>
    <t>TXN074</t>
  </si>
  <si>
    <t>CUST016</t>
  </si>
  <si>
    <t>15-03-2025</t>
  </si>
  <si>
    <t>TXN075</t>
  </si>
  <si>
    <t>CUST001</t>
  </si>
  <si>
    <t>16-03-2025</t>
  </si>
  <si>
    <t>TXN076</t>
  </si>
  <si>
    <t>CUST004</t>
  </si>
  <si>
    <t>17-03-2025</t>
  </si>
  <si>
    <t>TXN077</t>
  </si>
  <si>
    <t>CUST073</t>
  </si>
  <si>
    <t>18-03-2025</t>
  </si>
  <si>
    <t>TXN078</t>
  </si>
  <si>
    <t>19-03-2025</t>
  </si>
  <si>
    <t>TXN079</t>
  </si>
  <si>
    <t>CUST007</t>
  </si>
  <si>
    <t>20-03-2025</t>
  </si>
  <si>
    <t>TXN080</t>
  </si>
  <si>
    <t>21-03-2025</t>
  </si>
  <si>
    <t>TXN081</t>
  </si>
  <si>
    <t>22-03-2025</t>
  </si>
  <si>
    <t>TXN082</t>
  </si>
  <si>
    <t>23-03-2025</t>
  </si>
  <si>
    <t>TXN083</t>
  </si>
  <si>
    <t>CUST009</t>
  </si>
  <si>
    <t>24-03-2025</t>
  </si>
  <si>
    <t>TXN084</t>
  </si>
  <si>
    <t>25-03-2025</t>
  </si>
  <si>
    <t>TXN085</t>
  </si>
  <si>
    <t>26-03-2025</t>
  </si>
  <si>
    <t>TXN086</t>
  </si>
  <si>
    <t>CUST067</t>
  </si>
  <si>
    <t>27-03-2025</t>
  </si>
  <si>
    <t>TXN087</t>
  </si>
  <si>
    <t>28-03-2025</t>
  </si>
  <si>
    <t>TXN088</t>
  </si>
  <si>
    <t>29-03-2025</t>
  </si>
  <si>
    <t>TXN089</t>
  </si>
  <si>
    <t>30-03-2025</t>
  </si>
  <si>
    <t>TXN090</t>
  </si>
  <si>
    <t>31-03-2025</t>
  </si>
  <si>
    <t>TXN091</t>
  </si>
  <si>
    <t>TXN092</t>
  </si>
  <si>
    <t>TXN093</t>
  </si>
  <si>
    <t>TXN094</t>
  </si>
  <si>
    <t>TXN095</t>
  </si>
  <si>
    <t>TXN096</t>
  </si>
  <si>
    <t>CUST075</t>
  </si>
  <si>
    <t>TXN097</t>
  </si>
  <si>
    <t>TXN098</t>
  </si>
  <si>
    <t>TXN099</t>
  </si>
  <si>
    <t>CUST070</t>
  </si>
  <si>
    <t>TXN100</t>
  </si>
  <si>
    <t>CUST053</t>
  </si>
  <si>
    <t>TXN101</t>
  </si>
  <si>
    <t>TXN102</t>
  </si>
  <si>
    <t>TXN103</t>
  </si>
  <si>
    <t>TXN104</t>
  </si>
  <si>
    <t>CUST055</t>
  </si>
  <si>
    <t>TXN105</t>
  </si>
  <si>
    <t>CUST041</t>
  </si>
  <si>
    <t>TXN106</t>
  </si>
  <si>
    <t>TXN107</t>
  </si>
  <si>
    <t>TXN108</t>
  </si>
  <si>
    <t>CUST011</t>
  </si>
  <si>
    <t>TXN109</t>
  </si>
  <si>
    <t>TXN110</t>
  </si>
  <si>
    <t>TXN111</t>
  </si>
  <si>
    <t>CUST013</t>
  </si>
  <si>
    <t>TXN112</t>
  </si>
  <si>
    <t>TXN113</t>
  </si>
  <si>
    <t>CUST012</t>
  </si>
  <si>
    <t>TXN114</t>
  </si>
  <si>
    <t>CUST003</t>
  </si>
  <si>
    <t>TXN115</t>
  </si>
  <si>
    <t>TXN116</t>
  </si>
  <si>
    <t>TXN117</t>
  </si>
  <si>
    <t>TXN118</t>
  </si>
  <si>
    <t>TXN119</t>
  </si>
  <si>
    <t>TXN120</t>
  </si>
  <si>
    <t>TXN121</t>
  </si>
  <si>
    <t>TXN122</t>
  </si>
  <si>
    <t>TXN123</t>
  </si>
  <si>
    <t>TXN124</t>
  </si>
  <si>
    <t>TXN125</t>
  </si>
  <si>
    <t>TXN126</t>
  </si>
  <si>
    <t>TXN127</t>
  </si>
  <si>
    <t>TXN128</t>
  </si>
  <si>
    <t>TXN129</t>
  </si>
  <si>
    <t>TXN130</t>
  </si>
  <si>
    <t>TXN131</t>
  </si>
  <si>
    <t>TXN132</t>
  </si>
  <si>
    <t>TXN133</t>
  </si>
  <si>
    <t>TXN134</t>
  </si>
  <si>
    <t>TXN135</t>
  </si>
  <si>
    <t>TXN136</t>
  </si>
  <si>
    <t>TXN137</t>
  </si>
  <si>
    <t>CUST026</t>
  </si>
  <si>
    <t>TXN138</t>
  </si>
  <si>
    <t>TXN139</t>
  </si>
  <si>
    <t>TXN140</t>
  </si>
  <si>
    <t>TXN141</t>
  </si>
  <si>
    <t>TXN142</t>
  </si>
  <si>
    <t>TXN143</t>
  </si>
  <si>
    <t>TXN144</t>
  </si>
  <si>
    <t>TXN145</t>
  </si>
  <si>
    <t>TXN146</t>
  </si>
  <si>
    <t>TXN147</t>
  </si>
  <si>
    <t>CUST047</t>
  </si>
  <si>
    <t>TXN148</t>
  </si>
  <si>
    <t>TXN149</t>
  </si>
  <si>
    <t>TXN150</t>
  </si>
  <si>
    <t>Total Revenue</t>
  </si>
  <si>
    <t>Row Labels</t>
  </si>
  <si>
    <t>Grand Total</t>
  </si>
  <si>
    <t>Count of Transaction_ID</t>
  </si>
  <si>
    <t>KPI</t>
  </si>
  <si>
    <t>Answer</t>
  </si>
  <si>
    <t>Total Transactions</t>
  </si>
  <si>
    <t>Unique Products</t>
  </si>
  <si>
    <t>Unique Categories</t>
  </si>
  <si>
    <r>
      <t>3</t>
    </r>
    <r>
      <rPr>
        <sz val="11"/>
        <color theme="1"/>
        <rFont val="Calibri"/>
        <family val="2"/>
        <scheme val="minor"/>
      </rPr>
      <t xml:space="preserve"> (Electronics, Fashion, Home Appliances)</t>
    </r>
  </si>
  <si>
    <t>Unique Cross-Sell Products</t>
  </si>
  <si>
    <t>Most Frequent Product</t>
  </si>
  <si>
    <t>Most Frequent Cross-Sell Product</t>
  </si>
  <si>
    <t>Top Product Category</t>
  </si>
  <si>
    <t>Count of Cross_Sell_Product</t>
  </si>
  <si>
    <t>Column Labels</t>
  </si>
  <si>
    <t>Count of Customer_ID</t>
  </si>
  <si>
    <t>Best Product Bundle</t>
  </si>
  <si>
    <t>Smartphone → Phone Case</t>
  </si>
  <si>
    <t>Top Cross-Sell Recommendation</t>
  </si>
  <si>
    <t>Total Product–Cross-Sell Bundles</t>
  </si>
  <si>
    <t>10 unique product bundles</t>
  </si>
  <si>
    <t xml:space="preserve"> </t>
  </si>
  <si>
    <t>TOTAL TRANSACTIONS</t>
  </si>
  <si>
    <t xml:space="preserve">                  TOTAL REVENUE</t>
  </si>
  <si>
    <t>AVERAGE BASKET SIZE</t>
  </si>
  <si>
    <t xml:space="preserve">                   3.3…</t>
  </si>
  <si>
    <t>TOTAL QUANTITY</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</si>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</sst>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00"/>
  </numFmts>
  <fonts count="8">
    <font>
      <sz val="11"/>
      <color theme="1"/>
      <name val="Calibri"/>
      <family val="2"/>
      <scheme val="minor"/>
    </font>
    <font>
      <b/>
      <sz val="11"/>
      <color theme="1"/>
      <name val="Calibri"/>
      <family val="2"/>
      <scheme val="minor"/>
    </font>
    <font>
      <sz val="10"/>
      <color theme="1"/>
      <name val="Arial Unicode MS"/>
    </font>
    <font>
      <b/>
      <sz val="28"/>
      <color theme="3" tint="-0.249977111117893"/>
      <name val="Arial Black"/>
      <family val="2"/>
    </font>
    <font>
      <sz val="11"/>
      <color theme="3" tint="-0.249977111117893"/>
      <name val="Calibri"/>
      <family val="2"/>
      <scheme val="minor"/>
    </font>
    <font>
      <b/>
      <sz val="14"/>
      <color theme="3" tint="-0.249977111117893"/>
      <name val="Calibri"/>
      <family val="2"/>
      <scheme val="minor"/>
    </font>
    <font>
      <b/>
      <sz val="16"/>
      <color theme="3" tint="-0.249977111117893"/>
      <name val="Calibri"/>
      <family val="2"/>
      <scheme val="minor"/>
    </font>
    <font>
      <b/>
      <sz val="11"/>
      <color theme="3" tint="-0.249977111117893"/>
      <name val="Calibri"/>
      <family val="2"/>
      <scheme val="minor"/>
    </font>
  </fonts>
  <fills count="5">
    <fill>
      <patternFill patternType="none"/>
    </fill>
    <fill>
      <patternFill patternType="gray125"/>
    </fill>
    <fill>
      <patternFill patternType="solid">
        <fgColor theme="0"/>
        <bgColor theme="0" tint="-0.14999847407452621"/>
      </patternFill>
    </fill>
    <fill>
      <patternFill patternType="solid">
        <fgColor theme="0"/>
        <bgColor indexed="64"/>
      </patternFill>
    </fill>
    <fill>
      <patternFill patternType="solid">
        <fgColor theme="0"/>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theme="0" tint="-0.249977111117893"/>
      </left>
      <right style="thin">
        <color theme="0" tint="-0.249977111117893"/>
      </right>
      <top/>
      <bottom/>
      <diagonal/>
    </border>
  </borders>
  <cellStyleXfs count="1">
    <xf numFmtId="0" fontId="0" fillId="0" borderId="0"/>
  </cellStyleXfs>
  <cellXfs count="26">
    <xf numFmtId="0" fontId="0" fillId="0" borderId="0" xfId="0"/>
    <xf numFmtId="0" fontId="2" fillId="0" borderId="0" xfId="0" applyFon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right"/>
    </xf>
    <xf numFmtId="0" fontId="1" fillId="0" borderId="0" xfId="0" applyFont="1" applyAlignment="1">
      <alignment horizontal="right"/>
    </xf>
    <xf numFmtId="0" fontId="1" fillId="0" borderId="0" xfId="0" applyFont="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vertical="center"/>
    </xf>
    <xf numFmtId="0" fontId="0" fillId="0" borderId="1" xfId="0" applyBorder="1"/>
    <xf numFmtId="166" fontId="1" fillId="0" borderId="0" xfId="0" applyNumberFormat="1" applyFont="1"/>
    <xf numFmtId="166" fontId="0" fillId="0" borderId="0" xfId="0" applyNumberFormat="1"/>
    <xf numFmtId="0" fontId="4" fillId="2" borderId="3" xfId="0" applyFont="1" applyFill="1" applyBorder="1"/>
    <xf numFmtId="0" fontId="3" fillId="3" borderId="0" xfId="0" applyFont="1" applyFill="1" applyAlignment="1">
      <alignment horizontal="center"/>
    </xf>
    <xf numFmtId="0" fontId="4" fillId="3" borderId="0" xfId="0" applyFont="1" applyFill="1" applyAlignment="1">
      <alignment horizontal="center"/>
    </xf>
    <xf numFmtId="0" fontId="4" fillId="3" borderId="0" xfId="0" applyFont="1" applyFill="1"/>
    <xf numFmtId="166" fontId="5" fillId="3" borderId="0" xfId="0" applyNumberFormat="1" applyFont="1" applyFill="1"/>
    <xf numFmtId="0" fontId="6" fillId="3" borderId="0" xfId="0" applyFont="1" applyFill="1" applyAlignment="1">
      <alignment horizontal="center"/>
    </xf>
    <xf numFmtId="0" fontId="6" fillId="3" borderId="0" xfId="0" applyFont="1" applyFill="1"/>
    <xf numFmtId="0" fontId="4" fillId="3" borderId="0" xfId="0" applyFont="1" applyFill="1"/>
    <xf numFmtId="0" fontId="6" fillId="3" borderId="0" xfId="0" applyFont="1" applyFill="1" applyAlignment="1"/>
    <xf numFmtId="0" fontId="7" fillId="4" borderId="2" xfId="0" applyFont="1" applyFill="1" applyBorder="1"/>
    <xf numFmtId="0" fontId="0" fillId="0" borderId="0" xfId="0" applyNumberFormat="1"/>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9" defaultPivotStyle="PivotStyleLight16"/>
  <colors>
    <mruColors>
      <color rgb="FFF8F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[Ecommerce_Market_Basket_Dashboard.xlsx]pivot!PivotTable11</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pivot!$A$4:$A$14</c:f>
              <c:strCache>
                <c:ptCount val="10"/>
                <c:pt idx="0">
                  <c:v>Tablet</c:v>
                </c:pt>
                <c:pt idx="1">
                  <c:v>Smartphone</c:v>
                </c:pt>
                <c:pt idx="2">
                  <c:v>Smart Watch</c:v>
                </c:pt>
                <c:pt idx="3">
                  <c:v>Running Shoes</c:v>
                </c:pt>
                <c:pt idx="4">
                  <c:v>Laptop</c:v>
                </c:pt>
                <c:pt idx="5">
                  <c:v>Headphones</c:v>
                </c:pt>
                <c:pt idx="6">
                  <c:v>Gaming Mouse</c:v>
                </c:pt>
                <c:pt idx="7">
                  <c:v>Coffee Maker</c:v>
                </c:pt>
                <c:pt idx="8">
                  <c:v>Backpack</c:v>
                </c:pt>
                <c:pt idx="9">
                  <c:v>Air Fryer</c:v>
                </c:pt>
              </c:strCache>
            </c:strRef>
          </c:cat>
          <c:val>
            <c:numRef>
              <c:f>pivot!$B$4:$B$14</c:f>
              <c:numCache>
                <c:formatCode>General</c:formatCode>
                <c:ptCount val="10"/>
                <c:pt idx="0">
                  <c:v>3</c:v>
                </c:pt>
                <c:pt idx="1">
                  <c:v>2</c:v>
                </c:pt>
                <c:pt idx="2">
                  <c:v>3</c:v>
                </c:pt>
                <c:pt idx="3">
                  <c:v>3</c:v>
                </c:pt>
                <c:pt idx="4">
                  <c:v>1</c:v>
                </c:pt>
                <c:pt idx="5">
                  <c:v>1</c:v>
                </c:pt>
                <c:pt idx="6">
                  <c:v>1</c:v>
                </c:pt>
                <c:pt idx="7">
                  <c:v>2</c:v>
                </c:pt>
                <c:pt idx="8">
                  <c:v>2</c:v>
                </c:pt>
                <c:pt idx="9">
                  <c:v>1</c:v>
                </c:pt>
              </c:numCache>
            </c:numRef>
          </c:val>
          <c:extLst>
            <c:ext xmlns:c16="http://schemas.microsoft.com/office/drawing/2014/chart" uri="{C3380CC4-5D6E-409C-BE32-E72D297353CC}">
              <c16:uniqueId val="{00000000-DAB6-44AB-B3DD-E1A2429333F9}"/>
            </c:ext>
          </c:extLst>
        </c:ser>
        <c:dLbls>
          <c:showLegendKey val="0"/>
          <c:showVal val="1"/>
          <c:showCatName val="0"/>
          <c:showSerName val="0"/>
          <c:showPercent val="0"/>
          <c:showBubbleSize val="0"/>
        </c:dLbls>
        <c:gapWidth val="150"/>
        <c:shape val="box"/>
        <c:axId val="149111200"/>
        <c:axId val="149103040"/>
        <c:axId val="0"/>
      </c:bar3DChart>
      <c:catAx>
        <c:axId val="14911120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3040"/>
        <c:crosses val="autoZero"/>
        <c:auto val="1"/>
        <c:lblAlgn val="ctr"/>
        <c:lblOffset val="100"/>
        <c:noMultiLvlLbl val="0"/>
      </c:catAx>
      <c:valAx>
        <c:axId val="149103040"/>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1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[Ecommerce_Market_Basket_Dashboard.xlsx]pivot!PivotTable13</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pivot!$B$26:$B$27</c:f>
              <c:strCache>
                <c:ptCount val="1"/>
                <c:pt idx="0">
                  <c:v>Bluetooth Speaker</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pivot!$A$28:$A$38</c:f>
              <c:strCache>
                <c:ptCount val="10"/>
                <c:pt idx="0">
                  <c:v>Air Fryer</c:v>
                </c:pt>
                <c:pt idx="1">
                  <c:v>Backpack</c:v>
                </c:pt>
                <c:pt idx="2">
                  <c:v>Coffee Maker</c:v>
                </c:pt>
                <c:pt idx="3">
                  <c:v>Gaming Mouse</c:v>
                </c:pt>
                <c:pt idx="4">
                  <c:v>Headphones</c:v>
                </c:pt>
                <c:pt idx="5">
                  <c:v>Laptop</c:v>
                </c:pt>
                <c:pt idx="6">
                  <c:v>Running Shoes</c:v>
                </c:pt>
                <c:pt idx="7">
                  <c:v>Smart Watch</c:v>
                </c:pt>
                <c:pt idx="8">
                  <c:v>Smartphone</c:v>
                </c:pt>
                <c:pt idx="9">
                  <c:v>Tablet</c:v>
                </c:pt>
              </c:strCache>
            </c:strRef>
          </c:cat>
          <c:val>
            <c:numRef>
              <c:f>pivot!$B$28:$B$38</c:f>
              <c:numCache>
                <c:formatCode>General</c:formatCode>
                <c:ptCount val="10"/>
                <c:pt idx="4">
                  <c:v>15</c:v>
                </c:pt>
              </c:numCache>
            </c:numRef>
          </c:val>
          <c:extLst>
            <c:ext xmlns:c16="http://schemas.microsoft.com/office/drawing/2014/chart" uri="{C3380CC4-5D6E-409C-BE32-E72D297353CC}">
              <c16:uniqueId val="{00000000-AF2F-4EEF-9196-A20A36724362}"/>
            </c:ext>
          </c:extLst>
        </c:ser>
        <c:ser>
          <c:idx val="1"/>
          <c:order val="1"/>
          <c:tx>
            <c:strRef>
              <c:f>pivot!$C$26:$C$27</c:f>
              <c:strCache>
                <c:ptCount val="1"/>
                <c:pt idx="0">
                  <c:v>Coffee Pods</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pivot!$A$28:$A$38</c:f>
              <c:strCache>
                <c:ptCount val="10"/>
                <c:pt idx="0">
                  <c:v>Air Fryer</c:v>
                </c:pt>
                <c:pt idx="1">
                  <c:v>Backpack</c:v>
                </c:pt>
                <c:pt idx="2">
                  <c:v>Coffee Maker</c:v>
                </c:pt>
                <c:pt idx="3">
                  <c:v>Gaming Mouse</c:v>
                </c:pt>
                <c:pt idx="4">
                  <c:v>Headphones</c:v>
                </c:pt>
                <c:pt idx="5">
                  <c:v>Laptop</c:v>
                </c:pt>
                <c:pt idx="6">
                  <c:v>Running Shoes</c:v>
                </c:pt>
                <c:pt idx="7">
                  <c:v>Smart Watch</c:v>
                </c:pt>
                <c:pt idx="8">
                  <c:v>Smartphone</c:v>
                </c:pt>
                <c:pt idx="9">
                  <c:v>Tablet</c:v>
                </c:pt>
              </c:strCache>
            </c:strRef>
          </c:cat>
          <c:val>
            <c:numRef>
              <c:f>pivot!$C$28:$C$38</c:f>
              <c:numCache>
                <c:formatCode>General</c:formatCode>
                <c:ptCount val="10"/>
                <c:pt idx="2">
                  <c:v>13</c:v>
                </c:pt>
              </c:numCache>
            </c:numRef>
          </c:val>
          <c:extLst>
            <c:ext xmlns:c16="http://schemas.microsoft.com/office/drawing/2014/chart" uri="{C3380CC4-5D6E-409C-BE32-E72D297353CC}">
              <c16:uniqueId val="{00000001-AF2F-4EEF-9196-A20A36724362}"/>
            </c:ext>
          </c:extLst>
        </c:ser>
        <c:ser>
          <c:idx val="2"/>
          <c:order val="2"/>
          <c:tx>
            <c:strRef>
              <c:f>pivot!$D$26:$D$27</c:f>
              <c:strCache>
                <c:ptCount val="1"/>
                <c:pt idx="0">
                  <c:v>Cooking Spray</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Ref>
              <c:f>pivot!$A$28:$A$38</c:f>
              <c:strCache>
                <c:ptCount val="10"/>
                <c:pt idx="0">
                  <c:v>Air Fryer</c:v>
                </c:pt>
                <c:pt idx="1">
                  <c:v>Backpack</c:v>
                </c:pt>
                <c:pt idx="2">
                  <c:v>Coffee Maker</c:v>
                </c:pt>
                <c:pt idx="3">
                  <c:v>Gaming Mouse</c:v>
                </c:pt>
                <c:pt idx="4">
                  <c:v>Headphones</c:v>
                </c:pt>
                <c:pt idx="5">
                  <c:v>Laptop</c:v>
                </c:pt>
                <c:pt idx="6">
                  <c:v>Running Shoes</c:v>
                </c:pt>
                <c:pt idx="7">
                  <c:v>Smart Watch</c:v>
                </c:pt>
                <c:pt idx="8">
                  <c:v>Smartphone</c:v>
                </c:pt>
                <c:pt idx="9">
                  <c:v>Tablet</c:v>
                </c:pt>
              </c:strCache>
            </c:strRef>
          </c:cat>
          <c:val>
            <c:numRef>
              <c:f>pivot!$D$28:$D$38</c:f>
              <c:numCache>
                <c:formatCode>General</c:formatCode>
                <c:ptCount val="10"/>
                <c:pt idx="0">
                  <c:v>8</c:v>
                </c:pt>
              </c:numCache>
            </c:numRef>
          </c:val>
          <c:extLst>
            <c:ext xmlns:c16="http://schemas.microsoft.com/office/drawing/2014/chart" uri="{C3380CC4-5D6E-409C-BE32-E72D297353CC}">
              <c16:uniqueId val="{00000002-AF2F-4EEF-9196-A20A36724362}"/>
            </c:ext>
          </c:extLst>
        </c:ser>
        <c:ser>
          <c:idx val="3"/>
          <c:order val="3"/>
          <c:tx>
            <c:strRef>
              <c:f>pivot!$E$26:$E$27</c:f>
              <c:strCache>
                <c:ptCount val="1"/>
                <c:pt idx="0">
                  <c:v>Gaming Keyboard</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pivot!$A$28:$A$38</c:f>
              <c:strCache>
                <c:ptCount val="10"/>
                <c:pt idx="0">
                  <c:v>Air Fryer</c:v>
                </c:pt>
                <c:pt idx="1">
                  <c:v>Backpack</c:v>
                </c:pt>
                <c:pt idx="2">
                  <c:v>Coffee Maker</c:v>
                </c:pt>
                <c:pt idx="3">
                  <c:v>Gaming Mouse</c:v>
                </c:pt>
                <c:pt idx="4">
                  <c:v>Headphones</c:v>
                </c:pt>
                <c:pt idx="5">
                  <c:v>Laptop</c:v>
                </c:pt>
                <c:pt idx="6">
                  <c:v>Running Shoes</c:v>
                </c:pt>
                <c:pt idx="7">
                  <c:v>Smart Watch</c:v>
                </c:pt>
                <c:pt idx="8">
                  <c:v>Smartphone</c:v>
                </c:pt>
                <c:pt idx="9">
                  <c:v>Tablet</c:v>
                </c:pt>
              </c:strCache>
            </c:strRef>
          </c:cat>
          <c:val>
            <c:numRef>
              <c:f>pivot!$E$28:$E$38</c:f>
              <c:numCache>
                <c:formatCode>General</c:formatCode>
                <c:ptCount val="10"/>
                <c:pt idx="3">
                  <c:v>16</c:v>
                </c:pt>
              </c:numCache>
            </c:numRef>
          </c:val>
          <c:extLst>
            <c:ext xmlns:c16="http://schemas.microsoft.com/office/drawing/2014/chart" uri="{C3380CC4-5D6E-409C-BE32-E72D297353CC}">
              <c16:uniqueId val="{00000003-AF2F-4EEF-9196-A20A36724362}"/>
            </c:ext>
          </c:extLst>
        </c:ser>
        <c:ser>
          <c:idx val="4"/>
          <c:order val="4"/>
          <c:tx>
            <c:strRef>
              <c:f>pivot!$F$26:$F$27</c:f>
              <c:strCache>
                <c:ptCount val="1"/>
                <c:pt idx="0">
                  <c:v>Phone Case</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Ref>
              <c:f>pivot!$A$28:$A$38</c:f>
              <c:strCache>
                <c:ptCount val="10"/>
                <c:pt idx="0">
                  <c:v>Air Fryer</c:v>
                </c:pt>
                <c:pt idx="1">
                  <c:v>Backpack</c:v>
                </c:pt>
                <c:pt idx="2">
                  <c:v>Coffee Maker</c:v>
                </c:pt>
                <c:pt idx="3">
                  <c:v>Gaming Mouse</c:v>
                </c:pt>
                <c:pt idx="4">
                  <c:v>Headphones</c:v>
                </c:pt>
                <c:pt idx="5">
                  <c:v>Laptop</c:v>
                </c:pt>
                <c:pt idx="6">
                  <c:v>Running Shoes</c:v>
                </c:pt>
                <c:pt idx="7">
                  <c:v>Smart Watch</c:v>
                </c:pt>
                <c:pt idx="8">
                  <c:v>Smartphone</c:v>
                </c:pt>
                <c:pt idx="9">
                  <c:v>Tablet</c:v>
                </c:pt>
              </c:strCache>
            </c:strRef>
          </c:cat>
          <c:val>
            <c:numRef>
              <c:f>pivot!$F$28:$F$38</c:f>
              <c:numCache>
                <c:formatCode>General</c:formatCode>
                <c:ptCount val="10"/>
                <c:pt idx="8">
                  <c:v>16</c:v>
                </c:pt>
              </c:numCache>
            </c:numRef>
          </c:val>
          <c:extLst>
            <c:ext xmlns:c16="http://schemas.microsoft.com/office/drawing/2014/chart" uri="{C3380CC4-5D6E-409C-BE32-E72D297353CC}">
              <c16:uniqueId val="{00000004-AF2F-4EEF-9196-A20A36724362}"/>
            </c:ext>
          </c:extLst>
        </c:ser>
        <c:ser>
          <c:idx val="5"/>
          <c:order val="5"/>
          <c:tx>
            <c:strRef>
              <c:f>pivot!$G$26:$G$27</c:f>
              <c:strCache>
                <c:ptCount val="1"/>
                <c:pt idx="0">
                  <c:v>Sports Socks</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pivot!$A$28:$A$38</c:f>
              <c:strCache>
                <c:ptCount val="10"/>
                <c:pt idx="0">
                  <c:v>Air Fryer</c:v>
                </c:pt>
                <c:pt idx="1">
                  <c:v>Backpack</c:v>
                </c:pt>
                <c:pt idx="2">
                  <c:v>Coffee Maker</c:v>
                </c:pt>
                <c:pt idx="3">
                  <c:v>Gaming Mouse</c:v>
                </c:pt>
                <c:pt idx="4">
                  <c:v>Headphones</c:v>
                </c:pt>
                <c:pt idx="5">
                  <c:v>Laptop</c:v>
                </c:pt>
                <c:pt idx="6">
                  <c:v>Running Shoes</c:v>
                </c:pt>
                <c:pt idx="7">
                  <c:v>Smart Watch</c:v>
                </c:pt>
                <c:pt idx="8">
                  <c:v>Smartphone</c:v>
                </c:pt>
                <c:pt idx="9">
                  <c:v>Tablet</c:v>
                </c:pt>
              </c:strCache>
            </c:strRef>
          </c:cat>
          <c:val>
            <c:numRef>
              <c:f>pivot!$G$28:$G$38</c:f>
              <c:numCache>
                <c:formatCode>General</c:formatCode>
                <c:ptCount val="10"/>
                <c:pt idx="6">
                  <c:v>18</c:v>
                </c:pt>
              </c:numCache>
            </c:numRef>
          </c:val>
          <c:extLst>
            <c:ext xmlns:c16="http://schemas.microsoft.com/office/drawing/2014/chart" uri="{C3380CC4-5D6E-409C-BE32-E72D297353CC}">
              <c16:uniqueId val="{00000005-AF2F-4EEF-9196-A20A36724362}"/>
            </c:ext>
          </c:extLst>
        </c:ser>
        <c:ser>
          <c:idx val="6"/>
          <c:order val="6"/>
          <c:tx>
            <c:strRef>
              <c:f>pivot!$H$26:$H$27</c:f>
              <c:strCache>
                <c:ptCount val="1"/>
                <c:pt idx="0">
                  <c:v>Tablet Cover</c:v>
                </c:pt>
              </c:strCache>
            </c:strRef>
          </c:tx>
          <c:spPr>
            <a:pattFill prst="ltDnDiag">
              <a:fgClr>
                <a:schemeClr val="accent1">
                  <a:lumMod val="60000"/>
                </a:schemeClr>
              </a:fgClr>
              <a:bgClr>
                <a:schemeClr val="accent1">
                  <a:lumMod val="60000"/>
                  <a:lumMod val="20000"/>
                  <a:lumOff val="80000"/>
                </a:schemeClr>
              </a:bgClr>
            </a:pattFill>
            <a:ln>
              <a:solidFill>
                <a:schemeClr val="accent1">
                  <a:lumMod val="60000"/>
                </a:schemeClr>
              </a:solidFill>
            </a:ln>
            <a:effectLst/>
            <a:sp3d>
              <a:contourClr>
                <a:schemeClr val="accent1">
                  <a:lumMod val="60000"/>
                </a:schemeClr>
              </a:contourClr>
            </a:sp3d>
          </c:spPr>
          <c:invertIfNegative val="0"/>
          <c:cat>
            <c:strRef>
              <c:f>pivot!$A$28:$A$38</c:f>
              <c:strCache>
                <c:ptCount val="10"/>
                <c:pt idx="0">
                  <c:v>Air Fryer</c:v>
                </c:pt>
                <c:pt idx="1">
                  <c:v>Backpack</c:v>
                </c:pt>
                <c:pt idx="2">
                  <c:v>Coffee Maker</c:v>
                </c:pt>
                <c:pt idx="3">
                  <c:v>Gaming Mouse</c:v>
                </c:pt>
                <c:pt idx="4">
                  <c:v>Headphones</c:v>
                </c:pt>
                <c:pt idx="5">
                  <c:v>Laptop</c:v>
                </c:pt>
                <c:pt idx="6">
                  <c:v>Running Shoes</c:v>
                </c:pt>
                <c:pt idx="7">
                  <c:v>Smart Watch</c:v>
                </c:pt>
                <c:pt idx="8">
                  <c:v>Smartphone</c:v>
                </c:pt>
                <c:pt idx="9">
                  <c:v>Tablet</c:v>
                </c:pt>
              </c:strCache>
            </c:strRef>
          </c:cat>
          <c:val>
            <c:numRef>
              <c:f>pivot!$H$28:$H$38</c:f>
              <c:numCache>
                <c:formatCode>General</c:formatCode>
                <c:ptCount val="10"/>
                <c:pt idx="9">
                  <c:v>22</c:v>
                </c:pt>
              </c:numCache>
            </c:numRef>
          </c:val>
          <c:extLst>
            <c:ext xmlns:c16="http://schemas.microsoft.com/office/drawing/2014/chart" uri="{C3380CC4-5D6E-409C-BE32-E72D297353CC}">
              <c16:uniqueId val="{00000006-AF2F-4EEF-9196-A20A36724362}"/>
            </c:ext>
          </c:extLst>
        </c:ser>
        <c:ser>
          <c:idx val="7"/>
          <c:order val="7"/>
          <c:tx>
            <c:strRef>
              <c:f>pivot!$I$26:$I$27</c:f>
              <c:strCache>
                <c:ptCount val="1"/>
                <c:pt idx="0">
                  <c:v>Watch Strap</c:v>
                </c:pt>
              </c:strCache>
            </c:strRef>
          </c:tx>
          <c:spPr>
            <a:pattFill prst="ltDnDiag">
              <a:fgClr>
                <a:schemeClr val="accent2">
                  <a:lumMod val="60000"/>
                </a:schemeClr>
              </a:fgClr>
              <a:bgClr>
                <a:schemeClr val="accent2">
                  <a:lumMod val="60000"/>
                  <a:lumMod val="20000"/>
                  <a:lumOff val="80000"/>
                </a:schemeClr>
              </a:bgClr>
            </a:pattFill>
            <a:ln>
              <a:solidFill>
                <a:schemeClr val="accent2">
                  <a:lumMod val="60000"/>
                </a:schemeClr>
              </a:solidFill>
            </a:ln>
            <a:effectLst/>
            <a:sp3d>
              <a:contourClr>
                <a:schemeClr val="accent2">
                  <a:lumMod val="60000"/>
                </a:schemeClr>
              </a:contourClr>
            </a:sp3d>
          </c:spPr>
          <c:invertIfNegative val="0"/>
          <c:cat>
            <c:strRef>
              <c:f>pivot!$A$28:$A$38</c:f>
              <c:strCache>
                <c:ptCount val="10"/>
                <c:pt idx="0">
                  <c:v>Air Fryer</c:v>
                </c:pt>
                <c:pt idx="1">
                  <c:v>Backpack</c:v>
                </c:pt>
                <c:pt idx="2">
                  <c:v>Coffee Maker</c:v>
                </c:pt>
                <c:pt idx="3">
                  <c:v>Gaming Mouse</c:v>
                </c:pt>
                <c:pt idx="4">
                  <c:v>Headphones</c:v>
                </c:pt>
                <c:pt idx="5">
                  <c:v>Laptop</c:v>
                </c:pt>
                <c:pt idx="6">
                  <c:v>Running Shoes</c:v>
                </c:pt>
                <c:pt idx="7">
                  <c:v>Smart Watch</c:v>
                </c:pt>
                <c:pt idx="8">
                  <c:v>Smartphone</c:v>
                </c:pt>
                <c:pt idx="9">
                  <c:v>Tablet</c:v>
                </c:pt>
              </c:strCache>
            </c:strRef>
          </c:cat>
          <c:val>
            <c:numRef>
              <c:f>pivot!$I$28:$I$38</c:f>
              <c:numCache>
                <c:formatCode>General</c:formatCode>
                <c:ptCount val="10"/>
                <c:pt idx="7">
                  <c:v>17</c:v>
                </c:pt>
              </c:numCache>
            </c:numRef>
          </c:val>
          <c:extLst>
            <c:ext xmlns:c16="http://schemas.microsoft.com/office/drawing/2014/chart" uri="{C3380CC4-5D6E-409C-BE32-E72D297353CC}">
              <c16:uniqueId val="{00000007-AF2F-4EEF-9196-A20A36724362}"/>
            </c:ext>
          </c:extLst>
        </c:ser>
        <c:ser>
          <c:idx val="8"/>
          <c:order val="8"/>
          <c:tx>
            <c:strRef>
              <c:f>pivot!$J$26:$J$27</c:f>
              <c:strCache>
                <c:ptCount val="1"/>
                <c:pt idx="0">
                  <c:v>Water Bottle</c:v>
                </c:pt>
              </c:strCache>
            </c:strRef>
          </c:tx>
          <c:spPr>
            <a:pattFill prst="ltDnDiag">
              <a:fgClr>
                <a:schemeClr val="accent3">
                  <a:lumMod val="60000"/>
                </a:schemeClr>
              </a:fgClr>
              <a:bgClr>
                <a:schemeClr val="accent3">
                  <a:lumMod val="60000"/>
                  <a:lumMod val="20000"/>
                  <a:lumOff val="80000"/>
                </a:schemeClr>
              </a:bgClr>
            </a:pattFill>
            <a:ln>
              <a:solidFill>
                <a:schemeClr val="accent3">
                  <a:lumMod val="60000"/>
                </a:schemeClr>
              </a:solidFill>
            </a:ln>
            <a:effectLst/>
            <a:sp3d>
              <a:contourClr>
                <a:schemeClr val="accent3">
                  <a:lumMod val="60000"/>
                </a:schemeClr>
              </a:contourClr>
            </a:sp3d>
          </c:spPr>
          <c:invertIfNegative val="0"/>
          <c:cat>
            <c:strRef>
              <c:f>pivot!$A$28:$A$38</c:f>
              <c:strCache>
                <c:ptCount val="10"/>
                <c:pt idx="0">
                  <c:v>Air Fryer</c:v>
                </c:pt>
                <c:pt idx="1">
                  <c:v>Backpack</c:v>
                </c:pt>
                <c:pt idx="2">
                  <c:v>Coffee Maker</c:v>
                </c:pt>
                <c:pt idx="3">
                  <c:v>Gaming Mouse</c:v>
                </c:pt>
                <c:pt idx="4">
                  <c:v>Headphones</c:v>
                </c:pt>
                <c:pt idx="5">
                  <c:v>Laptop</c:v>
                </c:pt>
                <c:pt idx="6">
                  <c:v>Running Shoes</c:v>
                </c:pt>
                <c:pt idx="7">
                  <c:v>Smart Watch</c:v>
                </c:pt>
                <c:pt idx="8">
                  <c:v>Smartphone</c:v>
                </c:pt>
                <c:pt idx="9">
                  <c:v>Tablet</c:v>
                </c:pt>
              </c:strCache>
            </c:strRef>
          </c:cat>
          <c:val>
            <c:numRef>
              <c:f>pivot!$J$28:$J$38</c:f>
              <c:numCache>
                <c:formatCode>General</c:formatCode>
                <c:ptCount val="10"/>
                <c:pt idx="1">
                  <c:v>12</c:v>
                </c:pt>
              </c:numCache>
            </c:numRef>
          </c:val>
          <c:extLst>
            <c:ext xmlns:c16="http://schemas.microsoft.com/office/drawing/2014/chart" uri="{C3380CC4-5D6E-409C-BE32-E72D297353CC}">
              <c16:uniqueId val="{00000008-AF2F-4EEF-9196-A20A36724362}"/>
            </c:ext>
          </c:extLst>
        </c:ser>
        <c:ser>
          <c:idx val="9"/>
          <c:order val="9"/>
          <c:tx>
            <c:strRef>
              <c:f>pivot!$K$26:$K$27</c:f>
              <c:strCache>
                <c:ptCount val="1"/>
                <c:pt idx="0">
                  <c:v>Wireless Mouse</c:v>
                </c:pt>
              </c:strCache>
            </c:strRef>
          </c:tx>
          <c:spPr>
            <a:pattFill prst="ltDnDiag">
              <a:fgClr>
                <a:schemeClr val="accent4">
                  <a:lumMod val="60000"/>
                </a:schemeClr>
              </a:fgClr>
              <a:bgClr>
                <a:schemeClr val="accent4">
                  <a:lumMod val="60000"/>
                  <a:lumMod val="20000"/>
                  <a:lumOff val="80000"/>
                </a:schemeClr>
              </a:bgClr>
            </a:pattFill>
            <a:ln>
              <a:solidFill>
                <a:schemeClr val="accent4">
                  <a:lumMod val="60000"/>
                </a:schemeClr>
              </a:solidFill>
            </a:ln>
            <a:effectLst/>
            <a:sp3d>
              <a:contourClr>
                <a:schemeClr val="accent4">
                  <a:lumMod val="60000"/>
                </a:schemeClr>
              </a:contourClr>
            </a:sp3d>
          </c:spPr>
          <c:invertIfNegative val="0"/>
          <c:cat>
            <c:strRef>
              <c:f>pivot!$A$28:$A$38</c:f>
              <c:strCache>
                <c:ptCount val="10"/>
                <c:pt idx="0">
                  <c:v>Air Fryer</c:v>
                </c:pt>
                <c:pt idx="1">
                  <c:v>Backpack</c:v>
                </c:pt>
                <c:pt idx="2">
                  <c:v>Coffee Maker</c:v>
                </c:pt>
                <c:pt idx="3">
                  <c:v>Gaming Mouse</c:v>
                </c:pt>
                <c:pt idx="4">
                  <c:v>Headphones</c:v>
                </c:pt>
                <c:pt idx="5">
                  <c:v>Laptop</c:v>
                </c:pt>
                <c:pt idx="6">
                  <c:v>Running Shoes</c:v>
                </c:pt>
                <c:pt idx="7">
                  <c:v>Smart Watch</c:v>
                </c:pt>
                <c:pt idx="8">
                  <c:v>Smartphone</c:v>
                </c:pt>
                <c:pt idx="9">
                  <c:v>Tablet</c:v>
                </c:pt>
              </c:strCache>
            </c:strRef>
          </c:cat>
          <c:val>
            <c:numRef>
              <c:f>pivot!$K$28:$K$38</c:f>
              <c:numCache>
                <c:formatCode>General</c:formatCode>
                <c:ptCount val="10"/>
                <c:pt idx="5">
                  <c:v>13</c:v>
                </c:pt>
              </c:numCache>
            </c:numRef>
          </c:val>
          <c:extLst>
            <c:ext xmlns:c16="http://schemas.microsoft.com/office/drawing/2014/chart" uri="{C3380CC4-5D6E-409C-BE32-E72D297353CC}">
              <c16:uniqueId val="{00000009-AF2F-4EEF-9196-A20A36724362}"/>
            </c:ext>
          </c:extLst>
        </c:ser>
        <c:dLbls>
          <c:showLegendKey val="0"/>
          <c:showVal val="0"/>
          <c:showCatName val="0"/>
          <c:showSerName val="0"/>
          <c:showPercent val="0"/>
          <c:showBubbleSize val="0"/>
        </c:dLbls>
        <c:gapWidth val="150"/>
        <c:shape val="box"/>
        <c:axId val="149169280"/>
        <c:axId val="149186080"/>
        <c:axId val="0"/>
      </c:bar3DChart>
      <c:catAx>
        <c:axId val="1491692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86080"/>
        <c:crosses val="autoZero"/>
        <c:auto val="1"/>
        <c:lblAlgn val="ctr"/>
        <c:lblOffset val="100"/>
        <c:noMultiLvlLbl val="0"/>
      </c:catAx>
      <c:valAx>
        <c:axId val="14918608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6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[Ecommerce_Market_Basket_Dashboard.xlsx]pivot!PivotTable14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3"/>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pivot!$B$40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2B1-4DBB-87CF-453C48E221F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B1-4DBB-87CF-453C48E221F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2B1-4DBB-87CF-453C48E221F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pivot!$A$41:$A$44</c:f>
              <c:strCache>
                <c:ptCount val="3"/>
                <c:pt idx="0">
                  <c:v>Electronics</c:v>
                </c:pt>
                <c:pt idx="1">
                  <c:v>Fashion</c:v>
                </c:pt>
                <c:pt idx="2">
                  <c:v>Home Appliances</c:v>
                </c:pt>
              </c:strCache>
            </c:strRef>
          </c:cat>
          <c:val>
            <c:numRef>
              <c:f>pivot!$B$41:$B$44</c:f>
              <c:numCache>
                <c:formatCode>General</c:formatCode>
                <c:ptCount val="3"/>
                <c:pt idx="0">
                  <c:v>99</c:v>
                </c:pt>
                <c:pt idx="1">
                  <c:v>30</c:v>
                </c:pt>
                <c:pt idx="2">
                  <c:v>21</c:v>
                </c:pt>
              </c:numCache>
            </c:numRef>
          </c:val>
          <c:extLst>
            <c:ext xmlns:c16="http://schemas.microsoft.com/office/drawing/2014/chart" uri="{C3380CC4-5D6E-409C-BE32-E72D297353CC}">
              <c16:uniqueId val="{00000006-E2B1-4DBB-87CF-453C48E221F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[Ecommerce_Market_Basket_Dashboard.xlsx]pivot!PivotTable12</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pivot!$B$17</c:f>
              <c:strCache>
                <c:ptCount val="1"/>
                <c:pt idx="0">
                  <c:v>Total</c:v>
                </c:pt>
              </c:strCache>
            </c:strRef>
          </c:tx>
          <c:spPr>
            <a:solidFill>
              <a:schemeClr val="accent1">
                <a:alpha val="70000"/>
              </a:schemeClr>
            </a:solidFill>
            <a:ln>
              <a:noFill/>
            </a:ln>
            <a:effectLst/>
          </c:spPr>
          <c:invertIfNegative val="0"/>
          <c:trendline>
            <c:spPr>
              <a:ln w="15875" cap="rnd">
                <a:solidFill>
                  <a:schemeClr val="accent1"/>
                </a:solidFill>
              </a:ln>
              <a:effectLst/>
            </c:spPr>
            <c:trendlineType val="linear"/>
            <c:dispRSqr val="0"/>
            <c:dispEq val="0"/>
          </c:trendline>
          <c:cat>
            <c:strRef>
              <c:f>pivot!$A$18:$A$23</c:f>
              <c:strCache>
                <c:ptCount val="5"/>
                <c:pt idx="0">
                  <c:v>Gaming Keyboard</c:v>
                </c:pt>
                <c:pt idx="1">
                  <c:v>Phone Case</c:v>
                </c:pt>
                <c:pt idx="2">
                  <c:v>Sports Socks</c:v>
                </c:pt>
                <c:pt idx="3">
                  <c:v>Tablet Cover</c:v>
                </c:pt>
                <c:pt idx="4">
                  <c:v>Watch Strap</c:v>
                </c:pt>
              </c:strCache>
            </c:strRef>
          </c:cat>
          <c:val>
            <c:numRef>
              <c:f>pivot!$B$18:$B$23</c:f>
              <c:numCache>
                <c:formatCode>General</c:formatCode>
                <c:ptCount val="5"/>
                <c:pt idx="0">
                  <c:v>16</c:v>
                </c:pt>
                <c:pt idx="1">
                  <c:v>16</c:v>
                </c:pt>
                <c:pt idx="2">
                  <c:v>18</c:v>
                </c:pt>
                <c:pt idx="3">
                  <c:v>22</c:v>
                </c:pt>
                <c:pt idx="4">
                  <c:v>17</c:v>
                </c:pt>
              </c:numCache>
            </c:numRef>
          </c:val>
          <c:extLst>
            <c:ext xmlns:c16="http://schemas.microsoft.com/office/drawing/2014/chart" uri="{C3380CC4-5D6E-409C-BE32-E72D297353CC}">
              <c16:uniqueId val="{00000000-162E-4B5A-9750-7D95402A1007}"/>
            </c:ext>
          </c:extLst>
        </c:ser>
        <c:dLbls>
          <c:showLegendKey val="0"/>
          <c:showVal val="0"/>
          <c:showCatName val="0"/>
          <c:showSerName val="0"/>
          <c:showPercent val="0"/>
          <c:showBubbleSize val="0"/>
        </c:dLbls>
        <c:gapWidth val="80"/>
        <c:overlap val="25"/>
        <c:axId val="374728319"/>
        <c:axId val="374725919"/>
      </c:barChart>
      <c:catAx>
        <c:axId val="37472831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374725919"/>
        <c:crosses val="autoZero"/>
        <c:auto val="1"/>
        <c:lblAlgn val="ctr"/>
        <c:lblOffset val="100"/>
        <c:noMultiLvlLbl val="0"/>
      </c:catAx>
      <c:valAx>
        <c:axId val="37472591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37472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9.svg"/><Relationship Id="rId18" Type="http://schemas.openxmlformats.org/officeDocument/2006/relationships/image" Target="../media/image14.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image" Target="../media/image2.svg"/><Relationship Id="rId16"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7.png"/><Relationship Id="rId5" Type="http://schemas.openxmlformats.org/officeDocument/2006/relationships/chart" Target="../charts/chart1.xml"/><Relationship Id="rId15" Type="http://schemas.openxmlformats.org/officeDocument/2006/relationships/image" Target="../media/image11.svg"/><Relationship Id="rId10" Type="http://schemas.openxmlformats.org/officeDocument/2006/relationships/image" Target="../media/image6.svg"/><Relationship Id="rId19" Type="http://schemas.openxmlformats.org/officeDocument/2006/relationships/image" Target="../media/image15.sv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7</xdr:col>
      <xdr:colOff>95250</xdr:colOff>
      <xdr:row>1</xdr:row>
      <xdr:rowOff>152400</xdr:rowOff>
    </xdr:from>
    <xdr:to>
      <xdr:col>9</xdr:col>
      <xdr:colOff>349250</xdr:colOff>
      <xdr:row>15</xdr:row>
      <xdr:rowOff>98425</xdr:rowOff>
    </xdr:to>
    <mc:AlternateContent xmlns:mc="http://schemas.openxmlformats.org/markup-compatibility/2006" xmlns:a14="http://schemas.microsoft.com/office/drawing/2010/main">
      <mc:Choice Requires="a14">
        <xdr:graphicFrame macro="">
          <xdr:nvGraphicFramePr>
            <xdr:cNvPr id="4" name="Order_Date">
              <a:extLst>
                <a:ext uri="{FF2B5EF4-FFF2-40B4-BE49-F238E27FC236}">
                  <a16:creationId xmlns:a16="http://schemas.microsoft.com/office/drawing/2014/main" id="{E9FC8D38-855F-763D-9B4D-8DFDCC33F375}"/>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6794500" y="336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774700</xdr:colOff>
      <xdr:row>4</xdr:row>
      <xdr:rowOff>146050</xdr:rowOff>
    </xdr:from>
    <xdr:to>
      <xdr:col>10</xdr:col>
      <xdr:colOff>215900</xdr:colOff>
      <xdr:row>18</xdr:row>
      <xdr:rowOff>92075</xdr:rowOff>
    </xdr:to>
    <mc:AlternateContent xmlns:mc="http://schemas.openxmlformats.org/markup-compatibility/2006" xmlns:a14="http://schemas.microsoft.com/office/drawing/2010/main">
      <mc:Choice Requires="a14">
        <xdr:graphicFrame macro="">
          <xdr:nvGraphicFramePr>
            <xdr:cNvPr id="5" name="Product_Name 1">
              <a:extLst>
                <a:ext uri="{FF2B5EF4-FFF2-40B4-BE49-F238E27FC236}">
                  <a16:creationId xmlns:a16="http://schemas.microsoft.com/office/drawing/2014/main" id="{46FB92A3-5B60-A04C-D13A-58009010C7E0}"/>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7473950" y="882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7</xdr:row>
      <xdr:rowOff>101600</xdr:rowOff>
    </xdr:from>
    <xdr:to>
      <xdr:col>10</xdr:col>
      <xdr:colOff>787400</xdr:colOff>
      <xdr:row>21</xdr:row>
      <xdr:rowOff>47625</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E5D5EC81-B703-EDA5-D68B-7469F67A6DA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045450" y="1390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425450</xdr:colOff>
      <xdr:row>10</xdr:row>
      <xdr:rowOff>63500</xdr:rowOff>
    </xdr:from>
    <xdr:to>
      <xdr:col>11</xdr:col>
      <xdr:colOff>450850</xdr:colOff>
      <xdr:row>24</xdr:row>
      <xdr:rowOff>9525</xdr:rowOff>
    </xdr:to>
    <mc:AlternateContent xmlns:mc="http://schemas.openxmlformats.org/markup-compatibility/2006" xmlns:a14="http://schemas.microsoft.com/office/drawing/2010/main">
      <mc:Choice Requires="a14">
        <xdr:graphicFrame macro="">
          <xdr:nvGraphicFramePr>
            <xdr:cNvPr id="7" name="Basket_Size">
              <a:extLst>
                <a:ext uri="{FF2B5EF4-FFF2-40B4-BE49-F238E27FC236}">
                  <a16:creationId xmlns:a16="http://schemas.microsoft.com/office/drawing/2014/main" id="{C6588386-D08B-A941-23DD-4617D9CCD513}"/>
                </a:ext>
              </a:extLst>
            </xdr:cNvPr>
            <xdr:cNvGraphicFramePr/>
          </xdr:nvGraphicFramePr>
          <xdr:xfrm>
            <a:off x="0" y="0"/>
            <a:ext cx="0" cy="0"/>
          </xdr:xfrm>
          <a:graphic>
            <a:graphicData uri="http://schemas.microsoft.com/office/drawing/2010/slicer">
              <sle:slicer xmlns:sle="http://schemas.microsoft.com/office/drawing/2010/slicer" name="Basket_Size"/>
            </a:graphicData>
          </a:graphic>
        </xdr:graphicFrame>
      </mc:Choice>
      <mc:Fallback xmlns="">
        <xdr:sp macro="" textlink="">
          <xdr:nvSpPr>
            <xdr:cNvPr id="0" name=""/>
            <xdr:cNvSpPr>
              <a:spLocks noTextEdit="1"/>
            </xdr:cNvSpPr>
          </xdr:nvSpPr>
          <xdr:spPr>
            <a:xfrm>
              <a:off x="8699500" y="1905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120650</xdr:colOff>
      <xdr:row>0</xdr:row>
      <xdr:rowOff>0</xdr:rowOff>
    </xdr:from>
    <xdr:to>
      <xdr:col>1</xdr:col>
      <xdr:colOff>171450</xdr:colOff>
      <xdr:row>3</xdr:row>
      <xdr:rowOff>31750</xdr:rowOff>
    </xdr:to>
    <xdr:pic>
      <xdr:nvPicPr>
        <xdr:cNvPr id="3" name="Graphic 2" descr="Shopping cart">
          <a:extLst>
            <a:ext uri="{FF2B5EF4-FFF2-40B4-BE49-F238E27FC236}">
              <a16:creationId xmlns:a16="http://schemas.microsoft.com/office/drawing/2014/main" id="{ACB84717-9093-C45E-8004-CB5F777889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0650" y="0"/>
          <a:ext cx="660400" cy="584200"/>
        </a:xfrm>
        <a:prstGeom prst="rect">
          <a:avLst/>
        </a:prstGeom>
      </xdr:spPr>
    </xdr:pic>
    <xdr:clientData/>
  </xdr:twoCellAnchor>
  <xdr:twoCellAnchor>
    <xdr:from>
      <xdr:col>0</xdr:col>
      <xdr:colOff>311150</xdr:colOff>
      <xdr:row>4</xdr:row>
      <xdr:rowOff>177800</xdr:rowOff>
    </xdr:from>
    <xdr:to>
      <xdr:col>3</xdr:col>
      <xdr:colOff>298450</xdr:colOff>
      <xdr:row>7</xdr:row>
      <xdr:rowOff>260350</xdr:rowOff>
    </xdr:to>
    <xdr:sp macro="" textlink="">
      <xdr:nvSpPr>
        <xdr:cNvPr id="4" name="TextBox 3">
          <a:extLst>
            <a:ext uri="{FF2B5EF4-FFF2-40B4-BE49-F238E27FC236}">
              <a16:creationId xmlns:a16="http://schemas.microsoft.com/office/drawing/2014/main" id="{35E1B2E1-BF10-D46B-0CC2-7DB94B1369B0}"/>
            </a:ext>
          </a:extLst>
        </xdr:cNvPr>
        <xdr:cNvSpPr txBox="1"/>
      </xdr:nvSpPr>
      <xdr:spPr>
        <a:xfrm>
          <a:off x="311150" y="914400"/>
          <a:ext cx="2254250" cy="8001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600" b="1">
              <a:solidFill>
                <a:srgbClr val="C00000"/>
              </a:solidFill>
            </a:rPr>
            <a:t>1,52,090</a:t>
          </a:r>
          <a:br>
            <a:rPr lang="en-IN" sz="1600" b="1"/>
          </a:br>
          <a:r>
            <a:rPr lang="en-IN" sz="1600" b="1"/>
            <a:t>             </a:t>
          </a:r>
          <a:r>
            <a:rPr lang="en-IN" sz="1400" b="1"/>
            <a:t>TOTAL</a:t>
          </a:r>
          <a:r>
            <a:rPr lang="en-IN" sz="1400" b="1" baseline="0"/>
            <a:t> REVENUE</a:t>
          </a:r>
          <a:endParaRPr lang="en-IN" sz="1400" b="1"/>
        </a:p>
      </xdr:txBody>
    </xdr:sp>
    <xdr:clientData/>
  </xdr:twoCellAnchor>
  <xdr:twoCellAnchor>
    <xdr:from>
      <xdr:col>3</xdr:col>
      <xdr:colOff>596900</xdr:colOff>
      <xdr:row>4</xdr:row>
      <xdr:rowOff>171450</xdr:rowOff>
    </xdr:from>
    <xdr:to>
      <xdr:col>7</xdr:col>
      <xdr:colOff>25400</xdr:colOff>
      <xdr:row>8</xdr:row>
      <xdr:rowOff>6350</xdr:rowOff>
    </xdr:to>
    <xdr:sp macro="" textlink="">
      <xdr:nvSpPr>
        <xdr:cNvPr id="5" name="TextBox 4">
          <a:extLst>
            <a:ext uri="{FF2B5EF4-FFF2-40B4-BE49-F238E27FC236}">
              <a16:creationId xmlns:a16="http://schemas.microsoft.com/office/drawing/2014/main" id="{9468705E-2455-40BF-1A09-48C86C19EFDB}"/>
            </a:ext>
          </a:extLst>
        </xdr:cNvPr>
        <xdr:cNvSpPr txBox="1"/>
      </xdr:nvSpPr>
      <xdr:spPr>
        <a:xfrm>
          <a:off x="2863850" y="908050"/>
          <a:ext cx="1866900" cy="8191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C00000"/>
              </a:solidFill>
            </a:rPr>
            <a:t>                  </a:t>
          </a:r>
          <a:r>
            <a:rPr lang="en-IN" sz="1800" b="1">
              <a:solidFill>
                <a:srgbClr val="C00000"/>
              </a:solidFill>
            </a:rPr>
            <a:t>150</a:t>
          </a:r>
          <a:br>
            <a:rPr lang="en-IN" sz="1400" b="1"/>
          </a:br>
          <a:r>
            <a:rPr lang="en-IN" sz="1400" b="1"/>
            <a:t>TOTAL</a:t>
          </a:r>
          <a:r>
            <a:rPr lang="en-IN" sz="1400" b="1" baseline="0"/>
            <a:t> TRANSACTIONS</a:t>
          </a:r>
          <a:br>
            <a:rPr lang="en-IN" sz="1600" b="1"/>
          </a:br>
          <a:br>
            <a:rPr lang="en-IN" sz="1400" b="1"/>
          </a:br>
          <a:endParaRPr lang="en-IN" sz="1400" b="1"/>
        </a:p>
      </xdr:txBody>
    </xdr:sp>
    <xdr:clientData/>
  </xdr:twoCellAnchor>
  <xdr:twoCellAnchor>
    <xdr:from>
      <xdr:col>7</xdr:col>
      <xdr:colOff>254000</xdr:colOff>
      <xdr:row>5</xdr:row>
      <xdr:rowOff>6350</xdr:rowOff>
    </xdr:from>
    <xdr:to>
      <xdr:col>11</xdr:col>
      <xdr:colOff>330200</xdr:colOff>
      <xdr:row>8</xdr:row>
      <xdr:rowOff>6350</xdr:rowOff>
    </xdr:to>
    <xdr:sp macro="" textlink="">
      <xdr:nvSpPr>
        <xdr:cNvPr id="6" name="TextBox 5">
          <a:extLst>
            <a:ext uri="{FF2B5EF4-FFF2-40B4-BE49-F238E27FC236}">
              <a16:creationId xmlns:a16="http://schemas.microsoft.com/office/drawing/2014/main" id="{60E59717-4887-CA5D-F64D-52BC19DEA4AB}"/>
            </a:ext>
          </a:extLst>
        </xdr:cNvPr>
        <xdr:cNvSpPr txBox="1"/>
      </xdr:nvSpPr>
      <xdr:spPr>
        <a:xfrm>
          <a:off x="4959350" y="927100"/>
          <a:ext cx="2514600" cy="8001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a:t>
          </a:r>
          <a:r>
            <a:rPr lang="en-IN" sz="1600" b="1">
              <a:solidFill>
                <a:srgbClr val="C00000"/>
              </a:solidFill>
            </a:rPr>
            <a:t>3.3...</a:t>
          </a:r>
          <a:br>
            <a:rPr lang="en-IN" sz="1400" b="1"/>
          </a:br>
          <a:r>
            <a:rPr lang="en-IN" sz="1400" b="1"/>
            <a:t>              AVERAGE BASKET SIZE</a:t>
          </a:r>
        </a:p>
      </xdr:txBody>
    </xdr:sp>
    <xdr:clientData/>
  </xdr:twoCellAnchor>
  <xdr:twoCellAnchor>
    <xdr:from>
      <xdr:col>11</xdr:col>
      <xdr:colOff>571500</xdr:colOff>
      <xdr:row>5</xdr:row>
      <xdr:rowOff>6350</xdr:rowOff>
    </xdr:from>
    <xdr:to>
      <xdr:col>14</xdr:col>
      <xdr:colOff>565150</xdr:colOff>
      <xdr:row>8</xdr:row>
      <xdr:rowOff>12700</xdr:rowOff>
    </xdr:to>
    <xdr:sp macro="" textlink="">
      <xdr:nvSpPr>
        <xdr:cNvPr id="7" name="TextBox 6">
          <a:extLst>
            <a:ext uri="{FF2B5EF4-FFF2-40B4-BE49-F238E27FC236}">
              <a16:creationId xmlns:a16="http://schemas.microsoft.com/office/drawing/2014/main" id="{E676179B-DA5B-2F9D-B6E7-982C70783A48}"/>
            </a:ext>
          </a:extLst>
        </xdr:cNvPr>
        <xdr:cNvSpPr txBox="1"/>
      </xdr:nvSpPr>
      <xdr:spPr>
        <a:xfrm>
          <a:off x="7715250" y="927100"/>
          <a:ext cx="1822450" cy="8064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                        </a:t>
          </a:r>
          <a:r>
            <a:rPr lang="en-IN" sz="1600" b="1">
              <a:solidFill>
                <a:srgbClr val="C00000"/>
              </a:solidFill>
            </a:rPr>
            <a:t>474</a:t>
          </a:r>
        </a:p>
        <a:p>
          <a:r>
            <a:rPr lang="en-IN" sz="1600" b="1"/>
            <a:t>TOTAL QUANTITY</a:t>
          </a:r>
          <a:endParaRPr lang="en-IN" sz="1100" b="1"/>
        </a:p>
      </xdr:txBody>
    </xdr:sp>
    <xdr:clientData/>
  </xdr:twoCellAnchor>
  <xdr:twoCellAnchor editAs="oneCell">
    <xdr:from>
      <xdr:col>7</xdr:col>
      <xdr:colOff>273050</xdr:colOff>
      <xdr:row>6</xdr:row>
      <xdr:rowOff>120650</xdr:rowOff>
    </xdr:from>
    <xdr:to>
      <xdr:col>8</xdr:col>
      <xdr:colOff>127000</xdr:colOff>
      <xdr:row>8</xdr:row>
      <xdr:rowOff>12700</xdr:rowOff>
    </xdr:to>
    <xdr:pic>
      <xdr:nvPicPr>
        <xdr:cNvPr id="9" name="Graphic 8" descr="Shopping basket">
          <a:extLst>
            <a:ext uri="{FF2B5EF4-FFF2-40B4-BE49-F238E27FC236}">
              <a16:creationId xmlns:a16="http://schemas.microsoft.com/office/drawing/2014/main" id="{FF90078F-D02E-6001-165A-3DC6321D24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78400" y="1308100"/>
          <a:ext cx="463550" cy="425450"/>
        </a:xfrm>
        <a:prstGeom prst="rect">
          <a:avLst/>
        </a:prstGeom>
      </xdr:spPr>
    </xdr:pic>
    <xdr:clientData/>
  </xdr:twoCellAnchor>
  <xdr:twoCellAnchor>
    <xdr:from>
      <xdr:col>0</xdr:col>
      <xdr:colOff>330200</xdr:colOff>
      <xdr:row>8</xdr:row>
      <xdr:rowOff>158750</xdr:rowOff>
    </xdr:from>
    <xdr:to>
      <xdr:col>7</xdr:col>
      <xdr:colOff>101600</xdr:colOff>
      <xdr:row>25</xdr:row>
      <xdr:rowOff>120650</xdr:rowOff>
    </xdr:to>
    <xdr:sp macro="" textlink="">
      <xdr:nvSpPr>
        <xdr:cNvPr id="11" name="TextBox 10">
          <a:extLst>
            <a:ext uri="{FF2B5EF4-FFF2-40B4-BE49-F238E27FC236}">
              <a16:creationId xmlns:a16="http://schemas.microsoft.com/office/drawing/2014/main" id="{CF1FEF0F-3C6B-D6E4-B474-58D2CAB216BF}"/>
            </a:ext>
          </a:extLst>
        </xdr:cNvPr>
        <xdr:cNvSpPr txBox="1"/>
      </xdr:nvSpPr>
      <xdr:spPr>
        <a:xfrm>
          <a:off x="330200" y="1879600"/>
          <a:ext cx="4476750" cy="309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panose="020B0604020202020204" pitchFamily="34" charset="0"/>
              <a:cs typeface="Arial" panose="020B0604020202020204" pitchFamily="34" charset="0"/>
            </a:rPr>
            <a:t>1.</a:t>
          </a:r>
          <a:r>
            <a:rPr lang="en-IN" sz="1400" b="1">
              <a:solidFill>
                <a:schemeClr val="tx1"/>
              </a:solidFill>
              <a:latin typeface="Arial" panose="020B0604020202020204" pitchFamily="34" charset="0"/>
              <a:cs typeface="Arial" panose="020B0604020202020204" pitchFamily="34" charset="0"/>
            </a:rPr>
            <a:t>FREQUENT</a:t>
          </a:r>
          <a:r>
            <a:rPr lang="en-IN" sz="1400" b="1" baseline="0">
              <a:solidFill>
                <a:schemeClr val="tx1"/>
              </a:solidFill>
              <a:latin typeface="Arial" panose="020B0604020202020204" pitchFamily="34" charset="0"/>
              <a:cs typeface="Arial" panose="020B0604020202020204" pitchFamily="34" charset="0"/>
            </a:rPr>
            <a:t> PRODUCT BROUGHT</a:t>
          </a:r>
          <a:endParaRPr lang="en-IN" sz="1400" b="1">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431800</xdr:colOff>
      <xdr:row>12</xdr:row>
      <xdr:rowOff>50800</xdr:rowOff>
    </xdr:from>
    <xdr:to>
      <xdr:col>6</xdr:col>
      <xdr:colOff>546100</xdr:colOff>
      <xdr:row>24</xdr:row>
      <xdr:rowOff>165100</xdr:rowOff>
    </xdr:to>
    <xdr:graphicFrame macro="">
      <xdr:nvGraphicFramePr>
        <xdr:cNvPr id="12" name="Chart 11">
          <a:extLst>
            <a:ext uri="{FF2B5EF4-FFF2-40B4-BE49-F238E27FC236}">
              <a16:creationId xmlns:a16="http://schemas.microsoft.com/office/drawing/2014/main" id="{FFDED911-5076-41A7-A147-989DA60CF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292100</xdr:colOff>
      <xdr:row>8</xdr:row>
      <xdr:rowOff>171450</xdr:rowOff>
    </xdr:from>
    <xdr:to>
      <xdr:col>14</xdr:col>
      <xdr:colOff>603250</xdr:colOff>
      <xdr:row>25</xdr:row>
      <xdr:rowOff>120650</xdr:rowOff>
    </xdr:to>
    <xdr:sp macro="" textlink="">
      <xdr:nvSpPr>
        <xdr:cNvPr id="16" name="TextBox 15">
          <a:extLst>
            <a:ext uri="{FF2B5EF4-FFF2-40B4-BE49-F238E27FC236}">
              <a16:creationId xmlns:a16="http://schemas.microsoft.com/office/drawing/2014/main" id="{1AF16FCA-AA32-2C33-B50E-AA28848DF370}"/>
            </a:ext>
          </a:extLst>
        </xdr:cNvPr>
        <xdr:cNvSpPr txBox="1"/>
      </xdr:nvSpPr>
      <xdr:spPr>
        <a:xfrm>
          <a:off x="4997450" y="1892300"/>
          <a:ext cx="4578350" cy="307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2.BEST PRODUCT BUNDLES</a:t>
          </a:r>
        </a:p>
      </xdr:txBody>
    </xdr:sp>
    <xdr:clientData/>
  </xdr:twoCellAnchor>
  <xdr:twoCellAnchor>
    <xdr:from>
      <xdr:col>7</xdr:col>
      <xdr:colOff>361950</xdr:colOff>
      <xdr:row>12</xdr:row>
      <xdr:rowOff>50800</xdr:rowOff>
    </xdr:from>
    <xdr:to>
      <xdr:col>14</xdr:col>
      <xdr:colOff>514350</xdr:colOff>
      <xdr:row>25</xdr:row>
      <xdr:rowOff>0</xdr:rowOff>
    </xdr:to>
    <xdr:graphicFrame macro="">
      <xdr:nvGraphicFramePr>
        <xdr:cNvPr id="17" name="Chart 16">
          <a:extLst>
            <a:ext uri="{FF2B5EF4-FFF2-40B4-BE49-F238E27FC236}">
              <a16:creationId xmlns:a16="http://schemas.microsoft.com/office/drawing/2014/main" id="{DAD7A02C-E7DC-4CC8-A7F7-A8BB71212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323850</xdr:colOff>
      <xdr:row>25</xdr:row>
      <xdr:rowOff>165100</xdr:rowOff>
    </xdr:from>
    <xdr:to>
      <xdr:col>7</xdr:col>
      <xdr:colOff>101600</xdr:colOff>
      <xdr:row>42</xdr:row>
      <xdr:rowOff>158750</xdr:rowOff>
    </xdr:to>
    <xdr:sp macro="" textlink="">
      <xdr:nvSpPr>
        <xdr:cNvPr id="18" name="TextBox 17">
          <a:extLst>
            <a:ext uri="{FF2B5EF4-FFF2-40B4-BE49-F238E27FC236}">
              <a16:creationId xmlns:a16="http://schemas.microsoft.com/office/drawing/2014/main" id="{C588BC4D-F010-74AC-7CC5-5776590D31F1}"/>
            </a:ext>
          </a:extLst>
        </xdr:cNvPr>
        <xdr:cNvSpPr txBox="1"/>
      </xdr:nvSpPr>
      <xdr:spPr>
        <a:xfrm>
          <a:off x="323850" y="5016500"/>
          <a:ext cx="4483100" cy="3124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600" b="1"/>
            <a:t>3.</a:t>
          </a:r>
          <a:r>
            <a:rPr lang="en-IN" sz="1600" b="1" i="0" baseline="0">
              <a:solidFill>
                <a:schemeClr val="dk1"/>
              </a:solidFill>
              <a:effectLst/>
              <a:latin typeface="+mn-lt"/>
              <a:ea typeface="+mn-ea"/>
              <a:cs typeface="+mn-cs"/>
            </a:rPr>
            <a:t>CATEGORY - WISE CROSS-SELL OPPORTUNITIES</a:t>
          </a:r>
          <a:endParaRPr lang="en-IN" b="1">
            <a:effectLst/>
          </a:endParaRPr>
        </a:p>
        <a:p>
          <a:endParaRPr lang="en-IN" sz="1400"/>
        </a:p>
      </xdr:txBody>
    </xdr:sp>
    <xdr:clientData/>
  </xdr:twoCellAnchor>
  <xdr:twoCellAnchor>
    <xdr:from>
      <xdr:col>0</xdr:col>
      <xdr:colOff>400050</xdr:colOff>
      <xdr:row>29</xdr:row>
      <xdr:rowOff>57150</xdr:rowOff>
    </xdr:from>
    <xdr:to>
      <xdr:col>6</xdr:col>
      <xdr:colOff>571500</xdr:colOff>
      <xdr:row>42</xdr:row>
      <xdr:rowOff>63500</xdr:rowOff>
    </xdr:to>
    <xdr:graphicFrame macro="">
      <xdr:nvGraphicFramePr>
        <xdr:cNvPr id="19" name="Chart 18">
          <a:extLst>
            <a:ext uri="{FF2B5EF4-FFF2-40B4-BE49-F238E27FC236}">
              <a16:creationId xmlns:a16="http://schemas.microsoft.com/office/drawing/2014/main" id="{A2BC7B01-E34B-4FD3-8836-743B47091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292100</xdr:colOff>
      <xdr:row>25</xdr:row>
      <xdr:rowOff>158750</xdr:rowOff>
    </xdr:from>
    <xdr:to>
      <xdr:col>15</xdr:col>
      <xdr:colOff>6350</xdr:colOff>
      <xdr:row>42</xdr:row>
      <xdr:rowOff>152400</xdr:rowOff>
    </xdr:to>
    <xdr:sp macro="" textlink="">
      <xdr:nvSpPr>
        <xdr:cNvPr id="20" name="TextBox 19">
          <a:extLst>
            <a:ext uri="{FF2B5EF4-FFF2-40B4-BE49-F238E27FC236}">
              <a16:creationId xmlns:a16="http://schemas.microsoft.com/office/drawing/2014/main" id="{71425FC6-7899-4019-6DDA-9B588D0278AF}"/>
            </a:ext>
          </a:extLst>
        </xdr:cNvPr>
        <xdr:cNvSpPr txBox="1"/>
      </xdr:nvSpPr>
      <xdr:spPr>
        <a:xfrm>
          <a:off x="4997450" y="5010150"/>
          <a:ext cx="4591050" cy="3124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400" b="1"/>
            <a:t>4.</a:t>
          </a:r>
          <a:r>
            <a:rPr lang="en-US" sz="1400" b="1" i="0" baseline="0">
              <a:solidFill>
                <a:schemeClr val="dk1"/>
              </a:solidFill>
              <a:effectLst/>
              <a:latin typeface="+mn-lt"/>
              <a:ea typeface="+mn-ea"/>
              <a:cs typeface="+mn-cs"/>
            </a:rPr>
            <a:t>CROSS - SELL RECOMMENDATIONS</a:t>
          </a:r>
          <a:endParaRPr lang="en-IN" sz="1400" b="1">
            <a:effectLst/>
          </a:endParaRPr>
        </a:p>
        <a:p>
          <a:endParaRPr lang="en-IN" sz="1100"/>
        </a:p>
      </xdr:txBody>
    </xdr:sp>
    <xdr:clientData/>
  </xdr:twoCellAnchor>
  <xdr:twoCellAnchor>
    <xdr:from>
      <xdr:col>7</xdr:col>
      <xdr:colOff>393700</xdr:colOff>
      <xdr:row>29</xdr:row>
      <xdr:rowOff>6350</xdr:rowOff>
    </xdr:from>
    <xdr:to>
      <xdr:col>14</xdr:col>
      <xdr:colOff>488950</xdr:colOff>
      <xdr:row>42</xdr:row>
      <xdr:rowOff>12700</xdr:rowOff>
    </xdr:to>
    <xdr:graphicFrame macro="">
      <xdr:nvGraphicFramePr>
        <xdr:cNvPr id="21" name="Chart 20">
          <a:extLst>
            <a:ext uri="{FF2B5EF4-FFF2-40B4-BE49-F238E27FC236}">
              <a16:creationId xmlns:a16="http://schemas.microsoft.com/office/drawing/2014/main" id="{9A281632-8138-4DEB-A099-7097A3B52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63500</xdr:colOff>
      <xdr:row>5</xdr:row>
      <xdr:rowOff>19050</xdr:rowOff>
    </xdr:from>
    <xdr:to>
      <xdr:col>20</xdr:col>
      <xdr:colOff>57150</xdr:colOff>
      <xdr:row>25</xdr:row>
      <xdr:rowOff>88900</xdr:rowOff>
    </xdr:to>
    <xdr:sp macro="" textlink="">
      <xdr:nvSpPr>
        <xdr:cNvPr id="25" name="TextBox 24">
          <a:extLst>
            <a:ext uri="{FF2B5EF4-FFF2-40B4-BE49-F238E27FC236}">
              <a16:creationId xmlns:a16="http://schemas.microsoft.com/office/drawing/2014/main" id="{C9F41D5C-0543-A4D1-985A-2EB6F3A83266}"/>
            </a:ext>
          </a:extLst>
        </xdr:cNvPr>
        <xdr:cNvSpPr txBox="1"/>
      </xdr:nvSpPr>
      <xdr:spPr>
        <a:xfrm>
          <a:off x="9645650" y="939800"/>
          <a:ext cx="3041650" cy="40005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
          <a:r>
            <a:rPr lang="en-IN" sz="1100"/>
            <a:t>T                                                                           </a:t>
          </a:r>
          <a:r>
            <a:rPr lang="en-IN" sz="1100" b="1" i="0" u="none" strike="noStrike">
              <a:solidFill>
                <a:schemeClr val="dk1"/>
              </a:solidFill>
              <a:effectLst/>
              <a:latin typeface="+mn-lt"/>
              <a:ea typeface="+mn-ea"/>
              <a:cs typeface="+mn-cs"/>
            </a:rPr>
            <a:t>1</a:t>
          </a:r>
          <a:r>
            <a:rPr lang="en-IN">
              <a:effectLst/>
            </a:rPr>
            <a:t> </a:t>
          </a:r>
          <a:r>
            <a:rPr lang="en-IN" sz="1100" b="1" i="0" u="none" strike="noStrike">
              <a:solidFill>
                <a:schemeClr val="dk1"/>
              </a:solidFill>
              <a:effectLst/>
              <a:latin typeface="+mn-lt"/>
              <a:ea typeface="+mn-ea"/>
              <a:cs typeface="+mn-cs"/>
            </a:rPr>
            <a:t>Electronics products dominate customer purchases.</a:t>
          </a:r>
          <a:r>
            <a:rPr lang="en-IN">
              <a:effectLst/>
            </a:rPr>
            <a:t> </a:t>
          </a:r>
          <a:endParaRPr lang="en-IN" sz="1100" b="0" i="0" u="none" strike="noStrike">
            <a:solidFill>
              <a:schemeClr val="dk1"/>
            </a:solidFill>
            <a:effectLst/>
            <a:latin typeface="+mn-lt"/>
            <a:ea typeface="+mn-ea"/>
            <a:cs typeface="+mn-cs"/>
          </a:endParaRPr>
        </a:p>
        <a:p>
          <a:pPr fontAlgn="b"/>
          <a:r>
            <a:rPr lang="en-IN" sz="1100" b="0" i="0" u="none" strike="noStrike">
              <a:solidFill>
                <a:schemeClr val="dk1"/>
              </a:solidFill>
              <a:effectLst/>
              <a:latin typeface="+mn-lt"/>
              <a:ea typeface="+mn-ea"/>
              <a:cs typeface="+mn-cs"/>
            </a:rPr>
            <a:t>  </a:t>
          </a:r>
        </a:p>
        <a:p>
          <a:r>
            <a:rPr lang="en-IN" sz="1100" b="0" i="0" u="none" strike="noStrike">
              <a:solidFill>
                <a:schemeClr val="dk1"/>
              </a:solidFill>
              <a:effectLst/>
              <a:latin typeface="+mn-lt"/>
              <a:ea typeface="+mn-ea"/>
              <a:cs typeface="+mn-cs"/>
            </a:rPr>
            <a:t> </a:t>
          </a:r>
          <a:r>
            <a:rPr lang="en-IN">
              <a:effectLst/>
            </a:rPr>
            <a:t> </a:t>
          </a:r>
          <a:r>
            <a:rPr lang="en-IN" sz="1600" b="0" i="0" u="none" strike="noStrike">
              <a:solidFill>
                <a:schemeClr val="dk1"/>
              </a:solidFill>
              <a:effectLst/>
              <a:latin typeface="+mn-lt"/>
              <a:ea typeface="+mn-ea"/>
              <a:cs typeface="+mn-cs"/>
            </a:rPr>
            <a:t>1.Electronics</a:t>
          </a:r>
          <a:r>
            <a:rPr lang="en-IN" sz="1600" b="0" i="0" u="none" strike="noStrike" baseline="0">
              <a:solidFill>
                <a:schemeClr val="dk1"/>
              </a:solidFill>
              <a:effectLst/>
              <a:latin typeface="+mn-lt"/>
              <a:ea typeface="+mn-ea"/>
              <a:cs typeface="+mn-cs"/>
            </a:rPr>
            <a:t> Products dominate  Customer Purchase</a:t>
          </a:r>
          <a:br>
            <a:rPr lang="en-IN" sz="1600" b="0" i="0" u="none" strike="noStrike" baseline="0">
              <a:solidFill>
                <a:schemeClr val="dk1"/>
              </a:solidFill>
              <a:effectLst/>
              <a:latin typeface="+mn-lt"/>
              <a:ea typeface="+mn-ea"/>
              <a:cs typeface="+mn-cs"/>
            </a:rPr>
          </a:br>
          <a:r>
            <a:rPr lang="en-IN" sz="1600" b="0" i="0" u="none" strike="noStrike" baseline="0">
              <a:solidFill>
                <a:schemeClr val="dk1"/>
              </a:solidFill>
              <a:effectLst/>
              <a:latin typeface="+mn-lt"/>
              <a:ea typeface="+mn-ea"/>
              <a:cs typeface="+mn-cs"/>
            </a:rPr>
            <a:t>  2.</a:t>
          </a:r>
          <a:r>
            <a:rPr lang="en-IN" sz="1600" b="0" i="0" u="none" strike="noStrike">
              <a:solidFill>
                <a:schemeClr val="dk1"/>
              </a:solidFill>
              <a:effectLst/>
              <a:latin typeface="+mn-lt"/>
              <a:ea typeface="+mn-ea"/>
              <a:cs typeface="+mn-cs"/>
            </a:rPr>
            <a:t>Phone Case is the most recommended cross-sell product.</a:t>
          </a:r>
          <a:r>
            <a:rPr lang="en-IN" sz="1600" b="0">
              <a:effectLst/>
            </a:rPr>
            <a:t> </a:t>
          </a:r>
          <a:br>
            <a:rPr lang="en-IN" sz="1600" b="0">
              <a:effectLst/>
            </a:rPr>
          </a:br>
          <a:r>
            <a:rPr lang="en-IN" sz="1600" b="0">
              <a:effectLst/>
            </a:rPr>
            <a:t>   3.</a:t>
          </a:r>
          <a:r>
            <a:rPr lang="en-IN" sz="1600" b="0" i="0" u="none" strike="noStrike">
              <a:solidFill>
                <a:schemeClr val="dk1"/>
              </a:solidFill>
              <a:effectLst/>
              <a:latin typeface="+mn-lt"/>
              <a:ea typeface="+mn-ea"/>
              <a:cs typeface="+mn-cs"/>
            </a:rPr>
            <a:t>Smartphone and Phone Case form one of the strongest product bundles.</a:t>
          </a:r>
          <a:r>
            <a:rPr lang="en-IN" sz="1600" b="0">
              <a:effectLst/>
            </a:rPr>
            <a:t> </a:t>
          </a:r>
          <a:br>
            <a:rPr lang="en-IN" sz="1600" b="0">
              <a:effectLst/>
            </a:rPr>
          </a:br>
          <a:r>
            <a:rPr lang="en-IN" sz="1600" b="0">
              <a:effectLst/>
            </a:rPr>
            <a:t>   4.</a:t>
          </a:r>
          <a:r>
            <a:rPr lang="en-IN" sz="1600" b="0" i="0" u="none" strike="noStrike">
              <a:solidFill>
                <a:schemeClr val="dk1"/>
              </a:solidFill>
              <a:effectLst/>
              <a:latin typeface="+mn-lt"/>
              <a:ea typeface="+mn-ea"/>
              <a:cs typeface="+mn-cs"/>
            </a:rPr>
            <a:t>Cross-selling can significantly improve basket size.</a:t>
          </a:r>
          <a:r>
            <a:rPr lang="en-IN" sz="1600" b="0">
              <a:effectLst/>
            </a:rPr>
            <a:t> </a:t>
          </a:r>
          <a:br>
            <a:rPr lang="en-IN" sz="1600" b="0" i="0" u="none" strike="noStrike" baseline="0">
              <a:solidFill>
                <a:schemeClr val="dk1"/>
              </a:solidFill>
              <a:effectLst/>
              <a:latin typeface="+mn-lt"/>
              <a:ea typeface="+mn-ea"/>
              <a:cs typeface="+mn-cs"/>
            </a:rPr>
          </a:br>
          <a:r>
            <a:rPr lang="en-IN" sz="1600" b="0" i="0" u="none" strike="noStrike" baseline="0">
              <a:solidFill>
                <a:schemeClr val="dk1"/>
              </a:solidFill>
              <a:effectLst/>
              <a:latin typeface="+mn-lt"/>
              <a:ea typeface="+mn-ea"/>
              <a:cs typeface="+mn-cs"/>
            </a:rPr>
            <a:t>   5.</a:t>
          </a:r>
          <a:r>
            <a:rPr lang="en-IN" sz="1600" b="0" i="0" u="none" strike="noStrike">
              <a:solidFill>
                <a:schemeClr val="dk1"/>
              </a:solidFill>
              <a:effectLst/>
              <a:latin typeface="+mn-lt"/>
              <a:ea typeface="+mn-ea"/>
              <a:cs typeface="+mn-cs"/>
            </a:rPr>
            <a:t>Market Basket Analysis highlights opportunities for targeted promotions</a:t>
          </a:r>
          <a:r>
            <a:rPr lang="en-IN" sz="1600" b="1" i="0" u="none" strike="noStrike">
              <a:solidFill>
                <a:schemeClr val="dk1"/>
              </a:solidFill>
              <a:effectLst/>
              <a:latin typeface="+mn-lt"/>
              <a:ea typeface="+mn-ea"/>
              <a:cs typeface="+mn-cs"/>
            </a:rPr>
            <a:t>.</a:t>
          </a:r>
          <a:r>
            <a:rPr lang="en-IN" sz="1600">
              <a:effectLst/>
            </a:rPr>
            <a:t> </a:t>
          </a:r>
          <a:r>
            <a:rPr lang="en-IN" sz="1600" b="0" i="0" u="none" strike="noStrike" baseline="0">
              <a:solidFill>
                <a:schemeClr val="dk1"/>
              </a:solidFill>
              <a:effectLst/>
              <a:latin typeface="+mn-lt"/>
              <a:ea typeface="+mn-ea"/>
              <a:cs typeface="+mn-cs"/>
            </a:rPr>
            <a:t>   </a:t>
          </a:r>
          <a:endParaRPr lang="en-IN" sz="1600" b="0"/>
        </a:p>
      </xdr:txBody>
    </xdr:sp>
    <xdr:clientData/>
  </xdr:twoCellAnchor>
  <xdr:twoCellAnchor>
    <xdr:from>
      <xdr:col>15</xdr:col>
      <xdr:colOff>165100</xdr:colOff>
      <xdr:row>5</xdr:row>
      <xdr:rowOff>95250</xdr:rowOff>
    </xdr:from>
    <xdr:to>
      <xdr:col>19</xdr:col>
      <xdr:colOff>596900</xdr:colOff>
      <xdr:row>7</xdr:row>
      <xdr:rowOff>82550</xdr:rowOff>
    </xdr:to>
    <xdr:sp macro="" textlink="">
      <xdr:nvSpPr>
        <xdr:cNvPr id="26" name="Rectangle: Rounded Corners 25">
          <a:extLst>
            <a:ext uri="{FF2B5EF4-FFF2-40B4-BE49-F238E27FC236}">
              <a16:creationId xmlns:a16="http://schemas.microsoft.com/office/drawing/2014/main" id="{1A70D182-4EAE-BDF1-047D-C437CBA3C130}"/>
            </a:ext>
          </a:extLst>
        </xdr:cNvPr>
        <xdr:cNvSpPr/>
      </xdr:nvSpPr>
      <xdr:spPr>
        <a:xfrm>
          <a:off x="9747250" y="1016000"/>
          <a:ext cx="2870200" cy="520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TOP - 5 INSIGHTS</a:t>
          </a:r>
        </a:p>
      </xdr:txBody>
    </xdr:sp>
    <xdr:clientData/>
  </xdr:twoCellAnchor>
  <xdr:twoCellAnchor editAs="oneCell">
    <xdr:from>
      <xdr:col>18</xdr:col>
      <xdr:colOff>527050</xdr:colOff>
      <xdr:row>5</xdr:row>
      <xdr:rowOff>133350</xdr:rowOff>
    </xdr:from>
    <xdr:to>
      <xdr:col>19</xdr:col>
      <xdr:colOff>457200</xdr:colOff>
      <xdr:row>7</xdr:row>
      <xdr:rowOff>44450</xdr:rowOff>
    </xdr:to>
    <xdr:pic>
      <xdr:nvPicPr>
        <xdr:cNvPr id="28" name="Graphic 27" descr="Lightbulb">
          <a:extLst>
            <a:ext uri="{FF2B5EF4-FFF2-40B4-BE49-F238E27FC236}">
              <a16:creationId xmlns:a16="http://schemas.microsoft.com/office/drawing/2014/main" id="{F496CD55-3DC7-209A-5FA2-312B244CCEE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938000" y="1054100"/>
          <a:ext cx="539750" cy="444500"/>
        </a:xfrm>
        <a:prstGeom prst="rect">
          <a:avLst/>
        </a:prstGeom>
      </xdr:spPr>
    </xdr:pic>
    <xdr:clientData/>
  </xdr:twoCellAnchor>
  <xdr:twoCellAnchor>
    <xdr:from>
      <xdr:col>15</xdr:col>
      <xdr:colOff>88900</xdr:colOff>
      <xdr:row>26</xdr:row>
      <xdr:rowOff>6350</xdr:rowOff>
    </xdr:from>
    <xdr:to>
      <xdr:col>20</xdr:col>
      <xdr:colOff>95250</xdr:colOff>
      <xdr:row>40</xdr:row>
      <xdr:rowOff>38100</xdr:rowOff>
    </xdr:to>
    <xdr:sp macro="" textlink="">
      <xdr:nvSpPr>
        <xdr:cNvPr id="29" name="TextBox 28">
          <a:extLst>
            <a:ext uri="{FF2B5EF4-FFF2-40B4-BE49-F238E27FC236}">
              <a16:creationId xmlns:a16="http://schemas.microsoft.com/office/drawing/2014/main" id="{C7D4E60E-3F9B-F306-417B-CA5EACEA5E8C}"/>
            </a:ext>
          </a:extLst>
        </xdr:cNvPr>
        <xdr:cNvSpPr txBox="1"/>
      </xdr:nvSpPr>
      <xdr:spPr>
        <a:xfrm>
          <a:off x="9671050" y="5041900"/>
          <a:ext cx="3054350" cy="26098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br>
            <a:rPr lang="en-IN" sz="1100"/>
          </a:br>
          <a:endParaRPr lang="en-IN" sz="1100"/>
        </a:p>
        <a:p>
          <a:endParaRPr lang="en-IN" sz="1100"/>
        </a:p>
        <a:p>
          <a:r>
            <a:rPr lang="en-IN" sz="1600" b="0" i="0" u="none" strike="noStrike">
              <a:solidFill>
                <a:schemeClr val="dk1"/>
              </a:solidFill>
              <a:effectLst/>
              <a:latin typeface="+mn-lt"/>
              <a:ea typeface="+mn-ea"/>
              <a:cs typeface="+mn-cs"/>
            </a:rPr>
            <a:t>1.</a:t>
          </a:r>
          <a:r>
            <a:rPr lang="en-IN" sz="1600" b="0">
              <a:effectLst/>
            </a:rPr>
            <a:t> </a:t>
          </a:r>
          <a:r>
            <a:rPr lang="en-IN" sz="1600" b="0" i="0" u="none" strike="noStrike">
              <a:solidFill>
                <a:schemeClr val="dk1"/>
              </a:solidFill>
              <a:effectLst/>
              <a:latin typeface="+mn-lt"/>
              <a:ea typeface="+mn-ea"/>
              <a:cs typeface="+mn-cs"/>
            </a:rPr>
            <a:t>Create Product Bundles</a:t>
          </a:r>
          <a:r>
            <a:rPr lang="en-IN" sz="1600" b="0">
              <a:effectLst/>
            </a:rPr>
            <a:t> </a:t>
          </a:r>
          <a:br>
            <a:rPr lang="en-IN" sz="1600" b="0">
              <a:effectLst/>
            </a:rPr>
          </a:br>
          <a:r>
            <a:rPr lang="en-IN" sz="1600" b="0">
              <a:effectLst/>
            </a:rPr>
            <a:t>2.</a:t>
          </a:r>
          <a:r>
            <a:rPr lang="en-IN" sz="1600" b="0" i="0" u="none" strike="noStrike">
              <a:solidFill>
                <a:schemeClr val="dk1"/>
              </a:solidFill>
              <a:effectLst/>
              <a:latin typeface="+mn-lt"/>
              <a:ea typeface="+mn-ea"/>
              <a:cs typeface="+mn-cs"/>
            </a:rPr>
            <a:t>Implement Cross-Selling Strategies</a:t>
          </a:r>
          <a:r>
            <a:rPr lang="en-IN" sz="1600" b="0">
              <a:effectLst/>
            </a:rPr>
            <a:t> </a:t>
          </a:r>
          <a:br>
            <a:rPr lang="en-IN" sz="1600" b="0">
              <a:effectLst/>
            </a:rPr>
          </a:br>
          <a:r>
            <a:rPr lang="en-IN" sz="1600" b="0">
              <a:effectLst/>
            </a:rPr>
            <a:t>3.</a:t>
          </a:r>
          <a:r>
            <a:rPr lang="en-IN" sz="1600" b="0" i="0" u="none" strike="noStrike">
              <a:solidFill>
                <a:schemeClr val="dk1"/>
              </a:solidFill>
              <a:effectLst/>
              <a:latin typeface="+mn-lt"/>
              <a:ea typeface="+mn-ea"/>
              <a:cs typeface="+mn-cs"/>
            </a:rPr>
            <a:t>Prioritize High-Demand Products</a:t>
          </a:r>
          <a:r>
            <a:rPr lang="en-IN" sz="1600" b="0">
              <a:effectLst/>
            </a:rPr>
            <a:t> 4.</a:t>
          </a:r>
          <a:r>
            <a:rPr lang="en-IN" sz="1600" b="0" i="0" u="none" strike="noStrike">
              <a:solidFill>
                <a:schemeClr val="dk1"/>
              </a:solidFill>
              <a:effectLst/>
              <a:latin typeface="+mn-lt"/>
              <a:ea typeface="+mn-ea"/>
              <a:cs typeface="+mn-cs"/>
            </a:rPr>
            <a:t>Run Targeted Promotional Campaigns</a:t>
          </a:r>
          <a:r>
            <a:rPr lang="en-IN" sz="1600" b="0">
              <a:effectLst/>
            </a:rPr>
            <a:t> </a:t>
          </a:r>
          <a:br>
            <a:rPr lang="en-IN" sz="1600" b="0">
              <a:effectLst/>
            </a:rPr>
          </a:br>
          <a:r>
            <a:rPr lang="en-IN" sz="1600" b="0">
              <a:effectLst/>
            </a:rPr>
            <a:t>5.</a:t>
          </a:r>
          <a:r>
            <a:rPr lang="en-IN" sz="1600" b="0" i="0" u="none" strike="noStrike">
              <a:solidFill>
                <a:schemeClr val="dk1"/>
              </a:solidFill>
              <a:effectLst/>
              <a:latin typeface="+mn-lt"/>
              <a:ea typeface="+mn-ea"/>
              <a:cs typeface="+mn-cs"/>
            </a:rPr>
            <a:t>Improve Product Placement</a:t>
          </a:r>
          <a:r>
            <a:rPr lang="en-IN" sz="1600" b="0">
              <a:effectLst/>
            </a:rPr>
            <a:t> </a:t>
          </a:r>
          <a:endParaRPr lang="en-IN" sz="1600" b="0"/>
        </a:p>
      </xdr:txBody>
    </xdr:sp>
    <xdr:clientData/>
  </xdr:twoCellAnchor>
  <xdr:twoCellAnchor>
    <xdr:from>
      <xdr:col>15</xdr:col>
      <xdr:colOff>196850</xdr:colOff>
      <xdr:row>26</xdr:row>
      <xdr:rowOff>139700</xdr:rowOff>
    </xdr:from>
    <xdr:to>
      <xdr:col>19</xdr:col>
      <xdr:colOff>539750</xdr:colOff>
      <xdr:row>29</xdr:row>
      <xdr:rowOff>0</xdr:rowOff>
    </xdr:to>
    <xdr:sp macro="" textlink="">
      <xdr:nvSpPr>
        <xdr:cNvPr id="30" name="Rectangle: Rounded Corners 29">
          <a:extLst>
            <a:ext uri="{FF2B5EF4-FFF2-40B4-BE49-F238E27FC236}">
              <a16:creationId xmlns:a16="http://schemas.microsoft.com/office/drawing/2014/main" id="{EAFF6E11-5C64-F7DD-9305-F3D491DA661D}"/>
            </a:ext>
          </a:extLst>
        </xdr:cNvPr>
        <xdr:cNvSpPr/>
      </xdr:nvSpPr>
      <xdr:spPr>
        <a:xfrm>
          <a:off x="9779000" y="5175250"/>
          <a:ext cx="2781300" cy="412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TOP</a:t>
          </a:r>
          <a:r>
            <a:rPr lang="en-IN" sz="1600" b="1" baseline="0">
              <a:solidFill>
                <a:schemeClr val="tx1"/>
              </a:solidFill>
            </a:rPr>
            <a:t> - 5 RECOMMENDATIONS</a:t>
          </a:r>
          <a:endParaRPr lang="en-IN" sz="1600" b="1">
            <a:solidFill>
              <a:schemeClr val="tx1"/>
            </a:solidFill>
          </a:endParaRPr>
        </a:p>
      </xdr:txBody>
    </xdr:sp>
    <xdr:clientData/>
  </xdr:twoCellAnchor>
  <xdr:twoCellAnchor>
    <xdr:from>
      <xdr:col>15</xdr:col>
      <xdr:colOff>120650</xdr:colOff>
      <xdr:row>40</xdr:row>
      <xdr:rowOff>171450</xdr:rowOff>
    </xdr:from>
    <xdr:to>
      <xdr:col>20</xdr:col>
      <xdr:colOff>107950</xdr:colOff>
      <xdr:row>56</xdr:row>
      <xdr:rowOff>0</xdr:rowOff>
    </xdr:to>
    <xdr:sp macro="" textlink="">
      <xdr:nvSpPr>
        <xdr:cNvPr id="31" name="TextBox 30">
          <a:extLst>
            <a:ext uri="{FF2B5EF4-FFF2-40B4-BE49-F238E27FC236}">
              <a16:creationId xmlns:a16="http://schemas.microsoft.com/office/drawing/2014/main" id="{A9D9E077-EA1A-3039-BB09-CAB853B935E5}"/>
            </a:ext>
          </a:extLst>
        </xdr:cNvPr>
        <xdr:cNvSpPr txBox="1"/>
      </xdr:nvSpPr>
      <xdr:spPr>
        <a:xfrm>
          <a:off x="9702800" y="7785100"/>
          <a:ext cx="3035300" cy="277495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endParaRPr lang="en-IN" sz="1100"/>
        </a:p>
        <a:p>
          <a:endParaRPr lang="en-IN" sz="1100"/>
        </a:p>
        <a:p>
          <a:r>
            <a:rPr lang="en-IN" sz="1600"/>
            <a:t>1. Increase Focus on Electronics</a:t>
          </a:r>
        </a:p>
        <a:p>
          <a:r>
            <a:rPr lang="en-IN" sz="1600"/>
            <a:t>2. Strengthen Cross-Selling Strategies</a:t>
          </a:r>
        </a:p>
        <a:p>
          <a:r>
            <a:rPr lang="en-IN" sz="1600"/>
            <a:t>3.Improve Sales of Low-Performing Categories</a:t>
          </a:r>
        </a:p>
        <a:p>
          <a:r>
            <a:rPr lang="en-IN" sz="1600"/>
            <a:t>4.Encourage Higher Basket Size</a:t>
          </a:r>
        </a:p>
        <a:p>
          <a:r>
            <a:rPr lang="en-IN" sz="1600"/>
            <a:t>5.Enhance Customer Retention</a:t>
          </a:r>
        </a:p>
      </xdr:txBody>
    </xdr:sp>
    <xdr:clientData/>
  </xdr:twoCellAnchor>
  <xdr:twoCellAnchor>
    <xdr:from>
      <xdr:col>15</xdr:col>
      <xdr:colOff>260350</xdr:colOff>
      <xdr:row>41</xdr:row>
      <xdr:rowOff>76200</xdr:rowOff>
    </xdr:from>
    <xdr:to>
      <xdr:col>20</xdr:col>
      <xdr:colOff>50800</xdr:colOff>
      <xdr:row>43</xdr:row>
      <xdr:rowOff>82550</xdr:rowOff>
    </xdr:to>
    <xdr:sp macro="" textlink="">
      <xdr:nvSpPr>
        <xdr:cNvPr id="32" name="Rectangle: Rounded Corners 31">
          <a:extLst>
            <a:ext uri="{FF2B5EF4-FFF2-40B4-BE49-F238E27FC236}">
              <a16:creationId xmlns:a16="http://schemas.microsoft.com/office/drawing/2014/main" id="{951D75B3-D225-0844-7793-DBE9EC429435}"/>
            </a:ext>
          </a:extLst>
        </xdr:cNvPr>
        <xdr:cNvSpPr/>
      </xdr:nvSpPr>
      <xdr:spPr>
        <a:xfrm>
          <a:off x="9842500" y="7874000"/>
          <a:ext cx="2838450" cy="374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TOP - 5 SUGGESTIONS</a:t>
          </a:r>
        </a:p>
      </xdr:txBody>
    </xdr:sp>
    <xdr:clientData/>
  </xdr:twoCellAnchor>
  <xdr:twoCellAnchor>
    <xdr:from>
      <xdr:col>0</xdr:col>
      <xdr:colOff>342900</xdr:colOff>
      <xdr:row>43</xdr:row>
      <xdr:rowOff>171450</xdr:rowOff>
    </xdr:from>
    <xdr:to>
      <xdr:col>14</xdr:col>
      <xdr:colOff>596900</xdr:colOff>
      <xdr:row>55</xdr:row>
      <xdr:rowOff>171450</xdr:rowOff>
    </xdr:to>
    <xdr:sp macro="" textlink="">
      <xdr:nvSpPr>
        <xdr:cNvPr id="33" name="TextBox 32">
          <a:extLst>
            <a:ext uri="{FF2B5EF4-FFF2-40B4-BE49-F238E27FC236}">
              <a16:creationId xmlns:a16="http://schemas.microsoft.com/office/drawing/2014/main" id="{E13E39E0-AA93-605B-97D5-5A4D2964421C}"/>
            </a:ext>
          </a:extLst>
        </xdr:cNvPr>
        <xdr:cNvSpPr txBox="1"/>
      </xdr:nvSpPr>
      <xdr:spPr>
        <a:xfrm>
          <a:off x="342900" y="8337550"/>
          <a:ext cx="9226550" cy="220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a:t>
          </a:r>
          <a:r>
            <a:rPr lang="en-IN" sz="1600" b="1"/>
            <a:t>5. </a:t>
          </a:r>
          <a:r>
            <a:rPr lang="en-IN" sz="1600" b="1" baseline="0"/>
            <a:t> CROSS - SELL HEATMAP</a:t>
          </a:r>
          <a:endParaRPr lang="en-IN" sz="1600" b="1"/>
        </a:p>
      </xdr:txBody>
    </xdr:sp>
    <xdr:clientData/>
  </xdr:twoCellAnchor>
  <xdr:twoCellAnchor editAs="oneCell">
    <xdr:from>
      <xdr:col>22</xdr:col>
      <xdr:colOff>0</xdr:colOff>
      <xdr:row>22</xdr:row>
      <xdr:rowOff>0</xdr:rowOff>
    </xdr:from>
    <xdr:to>
      <xdr:col>34</xdr:col>
      <xdr:colOff>457200</xdr:colOff>
      <xdr:row>30</xdr:row>
      <xdr:rowOff>59662</xdr:rowOff>
    </xdr:to>
    <xdr:pic>
      <xdr:nvPicPr>
        <xdr:cNvPr id="35" name="Picture 34">
          <a:extLst>
            <a:ext uri="{FF2B5EF4-FFF2-40B4-BE49-F238E27FC236}">
              <a16:creationId xmlns:a16="http://schemas.microsoft.com/office/drawing/2014/main" id="{10E04BFE-1BDA-D964-62DA-FD31200D6D8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849350" y="4298950"/>
          <a:ext cx="7772400" cy="1532862"/>
        </a:xfrm>
        <a:prstGeom prst="rect">
          <a:avLst/>
        </a:prstGeom>
      </xdr:spPr>
    </xdr:pic>
    <xdr:clientData/>
  </xdr:twoCellAnchor>
  <xdr:twoCellAnchor editAs="oneCell">
    <xdr:from>
      <xdr:col>0</xdr:col>
      <xdr:colOff>361950</xdr:colOff>
      <xdr:row>46</xdr:row>
      <xdr:rowOff>0</xdr:rowOff>
    </xdr:from>
    <xdr:to>
      <xdr:col>14</xdr:col>
      <xdr:colOff>584200</xdr:colOff>
      <xdr:row>55</xdr:row>
      <xdr:rowOff>97762</xdr:rowOff>
    </xdr:to>
    <xdr:pic>
      <xdr:nvPicPr>
        <xdr:cNvPr id="38" name="Picture 37">
          <a:extLst>
            <a:ext uri="{FF2B5EF4-FFF2-40B4-BE49-F238E27FC236}">
              <a16:creationId xmlns:a16="http://schemas.microsoft.com/office/drawing/2014/main" id="{B660B93F-C645-3481-27C9-1985C44DA8F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61950" y="8718550"/>
          <a:ext cx="9194800" cy="1755112"/>
        </a:xfrm>
        <a:prstGeom prst="rect">
          <a:avLst/>
        </a:prstGeom>
      </xdr:spPr>
    </xdr:pic>
    <xdr:clientData/>
  </xdr:twoCellAnchor>
  <xdr:twoCellAnchor editAs="oneCell">
    <xdr:from>
      <xdr:col>0</xdr:col>
      <xdr:colOff>336550</xdr:colOff>
      <xdr:row>6</xdr:row>
      <xdr:rowOff>82550</xdr:rowOff>
    </xdr:from>
    <xdr:to>
      <xdr:col>1</xdr:col>
      <xdr:colOff>254000</xdr:colOff>
      <xdr:row>7</xdr:row>
      <xdr:rowOff>247650</xdr:rowOff>
    </xdr:to>
    <xdr:pic>
      <xdr:nvPicPr>
        <xdr:cNvPr id="40" name="Graphic 39" descr="Rupee">
          <a:extLst>
            <a:ext uri="{FF2B5EF4-FFF2-40B4-BE49-F238E27FC236}">
              <a16:creationId xmlns:a16="http://schemas.microsoft.com/office/drawing/2014/main" id="{4BEF84A6-7107-6C20-FAC3-85019F2C641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36550" y="1270000"/>
          <a:ext cx="527050" cy="431800"/>
        </a:xfrm>
        <a:prstGeom prst="rect">
          <a:avLst/>
        </a:prstGeom>
      </xdr:spPr>
    </xdr:pic>
    <xdr:clientData/>
  </xdr:twoCellAnchor>
  <xdr:twoCellAnchor editAs="oneCell">
    <xdr:from>
      <xdr:col>11</xdr:col>
      <xdr:colOff>539750</xdr:colOff>
      <xdr:row>6</xdr:row>
      <xdr:rowOff>184150</xdr:rowOff>
    </xdr:from>
    <xdr:to>
      <xdr:col>12</xdr:col>
      <xdr:colOff>482600</xdr:colOff>
      <xdr:row>8</xdr:row>
      <xdr:rowOff>114300</xdr:rowOff>
    </xdr:to>
    <xdr:pic>
      <xdr:nvPicPr>
        <xdr:cNvPr id="42" name="Graphic 41" descr="Gold bars">
          <a:extLst>
            <a:ext uri="{FF2B5EF4-FFF2-40B4-BE49-F238E27FC236}">
              <a16:creationId xmlns:a16="http://schemas.microsoft.com/office/drawing/2014/main" id="{B7CAC089-8350-C890-12A2-908D088EFEA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683500" y="1371600"/>
          <a:ext cx="552450" cy="463550"/>
        </a:xfrm>
        <a:prstGeom prst="rect">
          <a:avLst/>
        </a:prstGeom>
      </xdr:spPr>
    </xdr:pic>
    <xdr:clientData/>
  </xdr:twoCellAnchor>
  <xdr:twoCellAnchor editAs="oneCell">
    <xdr:from>
      <xdr:col>4</xdr:col>
      <xdr:colOff>25400</xdr:colOff>
      <xdr:row>6</xdr:row>
      <xdr:rowOff>152400</xdr:rowOff>
    </xdr:from>
    <xdr:to>
      <xdr:col>4</xdr:col>
      <xdr:colOff>527050</xdr:colOff>
      <xdr:row>8</xdr:row>
      <xdr:rowOff>82550</xdr:rowOff>
    </xdr:to>
    <xdr:pic>
      <xdr:nvPicPr>
        <xdr:cNvPr id="44" name="Graphic 43" descr="Credit card">
          <a:extLst>
            <a:ext uri="{FF2B5EF4-FFF2-40B4-BE49-F238E27FC236}">
              <a16:creationId xmlns:a16="http://schemas.microsoft.com/office/drawing/2014/main" id="{D421DAE9-C0F2-70EE-5577-0C778B24FC1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901950" y="1339850"/>
          <a:ext cx="501650" cy="463550"/>
        </a:xfrm>
        <a:prstGeom prst="rect">
          <a:avLst/>
        </a:prstGeom>
      </xdr:spPr>
    </xdr:pic>
    <xdr:clientData/>
  </xdr:twoCellAnchor>
  <xdr:twoCellAnchor>
    <xdr:from>
      <xdr:col>0</xdr:col>
      <xdr:colOff>330200</xdr:colOff>
      <xdr:row>0</xdr:row>
      <xdr:rowOff>139700</xdr:rowOff>
    </xdr:from>
    <xdr:to>
      <xdr:col>16</xdr:col>
      <xdr:colOff>279400</xdr:colOff>
      <xdr:row>3</xdr:row>
      <xdr:rowOff>171450</xdr:rowOff>
    </xdr:to>
    <xdr:sp macro="" textlink="">
      <xdr:nvSpPr>
        <xdr:cNvPr id="45" name="Rectangle: Rounded Corners 44">
          <a:extLst>
            <a:ext uri="{FF2B5EF4-FFF2-40B4-BE49-F238E27FC236}">
              <a16:creationId xmlns:a16="http://schemas.microsoft.com/office/drawing/2014/main" id="{86CFDA11-1915-BE7F-17E7-9EA2FC212CF2}"/>
            </a:ext>
          </a:extLst>
        </xdr:cNvPr>
        <xdr:cNvSpPr/>
      </xdr:nvSpPr>
      <xdr:spPr>
        <a:xfrm>
          <a:off x="330200" y="139700"/>
          <a:ext cx="10140950" cy="584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chemeClr val="tx1"/>
              </a:solidFill>
            </a:rPr>
            <a:t>           Sales Performance &amp; Customer Insights Dashboard</a:t>
          </a:r>
        </a:p>
      </xdr:txBody>
    </xdr:sp>
    <xdr:clientData/>
  </xdr:twoCellAnchor>
  <xdr:twoCellAnchor editAs="oneCell">
    <xdr:from>
      <xdr:col>0</xdr:col>
      <xdr:colOff>400050</xdr:colOff>
      <xdr:row>0</xdr:row>
      <xdr:rowOff>69850</xdr:rowOff>
    </xdr:from>
    <xdr:to>
      <xdr:col>1</xdr:col>
      <xdr:colOff>469900</xdr:colOff>
      <xdr:row>3</xdr:row>
      <xdr:rowOff>177800</xdr:rowOff>
    </xdr:to>
    <xdr:pic>
      <xdr:nvPicPr>
        <xdr:cNvPr id="47" name="Graphic 46" descr="Bar chart">
          <a:extLst>
            <a:ext uri="{FF2B5EF4-FFF2-40B4-BE49-F238E27FC236}">
              <a16:creationId xmlns:a16="http://schemas.microsoft.com/office/drawing/2014/main" id="{6492BEC6-64D0-B256-E6FF-DABFA16184A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00050" y="69850"/>
          <a:ext cx="679450" cy="660400"/>
        </a:xfrm>
        <a:prstGeom prst="rect">
          <a:avLst/>
        </a:prstGeom>
      </xdr:spPr>
    </xdr:pic>
    <xdr:clientData/>
  </xdr:twoCellAnchor>
  <xdr:twoCellAnchor editAs="oneCell">
    <xdr:from>
      <xdr:col>1</xdr:col>
      <xdr:colOff>0</xdr:colOff>
      <xdr:row>58</xdr:row>
      <xdr:rowOff>0</xdr:rowOff>
    </xdr:from>
    <xdr:to>
      <xdr:col>3</xdr:col>
      <xdr:colOff>171450</xdr:colOff>
      <xdr:row>71</xdr:row>
      <xdr:rowOff>130175</xdr:rowOff>
    </xdr:to>
    <mc:AlternateContent xmlns:mc="http://schemas.openxmlformats.org/markup-compatibility/2006">
      <mc:Choice xmlns:a14="http://schemas.microsoft.com/office/drawing/2010/main" Requires="a14">
        <xdr:graphicFrame macro="">
          <xdr:nvGraphicFramePr>
            <xdr:cNvPr id="48" name="Order_Date 1">
              <a:extLst>
                <a:ext uri="{FF2B5EF4-FFF2-40B4-BE49-F238E27FC236}">
                  <a16:creationId xmlns:a16="http://schemas.microsoft.com/office/drawing/2014/main" id="{FB0467C0-D947-44FF-8157-2386F3B73025}"/>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dr:sp macro="" textlink="">
          <xdr:nvSpPr>
            <xdr:cNvPr id="0" name=""/>
            <xdr:cNvSpPr>
              <a:spLocks noTextEdit="1"/>
            </xdr:cNvSpPr>
          </xdr:nvSpPr>
          <xdr:spPr>
            <a:xfrm>
              <a:off x="609600" y="10928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704850</xdr:colOff>
      <xdr:row>59</xdr:row>
      <xdr:rowOff>146050</xdr:rowOff>
    </xdr:from>
    <xdr:to>
      <xdr:col>4</xdr:col>
      <xdr:colOff>266700</xdr:colOff>
      <xdr:row>73</xdr:row>
      <xdr:rowOff>92075</xdr:rowOff>
    </xdr:to>
    <mc:AlternateContent xmlns:mc="http://schemas.openxmlformats.org/markup-compatibility/2006">
      <mc:Choice xmlns:a14="http://schemas.microsoft.com/office/drawing/2010/main" Requires="a14">
        <xdr:graphicFrame macro="">
          <xdr:nvGraphicFramePr>
            <xdr:cNvPr id="49" name="Product_Name 2">
              <a:extLst>
                <a:ext uri="{FF2B5EF4-FFF2-40B4-BE49-F238E27FC236}">
                  <a16:creationId xmlns:a16="http://schemas.microsoft.com/office/drawing/2014/main" id="{58613320-9ACE-4A8B-BBBC-1C22709296ED}"/>
                </a:ext>
              </a:extLst>
            </xdr:cNvPr>
            <xdr:cNvGraphicFramePr/>
          </xdr:nvGraphicFramePr>
          <xdr:xfrm>
            <a:off x="0" y="0"/>
            <a:ext cx="0" cy="0"/>
          </xdr:xfrm>
          <a:graphic>
            <a:graphicData uri="http://schemas.microsoft.com/office/drawing/2010/slicer">
              <sle:slicer xmlns:sle="http://schemas.microsoft.com/office/drawing/2010/slicer" name="Product_Name 2"/>
            </a:graphicData>
          </a:graphic>
        </xdr:graphicFrame>
      </mc:Choice>
      <mc:Fallback>
        <xdr:sp macro="" textlink="">
          <xdr:nvSpPr>
            <xdr:cNvPr id="0" name=""/>
            <xdr:cNvSpPr>
              <a:spLocks noTextEdit="1"/>
            </xdr:cNvSpPr>
          </xdr:nvSpPr>
          <xdr:spPr>
            <a:xfrm>
              <a:off x="1314450" y="11258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342900</xdr:colOff>
      <xdr:row>61</xdr:row>
      <xdr:rowOff>101600</xdr:rowOff>
    </xdr:from>
    <xdr:to>
      <xdr:col>5</xdr:col>
      <xdr:colOff>342900</xdr:colOff>
      <xdr:row>75</xdr:row>
      <xdr:rowOff>47625</xdr:rowOff>
    </xdr:to>
    <mc:AlternateContent xmlns:mc="http://schemas.openxmlformats.org/markup-compatibility/2006">
      <mc:Choice xmlns:a14="http://schemas.microsoft.com/office/drawing/2010/main" Requires="a14">
        <xdr:graphicFrame macro="">
          <xdr:nvGraphicFramePr>
            <xdr:cNvPr id="50" name="Category 2">
              <a:extLst>
                <a:ext uri="{FF2B5EF4-FFF2-40B4-BE49-F238E27FC236}">
                  <a16:creationId xmlns:a16="http://schemas.microsoft.com/office/drawing/2014/main" id="{F95E6E1A-0AEC-44AF-8AA3-5935DFABF8A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2000250" y="11582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450850</xdr:colOff>
      <xdr:row>63</xdr:row>
      <xdr:rowOff>25400</xdr:rowOff>
    </xdr:from>
    <xdr:to>
      <xdr:col>6</xdr:col>
      <xdr:colOff>450850</xdr:colOff>
      <xdr:row>76</xdr:row>
      <xdr:rowOff>155575</xdr:rowOff>
    </xdr:to>
    <mc:AlternateContent xmlns:mc="http://schemas.openxmlformats.org/markup-compatibility/2006">
      <mc:Choice xmlns:a14="http://schemas.microsoft.com/office/drawing/2010/main" Requires="a14">
        <xdr:graphicFrame macro="">
          <xdr:nvGraphicFramePr>
            <xdr:cNvPr id="51" name="Basket_Size 1">
              <a:extLst>
                <a:ext uri="{FF2B5EF4-FFF2-40B4-BE49-F238E27FC236}">
                  <a16:creationId xmlns:a16="http://schemas.microsoft.com/office/drawing/2014/main" id="{8C926550-C9ED-4CDC-B008-116008B52D2A}"/>
                </a:ext>
              </a:extLst>
            </xdr:cNvPr>
            <xdr:cNvGraphicFramePr/>
          </xdr:nvGraphicFramePr>
          <xdr:xfrm>
            <a:off x="0" y="0"/>
            <a:ext cx="0" cy="0"/>
          </xdr:xfrm>
          <a:graphic>
            <a:graphicData uri="http://schemas.microsoft.com/office/drawing/2010/slicer">
              <sle:slicer xmlns:sle="http://schemas.microsoft.com/office/drawing/2010/slicer" name="Basket_Size 1"/>
            </a:graphicData>
          </a:graphic>
        </xdr:graphicFrame>
      </mc:Choice>
      <mc:Fallback>
        <xdr:sp macro="" textlink="">
          <xdr:nvSpPr>
            <xdr:cNvPr id="0" name=""/>
            <xdr:cNvSpPr>
              <a:spLocks noTextEdit="1"/>
            </xdr:cNvSpPr>
          </xdr:nvSpPr>
          <xdr:spPr>
            <a:xfrm>
              <a:off x="2717800" y="11874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lfish Girl" refreshedDate="46233.978124652778" createdVersion="8" refreshedVersion="8" minRefreshableVersion="3" recordCount="150" xr:uid="{C5F4E019-8558-4E55-AB34-D090100EEB9D}">
  <cacheSource type="worksheet">
    <worksheetSource ref="A1:J151" sheet="Market_Basket_Data"/>
  </cacheSource>
  <cacheFields count="10">
    <cacheField name="Transaction_ID" numFmtId="0">
      <sharedItems count="150">
        <s v="TXN001"/>
        <s v="TXN002"/>
        <s v="TXN003"/>
        <s v="TXN004"/>
        <s v="TXN005"/>
        <s v="TXN006"/>
        <s v="TXN007"/>
        <s v="TXN008"/>
        <s v="TXN009"/>
        <s v="TXN010"/>
        <s v="TXN011"/>
        <s v="TXN012"/>
        <s v="TXN013"/>
        <s v="TXN014"/>
        <s v="TXN015"/>
        <s v="TXN016"/>
        <s v="TXN017"/>
        <s v="TXN018"/>
        <s v="TXN019"/>
        <s v="TXN020"/>
        <s v="TXN021"/>
        <s v="TXN022"/>
        <s v="TXN023"/>
        <s v="TXN024"/>
        <s v="TXN025"/>
        <s v="TXN026"/>
        <s v="TXN027"/>
        <s v="TXN028"/>
        <s v="TXN029"/>
        <s v="TXN030"/>
        <s v="TXN031"/>
        <s v="TXN032"/>
        <s v="TXN033"/>
        <s v="TXN034"/>
        <s v="TXN035"/>
        <s v="TXN036"/>
        <s v="TXN037"/>
        <s v="TXN038"/>
        <s v="TXN039"/>
        <s v="TXN040"/>
        <s v="TXN041"/>
        <s v="TXN042"/>
        <s v="TXN043"/>
        <s v="TXN044"/>
        <s v="TXN045"/>
        <s v="TXN046"/>
        <s v="TXN047"/>
        <s v="TXN048"/>
        <s v="TXN049"/>
        <s v="TXN050"/>
        <s v="TXN051"/>
        <s v="TXN052"/>
        <s v="TXN053"/>
        <s v="TXN054"/>
        <s v="TXN055"/>
        <s v="TXN056"/>
        <s v="TXN057"/>
        <s v="TXN058"/>
        <s v="TXN059"/>
        <s v="TXN060"/>
        <s v="TXN061"/>
        <s v="TXN062"/>
        <s v="TXN063"/>
        <s v="TXN064"/>
        <s v="TXN065"/>
        <s v="TXN066"/>
        <s v="TXN067"/>
        <s v="TXN068"/>
        <s v="TXN069"/>
        <s v="TXN070"/>
        <s v="TXN071"/>
        <s v="TXN072"/>
        <s v="TXN073"/>
        <s v="TXN074"/>
        <s v="TXN075"/>
        <s v="TXN076"/>
        <s v="TXN077"/>
        <s v="TXN078"/>
        <s v="TXN079"/>
        <s v="TXN080"/>
        <s v="TXN081"/>
        <s v="TXN082"/>
        <s v="TXN083"/>
        <s v="TXN084"/>
        <s v="TXN085"/>
        <s v="TXN086"/>
        <s v="TXN087"/>
        <s v="TXN088"/>
        <s v="TXN089"/>
        <s v="TXN090"/>
        <s v="TXN091"/>
        <s v="TXN092"/>
        <s v="TXN093"/>
        <s v="TXN094"/>
        <s v="TXN095"/>
        <s v="TXN096"/>
        <s v="TXN097"/>
        <s v="TXN098"/>
        <s v="TXN099"/>
        <s v="TXN100"/>
        <s v="TXN101"/>
        <s v="TXN102"/>
        <s v="TXN103"/>
        <s v="TXN104"/>
        <s v="TXN105"/>
        <s v="TXN106"/>
        <s v="TXN107"/>
        <s v="TXN108"/>
        <s v="TXN109"/>
        <s v="TXN110"/>
        <s v="TXN111"/>
        <s v="TXN112"/>
        <s v="TXN113"/>
        <s v="TXN114"/>
        <s v="TXN115"/>
        <s v="TXN116"/>
        <s v="TXN117"/>
        <s v="TXN118"/>
        <s v="TXN119"/>
        <s v="TXN120"/>
        <s v="TXN121"/>
        <s v="TXN122"/>
        <s v="TXN123"/>
        <s v="TXN124"/>
        <s v="TXN125"/>
        <s v="TXN126"/>
        <s v="TXN127"/>
        <s v="TXN128"/>
        <s v="TXN129"/>
        <s v="TXN130"/>
        <s v="TXN131"/>
        <s v="TXN132"/>
        <s v="TXN133"/>
        <s v="TXN134"/>
        <s v="TXN135"/>
        <s v="TXN136"/>
        <s v="TXN137"/>
        <s v="TXN138"/>
        <s v="TXN139"/>
        <s v="TXN140"/>
        <s v="TXN141"/>
        <s v="TXN142"/>
        <s v="TXN143"/>
        <s v="TXN144"/>
        <s v="TXN145"/>
        <s v="TXN146"/>
        <s v="TXN147"/>
        <s v="TXN148"/>
        <s v="TXN149"/>
        <s v="TXN150"/>
      </sharedItems>
    </cacheField>
    <cacheField name="Customer_ID" numFmtId="0">
      <sharedItems/>
    </cacheField>
    <cacheField name="Order_Date" numFmtId="0">
      <sharedItems count="90">
        <s v="01-01-2025"/>
        <s v="02-01-2025"/>
        <s v="03-01-2025"/>
        <s v="04-01-2025"/>
        <s v="05-01-2025"/>
        <s v="06-01-2025"/>
        <s v="07-01-2025"/>
        <s v="08-01-2025"/>
        <s v="09-01-2025"/>
        <s v="10-01-2025"/>
        <s v="11-01-2025"/>
        <s v="12-01-2025"/>
        <s v="13-01-2025"/>
        <s v="14-01-2025"/>
        <s v="15-01-2025"/>
        <s v="16-01-2025"/>
        <s v="17-01-2025"/>
        <s v="18-01-2025"/>
        <s v="19-01-2025"/>
        <s v="20-01-2025"/>
        <s v="21-01-2025"/>
        <s v="22-01-2025"/>
        <s v="23-01-2025"/>
        <s v="24-01-2025"/>
        <s v="25-01-2025"/>
        <s v="26-01-2025"/>
        <s v="27-01-2025"/>
        <s v="28-01-2025"/>
        <s v="29-01-2025"/>
        <s v="30-01-2025"/>
        <s v="31-01-2025"/>
        <s v="01-02-2025"/>
        <s v="02-02-2025"/>
        <s v="03-02-2025"/>
        <s v="04-02-2025"/>
        <s v="05-02-2025"/>
        <s v="06-02-2025"/>
        <s v="07-02-2025"/>
        <s v="08-02-2025"/>
        <s v="09-02-2025"/>
        <s v="10-02-2025"/>
        <s v="11-02-2025"/>
        <s v="12-02-2025"/>
        <s v="13-02-2025"/>
        <s v="14-02-2025"/>
        <s v="15-02-2025"/>
        <s v="16-02-2025"/>
        <s v="17-02-2025"/>
        <s v="18-02-2025"/>
        <s v="19-02-2025"/>
        <s v="20-02-2025"/>
        <s v="21-02-2025"/>
        <s v="22-02-2025"/>
        <s v="23-02-2025"/>
        <s v="24-02-2025"/>
        <s v="25-02-2025"/>
        <s v="26-02-2025"/>
        <s v="27-02-2025"/>
        <s v="28-02-2025"/>
        <s v="01-03-2025"/>
        <s v="02-03-2025"/>
        <s v="03-03-2025"/>
        <s v="04-03-2025"/>
        <s v="05-03-2025"/>
        <s v="06-03-2025"/>
        <s v="07-03-2025"/>
        <s v="08-03-2025"/>
        <s v="09-03-2025"/>
        <s v="10-03-2025"/>
        <s v="11-03-2025"/>
        <s v="12-03-2025"/>
        <s v="13-03-2025"/>
        <s v="14-03-2025"/>
        <s v="15-03-2025"/>
        <s v="16-03-2025"/>
        <s v="17-03-2025"/>
        <s v="18-03-2025"/>
        <s v="19-03-2025"/>
        <s v="20-03-2025"/>
        <s v="21-03-2025"/>
        <s v="22-03-2025"/>
        <s v="23-03-2025"/>
        <s v="24-03-2025"/>
        <s v="25-03-2025"/>
        <s v="26-03-2025"/>
        <s v="27-03-2025"/>
        <s v="28-03-2025"/>
        <s v="29-03-2025"/>
        <s v="30-03-2025"/>
        <s v="31-03-2025"/>
      </sharedItems>
    </cacheField>
    <cacheField name="Product_Name" numFmtId="0">
      <sharedItems count="10">
        <s v="Laptop"/>
        <s v="Running Shoes"/>
        <s v="Air Fryer"/>
        <s v="Coffee Maker"/>
        <s v="Backpack"/>
        <s v="Smartphone"/>
        <s v="Tablet"/>
        <s v="Gaming Mouse"/>
        <s v="Headphones"/>
        <s v="Smart Watch"/>
      </sharedItems>
    </cacheField>
    <cacheField name="Category" numFmtId="0">
      <sharedItems count="3">
        <s v="Electronics"/>
        <s v="Fashion"/>
        <s v="Home Appliances"/>
      </sharedItems>
    </cacheField>
    <cacheField name="Quantity" numFmtId="0">
      <sharedItems containsSemiMixedTypes="0" containsString="0" containsNumber="1" containsInteger="1" minValue="1" maxValue="5"/>
    </cacheField>
    <cacheField name="Unit_Price_USD" numFmtId="0">
      <sharedItems containsSemiMixedTypes="0" containsString="0" containsNumber="1" containsInteger="1" minValue="45" maxValue="850"/>
    </cacheField>
    <cacheField name="Basket_Size" numFmtId="0">
      <sharedItems containsSemiMixedTypes="0" containsString="0" containsNumber="1" containsInteger="1" minValue="1" maxValue="6" count="6">
        <n v="6"/>
        <n v="1"/>
        <n v="5"/>
        <n v="2"/>
        <n v="3"/>
        <n v="4"/>
      </sharedItems>
    </cacheField>
    <cacheField name="Cross_Sell_Product" numFmtId="0">
      <sharedItems count="10">
        <s v="Wireless Mouse"/>
        <s v="Sports Socks"/>
        <s v="Cooking Spray"/>
        <s v="Coffee Pods"/>
        <s v="Water Bottle"/>
        <s v="Phone Case"/>
        <s v="Tablet Cover"/>
        <s v="Gaming Keyboard"/>
        <s v="Bluetooth Speaker"/>
        <s v="Watch Strap"/>
      </sharedItems>
    </cacheField>
    <cacheField name="Total Revenue" numFmtId="0">
      <sharedItems containsSemiMixedTypes="0" containsString="0" containsNumber="1" containsInteger="1" minValue="45" maxValue="5100"/>
    </cacheField>
  </cacheFields>
  <extLst>
    <ext xmlns:x14="http://schemas.microsoft.com/office/spreadsheetml/2009/9/main" uri="{725AE2AE-9491-48be-B2B4-4EB974FC3084}">
      <x14:pivotCacheDefinition pivotCacheId="8779900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CUST038"/>
    <x v="0"/>
    <x v="0"/>
    <x v="0"/>
    <n v="2"/>
    <n v="850"/>
    <x v="0"/>
    <x v="0"/>
    <n v="5100"/>
  </r>
  <r>
    <x v="1"/>
    <s v="CUST008"/>
    <x v="1"/>
    <x v="1"/>
    <x v="1"/>
    <n v="5"/>
    <n v="120"/>
    <x v="1"/>
    <x v="1"/>
    <n v="120"/>
  </r>
  <r>
    <x v="2"/>
    <s v="CUST023"/>
    <x v="2"/>
    <x v="2"/>
    <x v="2"/>
    <n v="5"/>
    <n v="110"/>
    <x v="2"/>
    <x v="2"/>
    <n v="550"/>
  </r>
  <r>
    <x v="3"/>
    <s v="CUST033"/>
    <x v="3"/>
    <x v="3"/>
    <x v="2"/>
    <n v="1"/>
    <n v="90"/>
    <x v="3"/>
    <x v="3"/>
    <n v="1800"/>
  </r>
  <r>
    <x v="4"/>
    <s v="CUST019"/>
    <x v="4"/>
    <x v="4"/>
    <x v="1"/>
    <n v="1"/>
    <n v="50"/>
    <x v="3"/>
    <x v="4"/>
    <n v="240"/>
  </r>
  <r>
    <x v="5"/>
    <s v="CUST057"/>
    <x v="5"/>
    <x v="5"/>
    <x v="0"/>
    <n v="5"/>
    <n v="600"/>
    <x v="4"/>
    <x v="5"/>
    <n v="2400"/>
  </r>
  <r>
    <x v="6"/>
    <s v="CUST050"/>
    <x v="6"/>
    <x v="1"/>
    <x v="1"/>
    <n v="3"/>
    <n v="120"/>
    <x v="3"/>
    <x v="1"/>
    <n v="600"/>
  </r>
  <r>
    <x v="7"/>
    <s v="CUST060"/>
    <x v="7"/>
    <x v="5"/>
    <x v="0"/>
    <n v="2"/>
    <n v="600"/>
    <x v="5"/>
    <x v="5"/>
    <n v="600"/>
  </r>
  <r>
    <x v="8"/>
    <s v="CUST035"/>
    <x v="8"/>
    <x v="6"/>
    <x v="0"/>
    <n v="3"/>
    <n v="300"/>
    <x v="3"/>
    <x v="6"/>
    <n v="1500"/>
  </r>
  <r>
    <x v="9"/>
    <s v="CUST021"/>
    <x v="9"/>
    <x v="7"/>
    <x v="0"/>
    <n v="3"/>
    <n v="45"/>
    <x v="2"/>
    <x v="7"/>
    <n v="3000"/>
  </r>
  <r>
    <x v="10"/>
    <s v="CUST056"/>
    <x v="10"/>
    <x v="8"/>
    <x v="0"/>
    <n v="5"/>
    <n v="80"/>
    <x v="4"/>
    <x v="8"/>
    <n v="300"/>
  </r>
  <r>
    <x v="11"/>
    <s v="CUST040"/>
    <x v="11"/>
    <x v="4"/>
    <x v="1"/>
    <n v="2"/>
    <n v="50"/>
    <x v="2"/>
    <x v="4"/>
    <n v="1100"/>
  </r>
  <r>
    <x v="12"/>
    <s v="CUST028"/>
    <x v="12"/>
    <x v="6"/>
    <x v="0"/>
    <n v="5"/>
    <n v="300"/>
    <x v="3"/>
    <x v="6"/>
    <n v="120"/>
  </r>
  <r>
    <x v="13"/>
    <s v="CUST058"/>
    <x v="13"/>
    <x v="6"/>
    <x v="0"/>
    <n v="2"/>
    <n v="300"/>
    <x v="2"/>
    <x v="6"/>
    <n v="880"/>
  </r>
  <r>
    <x v="14"/>
    <s v="CUST054"/>
    <x v="14"/>
    <x v="5"/>
    <x v="0"/>
    <n v="3"/>
    <n v="600"/>
    <x v="2"/>
    <x v="5"/>
    <n v="600"/>
  </r>
  <r>
    <x v="15"/>
    <s v="CUST032"/>
    <x v="15"/>
    <x v="6"/>
    <x v="0"/>
    <n v="3"/>
    <n v="300"/>
    <x v="1"/>
    <x v="6"/>
    <n v="880"/>
  </r>
  <r>
    <x v="16"/>
    <s v="CUST056"/>
    <x v="16"/>
    <x v="3"/>
    <x v="2"/>
    <n v="4"/>
    <n v="90"/>
    <x v="3"/>
    <x v="3"/>
    <n v="600"/>
  </r>
  <r>
    <x v="17"/>
    <s v="CUST034"/>
    <x v="17"/>
    <x v="9"/>
    <x v="0"/>
    <n v="3"/>
    <n v="220"/>
    <x v="2"/>
    <x v="9"/>
    <n v="480"/>
  </r>
  <r>
    <x v="18"/>
    <s v="CUST002"/>
    <x v="18"/>
    <x v="4"/>
    <x v="1"/>
    <n v="1"/>
    <n v="50"/>
    <x v="1"/>
    <x v="4"/>
    <n v="1100"/>
  </r>
  <r>
    <x v="19"/>
    <s v="CUST036"/>
    <x v="19"/>
    <x v="1"/>
    <x v="1"/>
    <n v="2"/>
    <n v="120"/>
    <x v="1"/>
    <x v="1"/>
    <n v="1800"/>
  </r>
  <r>
    <x v="20"/>
    <s v="CUST040"/>
    <x v="20"/>
    <x v="3"/>
    <x v="2"/>
    <n v="5"/>
    <n v="90"/>
    <x v="3"/>
    <x v="3"/>
    <n v="1200"/>
  </r>
  <r>
    <x v="21"/>
    <s v="CUST050"/>
    <x v="21"/>
    <x v="9"/>
    <x v="0"/>
    <n v="4"/>
    <n v="220"/>
    <x v="5"/>
    <x v="9"/>
    <n v="1800"/>
  </r>
  <r>
    <x v="22"/>
    <s v="CUST032"/>
    <x v="22"/>
    <x v="6"/>
    <x v="0"/>
    <n v="1"/>
    <n v="300"/>
    <x v="3"/>
    <x v="6"/>
    <n v="1800"/>
  </r>
  <r>
    <x v="23"/>
    <s v="CUST046"/>
    <x v="23"/>
    <x v="9"/>
    <x v="0"/>
    <n v="4"/>
    <n v="220"/>
    <x v="5"/>
    <x v="9"/>
    <n v="1320"/>
  </r>
  <r>
    <x v="24"/>
    <s v="CUST024"/>
    <x v="24"/>
    <x v="6"/>
    <x v="0"/>
    <n v="4"/>
    <n v="300"/>
    <x v="3"/>
    <x v="6"/>
    <n v="240"/>
  </r>
  <r>
    <x v="25"/>
    <s v="CUST048"/>
    <x v="25"/>
    <x v="1"/>
    <x v="1"/>
    <n v="4"/>
    <n v="120"/>
    <x v="5"/>
    <x v="1"/>
    <n v="3000"/>
  </r>
  <r>
    <x v="26"/>
    <s v="CUST032"/>
    <x v="26"/>
    <x v="9"/>
    <x v="0"/>
    <n v="5"/>
    <n v="220"/>
    <x v="2"/>
    <x v="9"/>
    <n v="3600"/>
  </r>
  <r>
    <x v="27"/>
    <s v="CUST061"/>
    <x v="27"/>
    <x v="8"/>
    <x v="0"/>
    <n v="2"/>
    <n v="80"/>
    <x v="3"/>
    <x v="8"/>
    <n v="1800"/>
  </r>
  <r>
    <x v="28"/>
    <s v="CUST043"/>
    <x v="28"/>
    <x v="5"/>
    <x v="0"/>
    <n v="5"/>
    <n v="600"/>
    <x v="4"/>
    <x v="5"/>
    <n v="2400"/>
  </r>
  <r>
    <x v="29"/>
    <s v="CUST074"/>
    <x v="29"/>
    <x v="6"/>
    <x v="0"/>
    <n v="5"/>
    <n v="300"/>
    <x v="5"/>
    <x v="6"/>
    <n v="5100"/>
  </r>
  <r>
    <x v="30"/>
    <s v="CUST024"/>
    <x v="30"/>
    <x v="3"/>
    <x v="2"/>
    <n v="2"/>
    <n v="90"/>
    <x v="4"/>
    <x v="3"/>
    <n v="1700"/>
  </r>
  <r>
    <x v="31"/>
    <s v="CUST045"/>
    <x v="31"/>
    <x v="4"/>
    <x v="1"/>
    <n v="3"/>
    <n v="50"/>
    <x v="4"/>
    <x v="4"/>
    <n v="1200"/>
  </r>
  <r>
    <x v="32"/>
    <s v="CUST033"/>
    <x v="32"/>
    <x v="4"/>
    <x v="1"/>
    <n v="5"/>
    <n v="50"/>
    <x v="1"/>
    <x v="4"/>
    <n v="330"/>
  </r>
  <r>
    <x v="33"/>
    <s v="CUST049"/>
    <x v="33"/>
    <x v="5"/>
    <x v="0"/>
    <n v="4"/>
    <n v="600"/>
    <x v="4"/>
    <x v="5"/>
    <n v="300"/>
  </r>
  <r>
    <x v="34"/>
    <s v="CUST021"/>
    <x v="34"/>
    <x v="6"/>
    <x v="0"/>
    <n v="2"/>
    <n v="300"/>
    <x v="0"/>
    <x v="6"/>
    <n v="360"/>
  </r>
  <r>
    <x v="35"/>
    <s v="CUST046"/>
    <x v="35"/>
    <x v="4"/>
    <x v="1"/>
    <n v="4"/>
    <n v="50"/>
    <x v="1"/>
    <x v="4"/>
    <n v="120"/>
  </r>
  <r>
    <x v="36"/>
    <s v="CUST034"/>
    <x v="36"/>
    <x v="3"/>
    <x v="2"/>
    <n v="3"/>
    <n v="90"/>
    <x v="3"/>
    <x v="3"/>
    <n v="360"/>
  </r>
  <r>
    <x v="37"/>
    <s v="CUST068"/>
    <x v="37"/>
    <x v="8"/>
    <x v="0"/>
    <n v="2"/>
    <n v="80"/>
    <x v="2"/>
    <x v="8"/>
    <n v="1500"/>
  </r>
  <r>
    <x v="38"/>
    <s v="CUST020"/>
    <x v="38"/>
    <x v="9"/>
    <x v="0"/>
    <n v="5"/>
    <n v="220"/>
    <x v="0"/>
    <x v="9"/>
    <n v="440"/>
  </r>
  <r>
    <x v="39"/>
    <s v="CUST050"/>
    <x v="39"/>
    <x v="1"/>
    <x v="1"/>
    <n v="2"/>
    <n v="120"/>
    <x v="3"/>
    <x v="1"/>
    <n v="1800"/>
  </r>
  <r>
    <x v="40"/>
    <s v="CUST062"/>
    <x v="40"/>
    <x v="5"/>
    <x v="0"/>
    <n v="3"/>
    <n v="600"/>
    <x v="2"/>
    <x v="5"/>
    <n v="4250"/>
  </r>
  <r>
    <x v="41"/>
    <s v="CUST059"/>
    <x v="41"/>
    <x v="5"/>
    <x v="0"/>
    <n v="4"/>
    <n v="600"/>
    <x v="0"/>
    <x v="5"/>
    <n v="2550"/>
  </r>
  <r>
    <x v="42"/>
    <s v="CUST066"/>
    <x v="42"/>
    <x v="5"/>
    <x v="0"/>
    <n v="5"/>
    <n v="600"/>
    <x v="4"/>
    <x v="5"/>
    <n v="360"/>
  </r>
  <r>
    <x v="43"/>
    <s v="CUST015"/>
    <x v="43"/>
    <x v="5"/>
    <x v="0"/>
    <n v="2"/>
    <n v="600"/>
    <x v="5"/>
    <x v="5"/>
    <n v="1800"/>
  </r>
  <r>
    <x v="44"/>
    <s v="CUST061"/>
    <x v="44"/>
    <x v="0"/>
    <x v="0"/>
    <n v="5"/>
    <n v="850"/>
    <x v="0"/>
    <x v="0"/>
    <n v="1200"/>
  </r>
  <r>
    <x v="45"/>
    <s v="CUST064"/>
    <x v="45"/>
    <x v="0"/>
    <x v="0"/>
    <n v="5"/>
    <n v="850"/>
    <x v="3"/>
    <x v="0"/>
    <n v="480"/>
  </r>
  <r>
    <x v="46"/>
    <s v="CUST059"/>
    <x v="46"/>
    <x v="5"/>
    <x v="0"/>
    <n v="2"/>
    <n v="600"/>
    <x v="3"/>
    <x v="5"/>
    <n v="220"/>
  </r>
  <r>
    <x v="47"/>
    <s v="CUST005"/>
    <x v="47"/>
    <x v="2"/>
    <x v="2"/>
    <n v="5"/>
    <n v="110"/>
    <x v="4"/>
    <x v="2"/>
    <n v="1200"/>
  </r>
  <r>
    <x v="48"/>
    <s v="CUST027"/>
    <x v="48"/>
    <x v="7"/>
    <x v="0"/>
    <n v="2"/>
    <n v="45"/>
    <x v="5"/>
    <x v="7"/>
    <n v="900"/>
  </r>
  <r>
    <x v="49"/>
    <s v="CUST052"/>
    <x v="49"/>
    <x v="8"/>
    <x v="0"/>
    <n v="1"/>
    <n v="80"/>
    <x v="5"/>
    <x v="8"/>
    <n v="600"/>
  </r>
  <r>
    <x v="50"/>
    <s v="CUST066"/>
    <x v="50"/>
    <x v="3"/>
    <x v="2"/>
    <n v="4"/>
    <n v="90"/>
    <x v="1"/>
    <x v="3"/>
    <n v="5100"/>
  </r>
  <r>
    <x v="51"/>
    <s v="CUST010"/>
    <x v="51"/>
    <x v="8"/>
    <x v="0"/>
    <n v="1"/>
    <n v="80"/>
    <x v="4"/>
    <x v="8"/>
    <n v="2550"/>
  </r>
  <r>
    <x v="52"/>
    <s v="CUST002"/>
    <x v="52"/>
    <x v="8"/>
    <x v="0"/>
    <n v="1"/>
    <n v="80"/>
    <x v="1"/>
    <x v="8"/>
    <n v="600"/>
  </r>
  <r>
    <x v="53"/>
    <s v="CUST072"/>
    <x v="53"/>
    <x v="6"/>
    <x v="0"/>
    <n v="5"/>
    <n v="300"/>
    <x v="1"/>
    <x v="6"/>
    <n v="330"/>
  </r>
  <r>
    <x v="54"/>
    <s v="CUST017"/>
    <x v="54"/>
    <x v="1"/>
    <x v="1"/>
    <n v="4"/>
    <n v="120"/>
    <x v="4"/>
    <x v="1"/>
    <n v="660"/>
  </r>
  <r>
    <x v="55"/>
    <s v="CUST029"/>
    <x v="55"/>
    <x v="8"/>
    <x v="0"/>
    <n v="3"/>
    <n v="80"/>
    <x v="4"/>
    <x v="8"/>
    <n v="720"/>
  </r>
  <r>
    <x v="56"/>
    <s v="CUST031"/>
    <x v="56"/>
    <x v="8"/>
    <x v="0"/>
    <n v="1"/>
    <n v="80"/>
    <x v="0"/>
    <x v="8"/>
    <n v="220"/>
  </r>
  <r>
    <x v="57"/>
    <s v="CUST051"/>
    <x v="57"/>
    <x v="1"/>
    <x v="1"/>
    <n v="3"/>
    <n v="120"/>
    <x v="1"/>
    <x v="1"/>
    <n v="1800"/>
  </r>
  <r>
    <x v="58"/>
    <s v="CUST039"/>
    <x v="58"/>
    <x v="1"/>
    <x v="1"/>
    <n v="5"/>
    <n v="120"/>
    <x v="4"/>
    <x v="1"/>
    <n v="1320"/>
  </r>
  <r>
    <x v="59"/>
    <s v="CUST014"/>
    <x v="59"/>
    <x v="6"/>
    <x v="0"/>
    <n v="4"/>
    <n v="300"/>
    <x v="2"/>
    <x v="6"/>
    <n v="600"/>
  </r>
  <r>
    <x v="60"/>
    <s v="CUST032"/>
    <x v="60"/>
    <x v="9"/>
    <x v="0"/>
    <n v="2"/>
    <n v="220"/>
    <x v="3"/>
    <x v="9"/>
    <n v="600"/>
  </r>
  <r>
    <x v="61"/>
    <s v="CUST063"/>
    <x v="61"/>
    <x v="5"/>
    <x v="0"/>
    <n v="4"/>
    <n v="600"/>
    <x v="4"/>
    <x v="5"/>
    <n v="5100"/>
  </r>
  <r>
    <x v="62"/>
    <s v="CUST064"/>
    <x v="62"/>
    <x v="0"/>
    <x v="0"/>
    <n v="5"/>
    <n v="850"/>
    <x v="2"/>
    <x v="0"/>
    <n v="1800"/>
  </r>
  <r>
    <x v="63"/>
    <s v="CUST061"/>
    <x v="63"/>
    <x v="0"/>
    <x v="0"/>
    <n v="5"/>
    <n v="850"/>
    <x v="4"/>
    <x v="0"/>
    <n v="850"/>
  </r>
  <r>
    <x v="64"/>
    <s v="CUST037"/>
    <x v="64"/>
    <x v="1"/>
    <x v="1"/>
    <n v="2"/>
    <n v="120"/>
    <x v="4"/>
    <x v="1"/>
    <n v="880"/>
  </r>
  <r>
    <x v="65"/>
    <s v="CUST036"/>
    <x v="65"/>
    <x v="5"/>
    <x v="0"/>
    <n v="5"/>
    <n v="600"/>
    <x v="4"/>
    <x v="5"/>
    <n v="300"/>
  </r>
  <r>
    <x v="66"/>
    <s v="CUST064"/>
    <x v="66"/>
    <x v="6"/>
    <x v="0"/>
    <n v="4"/>
    <n v="300"/>
    <x v="5"/>
    <x v="6"/>
    <n v="360"/>
  </r>
  <r>
    <x v="67"/>
    <s v="CUST069"/>
    <x v="67"/>
    <x v="1"/>
    <x v="1"/>
    <n v="4"/>
    <n v="120"/>
    <x v="5"/>
    <x v="1"/>
    <n v="1800"/>
  </r>
  <r>
    <x v="68"/>
    <s v="CUST018"/>
    <x v="68"/>
    <x v="2"/>
    <x v="2"/>
    <n v="2"/>
    <n v="110"/>
    <x v="3"/>
    <x v="2"/>
    <n v="880"/>
  </r>
  <r>
    <x v="69"/>
    <s v="CUST033"/>
    <x v="69"/>
    <x v="5"/>
    <x v="0"/>
    <n v="5"/>
    <n v="600"/>
    <x v="3"/>
    <x v="5"/>
    <n v="1200"/>
  </r>
  <r>
    <x v="70"/>
    <s v="CUST065"/>
    <x v="70"/>
    <x v="6"/>
    <x v="0"/>
    <n v="5"/>
    <n v="300"/>
    <x v="4"/>
    <x v="6"/>
    <n v="1320"/>
  </r>
  <r>
    <x v="71"/>
    <s v="CUST032"/>
    <x v="71"/>
    <x v="7"/>
    <x v="0"/>
    <n v="3"/>
    <n v="45"/>
    <x v="4"/>
    <x v="7"/>
    <n v="1800"/>
  </r>
  <r>
    <x v="72"/>
    <s v="CUST034"/>
    <x v="72"/>
    <x v="6"/>
    <x v="0"/>
    <n v="1"/>
    <n v="300"/>
    <x v="3"/>
    <x v="6"/>
    <n v="900"/>
  </r>
  <r>
    <x v="73"/>
    <s v="CUST016"/>
    <x v="73"/>
    <x v="0"/>
    <x v="0"/>
    <n v="4"/>
    <n v="850"/>
    <x v="0"/>
    <x v="0"/>
    <n v="2550"/>
  </r>
  <r>
    <x v="74"/>
    <s v="CUST001"/>
    <x v="74"/>
    <x v="7"/>
    <x v="0"/>
    <n v="4"/>
    <n v="45"/>
    <x v="3"/>
    <x v="7"/>
    <n v="600"/>
  </r>
  <r>
    <x v="75"/>
    <s v="CUST004"/>
    <x v="75"/>
    <x v="7"/>
    <x v="0"/>
    <n v="4"/>
    <n v="45"/>
    <x v="1"/>
    <x v="7"/>
    <n v="600"/>
  </r>
  <r>
    <x v="76"/>
    <s v="CUST073"/>
    <x v="76"/>
    <x v="8"/>
    <x v="0"/>
    <n v="1"/>
    <n v="80"/>
    <x v="0"/>
    <x v="8"/>
    <n v="660"/>
  </r>
  <r>
    <x v="77"/>
    <s v="CUST033"/>
    <x v="77"/>
    <x v="0"/>
    <x v="0"/>
    <n v="5"/>
    <n v="850"/>
    <x v="4"/>
    <x v="0"/>
    <n v="900"/>
  </r>
  <r>
    <x v="78"/>
    <s v="CUST007"/>
    <x v="78"/>
    <x v="1"/>
    <x v="1"/>
    <n v="5"/>
    <n v="120"/>
    <x v="2"/>
    <x v="1"/>
    <n v="240"/>
  </r>
  <r>
    <x v="79"/>
    <s v="CUST023"/>
    <x v="79"/>
    <x v="7"/>
    <x v="0"/>
    <n v="1"/>
    <n v="45"/>
    <x v="0"/>
    <x v="7"/>
    <n v="1200"/>
  </r>
  <r>
    <x v="80"/>
    <s v="CUST060"/>
    <x v="80"/>
    <x v="2"/>
    <x v="2"/>
    <n v="5"/>
    <n v="110"/>
    <x v="4"/>
    <x v="2"/>
    <n v="1320"/>
  </r>
  <r>
    <x v="81"/>
    <s v="CUST061"/>
    <x v="81"/>
    <x v="4"/>
    <x v="1"/>
    <n v="2"/>
    <n v="50"/>
    <x v="5"/>
    <x v="4"/>
    <n v="220"/>
  </r>
  <r>
    <x v="82"/>
    <s v="CUST009"/>
    <x v="82"/>
    <x v="9"/>
    <x v="0"/>
    <n v="5"/>
    <n v="220"/>
    <x v="4"/>
    <x v="9"/>
    <n v="5100"/>
  </r>
  <r>
    <x v="83"/>
    <s v="CUST054"/>
    <x v="83"/>
    <x v="1"/>
    <x v="1"/>
    <n v="4"/>
    <n v="120"/>
    <x v="0"/>
    <x v="1"/>
    <n v="1500"/>
  </r>
  <r>
    <x v="84"/>
    <s v="CUST068"/>
    <x v="84"/>
    <x v="9"/>
    <x v="0"/>
    <n v="2"/>
    <n v="220"/>
    <x v="1"/>
    <x v="9"/>
    <n v="1100"/>
  </r>
  <r>
    <x v="85"/>
    <s v="CUST067"/>
    <x v="85"/>
    <x v="5"/>
    <x v="0"/>
    <n v="2"/>
    <n v="600"/>
    <x v="4"/>
    <x v="5"/>
    <n v="110"/>
  </r>
  <r>
    <x v="86"/>
    <s v="CUST001"/>
    <x v="86"/>
    <x v="7"/>
    <x v="0"/>
    <n v="2"/>
    <n v="45"/>
    <x v="0"/>
    <x v="7"/>
    <n v="660"/>
  </r>
  <r>
    <x v="87"/>
    <s v="CUST039"/>
    <x v="87"/>
    <x v="9"/>
    <x v="0"/>
    <n v="3"/>
    <n v="220"/>
    <x v="0"/>
    <x v="9"/>
    <n v="220"/>
  </r>
  <r>
    <x v="88"/>
    <s v="CUST014"/>
    <x v="88"/>
    <x v="1"/>
    <x v="1"/>
    <n v="5"/>
    <n v="120"/>
    <x v="2"/>
    <x v="1"/>
    <n v="110"/>
  </r>
  <r>
    <x v="89"/>
    <s v="CUST063"/>
    <x v="89"/>
    <x v="5"/>
    <x v="0"/>
    <n v="3"/>
    <n v="600"/>
    <x v="1"/>
    <x v="5"/>
    <n v="330"/>
  </r>
  <r>
    <x v="90"/>
    <s v="CUST009"/>
    <x v="0"/>
    <x v="4"/>
    <x v="1"/>
    <n v="1"/>
    <n v="50"/>
    <x v="1"/>
    <x v="4"/>
    <n v="120"/>
  </r>
  <r>
    <x v="91"/>
    <s v="CUST057"/>
    <x v="1"/>
    <x v="8"/>
    <x v="0"/>
    <n v="5"/>
    <n v="80"/>
    <x v="3"/>
    <x v="8"/>
    <n v="240"/>
  </r>
  <r>
    <x v="92"/>
    <s v="CUST065"/>
    <x v="2"/>
    <x v="0"/>
    <x v="0"/>
    <n v="3"/>
    <n v="850"/>
    <x v="0"/>
    <x v="0"/>
    <n v="2550"/>
  </r>
  <r>
    <x v="93"/>
    <s v="CUST031"/>
    <x v="3"/>
    <x v="6"/>
    <x v="0"/>
    <n v="3"/>
    <n v="300"/>
    <x v="0"/>
    <x v="6"/>
    <n v="3400"/>
  </r>
  <r>
    <x v="94"/>
    <s v="CUST074"/>
    <x v="4"/>
    <x v="0"/>
    <x v="0"/>
    <n v="1"/>
    <n v="850"/>
    <x v="1"/>
    <x v="0"/>
    <n v="850"/>
  </r>
  <r>
    <x v="95"/>
    <s v="CUST075"/>
    <x v="5"/>
    <x v="9"/>
    <x v="0"/>
    <n v="3"/>
    <n v="220"/>
    <x v="5"/>
    <x v="9"/>
    <n v="660"/>
  </r>
  <r>
    <x v="96"/>
    <s v="CUST054"/>
    <x v="6"/>
    <x v="6"/>
    <x v="0"/>
    <n v="1"/>
    <n v="300"/>
    <x v="1"/>
    <x v="6"/>
    <n v="300"/>
  </r>
  <r>
    <x v="97"/>
    <s v="CUST018"/>
    <x v="7"/>
    <x v="1"/>
    <x v="1"/>
    <n v="2"/>
    <n v="120"/>
    <x v="4"/>
    <x v="1"/>
    <n v="240"/>
  </r>
  <r>
    <x v="98"/>
    <s v="CUST070"/>
    <x v="8"/>
    <x v="3"/>
    <x v="2"/>
    <n v="3"/>
    <n v="90"/>
    <x v="1"/>
    <x v="3"/>
    <n v="270"/>
  </r>
  <r>
    <x v="99"/>
    <s v="CUST053"/>
    <x v="9"/>
    <x v="6"/>
    <x v="0"/>
    <n v="5"/>
    <n v="300"/>
    <x v="0"/>
    <x v="6"/>
    <n v="1500"/>
  </r>
  <r>
    <x v="100"/>
    <s v="CUST033"/>
    <x v="10"/>
    <x v="7"/>
    <x v="0"/>
    <n v="1"/>
    <n v="45"/>
    <x v="3"/>
    <x v="7"/>
    <n v="45"/>
  </r>
  <r>
    <x v="101"/>
    <s v="CUST002"/>
    <x v="11"/>
    <x v="4"/>
    <x v="1"/>
    <n v="3"/>
    <n v="50"/>
    <x v="1"/>
    <x v="4"/>
    <n v="150"/>
  </r>
  <r>
    <x v="102"/>
    <s v="CUST005"/>
    <x v="12"/>
    <x v="9"/>
    <x v="0"/>
    <n v="3"/>
    <n v="220"/>
    <x v="5"/>
    <x v="9"/>
    <n v="660"/>
  </r>
  <r>
    <x v="103"/>
    <s v="CUST055"/>
    <x v="13"/>
    <x v="6"/>
    <x v="0"/>
    <n v="3"/>
    <n v="300"/>
    <x v="5"/>
    <x v="6"/>
    <n v="900"/>
  </r>
  <r>
    <x v="104"/>
    <s v="CUST041"/>
    <x v="14"/>
    <x v="9"/>
    <x v="0"/>
    <n v="4"/>
    <n v="220"/>
    <x v="0"/>
    <x v="9"/>
    <n v="880"/>
  </r>
  <r>
    <x v="105"/>
    <s v="CUST005"/>
    <x v="15"/>
    <x v="5"/>
    <x v="0"/>
    <n v="1"/>
    <n v="600"/>
    <x v="4"/>
    <x v="5"/>
    <n v="600"/>
  </r>
  <r>
    <x v="106"/>
    <s v="CUST014"/>
    <x v="16"/>
    <x v="7"/>
    <x v="0"/>
    <n v="4"/>
    <n v="45"/>
    <x v="4"/>
    <x v="7"/>
    <n v="180"/>
  </r>
  <r>
    <x v="107"/>
    <s v="CUST011"/>
    <x v="17"/>
    <x v="3"/>
    <x v="2"/>
    <n v="5"/>
    <n v="90"/>
    <x v="0"/>
    <x v="3"/>
    <n v="450"/>
  </r>
  <r>
    <x v="108"/>
    <s v="CUST011"/>
    <x v="18"/>
    <x v="4"/>
    <x v="1"/>
    <n v="3"/>
    <n v="50"/>
    <x v="2"/>
    <x v="4"/>
    <n v="150"/>
  </r>
  <r>
    <x v="109"/>
    <s v="CUST007"/>
    <x v="19"/>
    <x v="6"/>
    <x v="0"/>
    <n v="5"/>
    <n v="300"/>
    <x v="4"/>
    <x v="6"/>
    <n v="1500"/>
  </r>
  <r>
    <x v="110"/>
    <s v="CUST013"/>
    <x v="20"/>
    <x v="4"/>
    <x v="1"/>
    <n v="1"/>
    <n v="50"/>
    <x v="4"/>
    <x v="4"/>
    <n v="50"/>
  </r>
  <r>
    <x v="111"/>
    <s v="CUST038"/>
    <x v="21"/>
    <x v="0"/>
    <x v="0"/>
    <n v="2"/>
    <n v="850"/>
    <x v="4"/>
    <x v="0"/>
    <n v="1700"/>
  </r>
  <r>
    <x v="112"/>
    <s v="CUST012"/>
    <x v="22"/>
    <x v="3"/>
    <x v="2"/>
    <n v="3"/>
    <n v="90"/>
    <x v="2"/>
    <x v="3"/>
    <n v="270"/>
  </r>
  <r>
    <x v="113"/>
    <s v="CUST003"/>
    <x v="23"/>
    <x v="7"/>
    <x v="0"/>
    <n v="4"/>
    <n v="45"/>
    <x v="0"/>
    <x v="7"/>
    <n v="180"/>
  </r>
  <r>
    <x v="114"/>
    <s v="CUST045"/>
    <x v="24"/>
    <x v="8"/>
    <x v="0"/>
    <n v="1"/>
    <n v="80"/>
    <x v="3"/>
    <x v="8"/>
    <n v="80"/>
  </r>
  <r>
    <x v="115"/>
    <s v="CUST029"/>
    <x v="25"/>
    <x v="1"/>
    <x v="1"/>
    <n v="2"/>
    <n v="120"/>
    <x v="2"/>
    <x v="1"/>
    <n v="240"/>
  </r>
  <r>
    <x v="116"/>
    <s v="CUST064"/>
    <x v="26"/>
    <x v="6"/>
    <x v="0"/>
    <n v="1"/>
    <n v="300"/>
    <x v="3"/>
    <x v="6"/>
    <n v="300"/>
  </r>
  <r>
    <x v="117"/>
    <s v="CUST019"/>
    <x v="27"/>
    <x v="8"/>
    <x v="0"/>
    <n v="5"/>
    <n v="80"/>
    <x v="1"/>
    <x v="8"/>
    <n v="400"/>
  </r>
  <r>
    <x v="118"/>
    <s v="CUST066"/>
    <x v="28"/>
    <x v="9"/>
    <x v="0"/>
    <n v="4"/>
    <n v="220"/>
    <x v="4"/>
    <x v="9"/>
    <n v="880"/>
  </r>
  <r>
    <x v="119"/>
    <s v="CUST015"/>
    <x v="29"/>
    <x v="6"/>
    <x v="0"/>
    <n v="2"/>
    <n v="300"/>
    <x v="4"/>
    <x v="6"/>
    <n v="600"/>
  </r>
  <r>
    <x v="120"/>
    <s v="CUST040"/>
    <x v="30"/>
    <x v="7"/>
    <x v="0"/>
    <n v="5"/>
    <n v="45"/>
    <x v="5"/>
    <x v="7"/>
    <n v="225"/>
  </r>
  <r>
    <x v="121"/>
    <s v="CUST029"/>
    <x v="31"/>
    <x v="1"/>
    <x v="1"/>
    <n v="5"/>
    <n v="120"/>
    <x v="3"/>
    <x v="1"/>
    <n v="600"/>
  </r>
  <r>
    <x v="122"/>
    <s v="CUST052"/>
    <x v="32"/>
    <x v="7"/>
    <x v="0"/>
    <n v="5"/>
    <n v="45"/>
    <x v="1"/>
    <x v="7"/>
    <n v="225"/>
  </r>
  <r>
    <x v="123"/>
    <s v="CUST040"/>
    <x v="33"/>
    <x v="6"/>
    <x v="0"/>
    <n v="1"/>
    <n v="300"/>
    <x v="5"/>
    <x v="6"/>
    <n v="300"/>
  </r>
  <r>
    <x v="124"/>
    <s v="CUST007"/>
    <x v="34"/>
    <x v="9"/>
    <x v="0"/>
    <n v="2"/>
    <n v="220"/>
    <x v="0"/>
    <x v="9"/>
    <n v="440"/>
  </r>
  <r>
    <x v="125"/>
    <s v="CUST004"/>
    <x v="35"/>
    <x v="9"/>
    <x v="0"/>
    <n v="3"/>
    <n v="220"/>
    <x v="1"/>
    <x v="9"/>
    <n v="660"/>
  </r>
  <r>
    <x v="126"/>
    <s v="CUST050"/>
    <x v="36"/>
    <x v="7"/>
    <x v="0"/>
    <n v="2"/>
    <n v="45"/>
    <x v="4"/>
    <x v="7"/>
    <n v="90"/>
  </r>
  <r>
    <x v="127"/>
    <s v="CUST050"/>
    <x v="37"/>
    <x v="3"/>
    <x v="2"/>
    <n v="4"/>
    <n v="90"/>
    <x v="2"/>
    <x v="3"/>
    <n v="360"/>
  </r>
  <r>
    <x v="128"/>
    <s v="CUST032"/>
    <x v="38"/>
    <x v="8"/>
    <x v="0"/>
    <n v="2"/>
    <n v="80"/>
    <x v="5"/>
    <x v="8"/>
    <n v="160"/>
  </r>
  <r>
    <x v="129"/>
    <s v="CUST061"/>
    <x v="39"/>
    <x v="0"/>
    <x v="0"/>
    <n v="1"/>
    <n v="850"/>
    <x v="0"/>
    <x v="0"/>
    <n v="850"/>
  </r>
  <r>
    <x v="130"/>
    <s v="CUST062"/>
    <x v="40"/>
    <x v="3"/>
    <x v="2"/>
    <n v="1"/>
    <n v="90"/>
    <x v="4"/>
    <x v="3"/>
    <n v="90"/>
  </r>
  <r>
    <x v="131"/>
    <s v="CUST054"/>
    <x v="41"/>
    <x v="6"/>
    <x v="0"/>
    <n v="3"/>
    <n v="300"/>
    <x v="2"/>
    <x v="6"/>
    <n v="900"/>
  </r>
  <r>
    <x v="132"/>
    <s v="CUST007"/>
    <x v="42"/>
    <x v="9"/>
    <x v="0"/>
    <n v="4"/>
    <n v="220"/>
    <x v="2"/>
    <x v="9"/>
    <n v="880"/>
  </r>
  <r>
    <x v="133"/>
    <s v="CUST038"/>
    <x v="43"/>
    <x v="2"/>
    <x v="2"/>
    <n v="3"/>
    <n v="110"/>
    <x v="1"/>
    <x v="2"/>
    <n v="330"/>
  </r>
  <r>
    <x v="134"/>
    <s v="CUST018"/>
    <x v="44"/>
    <x v="2"/>
    <x v="2"/>
    <n v="2"/>
    <n v="110"/>
    <x v="0"/>
    <x v="2"/>
    <n v="220"/>
  </r>
  <r>
    <x v="135"/>
    <s v="CUST009"/>
    <x v="45"/>
    <x v="3"/>
    <x v="2"/>
    <n v="1"/>
    <n v="90"/>
    <x v="3"/>
    <x v="3"/>
    <n v="90"/>
  </r>
  <r>
    <x v="136"/>
    <s v="CUST026"/>
    <x v="46"/>
    <x v="9"/>
    <x v="0"/>
    <n v="2"/>
    <n v="220"/>
    <x v="1"/>
    <x v="9"/>
    <n v="440"/>
  </r>
  <r>
    <x v="137"/>
    <s v="CUST041"/>
    <x v="47"/>
    <x v="3"/>
    <x v="2"/>
    <n v="1"/>
    <n v="90"/>
    <x v="0"/>
    <x v="3"/>
    <n v="90"/>
  </r>
  <r>
    <x v="138"/>
    <s v="CUST037"/>
    <x v="48"/>
    <x v="2"/>
    <x v="2"/>
    <n v="3"/>
    <n v="110"/>
    <x v="1"/>
    <x v="2"/>
    <n v="330"/>
  </r>
  <r>
    <x v="139"/>
    <s v="CUST068"/>
    <x v="49"/>
    <x v="2"/>
    <x v="2"/>
    <n v="3"/>
    <n v="110"/>
    <x v="4"/>
    <x v="2"/>
    <n v="330"/>
  </r>
  <r>
    <x v="140"/>
    <s v="CUST059"/>
    <x v="50"/>
    <x v="7"/>
    <x v="0"/>
    <n v="5"/>
    <n v="45"/>
    <x v="1"/>
    <x v="7"/>
    <n v="225"/>
  </r>
  <r>
    <x v="141"/>
    <s v="CUST032"/>
    <x v="51"/>
    <x v="8"/>
    <x v="0"/>
    <n v="4"/>
    <n v="80"/>
    <x v="4"/>
    <x v="8"/>
    <n v="320"/>
  </r>
  <r>
    <x v="142"/>
    <s v="CUST005"/>
    <x v="52"/>
    <x v="1"/>
    <x v="1"/>
    <n v="3"/>
    <n v="120"/>
    <x v="1"/>
    <x v="1"/>
    <n v="360"/>
  </r>
  <r>
    <x v="143"/>
    <s v="CUST031"/>
    <x v="53"/>
    <x v="1"/>
    <x v="1"/>
    <n v="5"/>
    <n v="120"/>
    <x v="3"/>
    <x v="1"/>
    <n v="600"/>
  </r>
  <r>
    <x v="144"/>
    <s v="CUST015"/>
    <x v="54"/>
    <x v="4"/>
    <x v="1"/>
    <n v="4"/>
    <n v="50"/>
    <x v="3"/>
    <x v="4"/>
    <n v="200"/>
  </r>
  <r>
    <x v="145"/>
    <s v="CUST008"/>
    <x v="55"/>
    <x v="7"/>
    <x v="0"/>
    <n v="4"/>
    <n v="45"/>
    <x v="3"/>
    <x v="7"/>
    <n v="180"/>
  </r>
  <r>
    <x v="146"/>
    <s v="CUST047"/>
    <x v="56"/>
    <x v="0"/>
    <x v="0"/>
    <n v="4"/>
    <n v="850"/>
    <x v="4"/>
    <x v="0"/>
    <n v="3400"/>
  </r>
  <r>
    <x v="147"/>
    <s v="CUST017"/>
    <x v="57"/>
    <x v="7"/>
    <x v="0"/>
    <n v="4"/>
    <n v="45"/>
    <x v="0"/>
    <x v="7"/>
    <n v="180"/>
  </r>
  <r>
    <x v="148"/>
    <s v="CUST013"/>
    <x v="58"/>
    <x v="0"/>
    <x v="0"/>
    <n v="2"/>
    <n v="850"/>
    <x v="5"/>
    <x v="0"/>
    <n v="1700"/>
  </r>
  <r>
    <x v="149"/>
    <s v="CUST034"/>
    <x v="59"/>
    <x v="8"/>
    <x v="0"/>
    <n v="2"/>
    <n v="80"/>
    <x v="5"/>
    <x v="8"/>
    <n v="1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D9BF9C-B78E-47CB-ADA0-2656A819294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4" firstHeaderRow="1" firstDataRow="1" firstDataCol="1"/>
  <pivotFields count="10">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91">
        <item x="0"/>
        <item x="31"/>
        <item x="59"/>
        <item x="1"/>
        <item x="32"/>
        <item x="60"/>
        <item x="2"/>
        <item x="33"/>
        <item x="61"/>
        <item x="3"/>
        <item x="34"/>
        <item x="62"/>
        <item x="4"/>
        <item x="35"/>
        <item x="63"/>
        <item x="5"/>
        <item x="36"/>
        <item x="64"/>
        <item x="6"/>
        <item x="37"/>
        <item x="65"/>
        <item x="7"/>
        <item x="38"/>
        <item x="66"/>
        <item x="8"/>
        <item x="39"/>
        <item x="67"/>
        <item x="9"/>
        <item x="40"/>
        <item x="68"/>
        <item x="10"/>
        <item x="41"/>
        <item x="69"/>
        <item x="11"/>
        <item x="42"/>
        <item x="70"/>
        <item x="12"/>
        <item x="43"/>
        <item x="71"/>
        <item x="13"/>
        <item x="44"/>
        <item x="72"/>
        <item x="14"/>
        <item x="45"/>
        <item x="73"/>
        <item x="15"/>
        <item x="46"/>
        <item x="74"/>
        <item x="16"/>
        <item x="47"/>
        <item x="75"/>
        <item x="17"/>
        <item x="48"/>
        <item x="76"/>
        <item x="18"/>
        <item x="49"/>
        <item x="77"/>
        <item x="19"/>
        <item x="50"/>
        <item x="78"/>
        <item x="20"/>
        <item x="51"/>
        <item x="79"/>
        <item x="21"/>
        <item x="52"/>
        <item x="80"/>
        <item x="22"/>
        <item x="53"/>
        <item x="81"/>
        <item x="23"/>
        <item x="54"/>
        <item x="82"/>
        <item x="24"/>
        <item x="55"/>
        <item x="83"/>
        <item x="25"/>
        <item x="56"/>
        <item x="84"/>
        <item x="26"/>
        <item x="57"/>
        <item x="85"/>
        <item x="27"/>
        <item x="58"/>
        <item x="86"/>
        <item x="28"/>
        <item x="87"/>
        <item x="29"/>
        <item x="88"/>
        <item x="30"/>
        <item x="89"/>
        <item t="default"/>
      </items>
    </pivotField>
    <pivotField axis="axisRow" showAll="0" sortType="descending">
      <items count="11">
        <item x="6"/>
        <item x="5"/>
        <item x="9"/>
        <item x="1"/>
        <item x="0"/>
        <item x="8"/>
        <item x="7"/>
        <item x="3"/>
        <item x="4"/>
        <item x="2"/>
        <item t="default"/>
      </items>
    </pivotField>
    <pivotField showAll="0">
      <items count="4">
        <item x="0"/>
        <item x="1"/>
        <item x="2"/>
        <item t="default"/>
      </items>
    </pivotField>
    <pivotField showAll="0"/>
    <pivotField showAll="0"/>
    <pivotField showAll="0">
      <items count="7">
        <item h="1" x="1"/>
        <item h="1" x="3"/>
        <item h="1" x="4"/>
        <item h="1" x="5"/>
        <item x="2"/>
        <item h="1" x="0"/>
        <item t="default"/>
      </items>
    </pivotField>
    <pivotField showAll="0"/>
    <pivotField showAll="0"/>
  </pivotFields>
  <rowFields count="1">
    <field x="3"/>
  </rowFields>
  <rowItems count="11">
    <i>
      <x/>
    </i>
    <i>
      <x v="1"/>
    </i>
    <i>
      <x v="2"/>
    </i>
    <i>
      <x v="3"/>
    </i>
    <i>
      <x v="4"/>
    </i>
    <i>
      <x v="5"/>
    </i>
    <i>
      <x v="6"/>
    </i>
    <i>
      <x v="7"/>
    </i>
    <i>
      <x v="8"/>
    </i>
    <i>
      <x v="9"/>
    </i>
    <i t="grand">
      <x/>
    </i>
  </rowItems>
  <colItems count="1">
    <i/>
  </colItems>
  <dataFields count="1">
    <dataField name="Count of Transaction_ID" fld="0" subtotal="count" baseField="0" baseItem="0"/>
  </dataFields>
  <chartFormats count="1">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7D2DAE-4F26-4AF9-9A93-7C0B88480FB9}" name="PivotTable15"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multipleFieldFilters="0">
  <location ref="A47:K58" firstHeaderRow="1" firstDataRow="2" firstDataCol="1"/>
  <pivotFields count="10">
    <pivotField compact="0" outline="0" showAll="0"/>
    <pivotField dataField="1" compact="0" outline="0" showAll="0"/>
    <pivotField compact="0" outline="0" showAll="0"/>
    <pivotField axis="axisRow" compact="0" outline="0" showAll="0" sortType="descending">
      <items count="11">
        <item x="6"/>
        <item x="5"/>
        <item x="9"/>
        <item x="1"/>
        <item x="0"/>
        <item x="8"/>
        <item x="7"/>
        <item x="3"/>
        <item x="4"/>
        <item x="2"/>
        <item t="default"/>
      </items>
    </pivotField>
    <pivotField compact="0" outline="0" showAll="0"/>
    <pivotField compact="0" outline="0" showAll="0"/>
    <pivotField compact="0" outline="0" showAll="0"/>
    <pivotField compact="0" outline="0" showAll="0"/>
    <pivotField axis="axisCol" compact="0" outline="0" showAll="0">
      <items count="11">
        <item x="8"/>
        <item x="3"/>
        <item x="2"/>
        <item x="7"/>
        <item x="5"/>
        <item x="1"/>
        <item x="6"/>
        <item x="9"/>
        <item x="4"/>
        <item x="0"/>
        <item t="default"/>
      </items>
    </pivotField>
    <pivotField compact="0" outline="0" showAll="0"/>
  </pivotFields>
  <rowFields count="1">
    <field x="3"/>
  </rowFields>
  <rowItems count="10">
    <i>
      <x/>
    </i>
    <i>
      <x v="1"/>
    </i>
    <i>
      <x v="2"/>
    </i>
    <i>
      <x v="3"/>
    </i>
    <i>
      <x v="4"/>
    </i>
    <i>
      <x v="5"/>
    </i>
    <i>
      <x v="6"/>
    </i>
    <i>
      <x v="7"/>
    </i>
    <i>
      <x v="8"/>
    </i>
    <i>
      <x v="9"/>
    </i>
  </rowItems>
  <colFields count="1">
    <field x="8"/>
  </colFields>
  <colItems count="10">
    <i>
      <x/>
    </i>
    <i>
      <x v="1"/>
    </i>
    <i>
      <x v="2"/>
    </i>
    <i>
      <x v="3"/>
    </i>
    <i>
      <x v="4"/>
    </i>
    <i>
      <x v="5"/>
    </i>
    <i>
      <x v="6"/>
    </i>
    <i>
      <x v="7"/>
    </i>
    <i>
      <x v="8"/>
    </i>
    <i>
      <x v="9"/>
    </i>
  </colItems>
  <dataFields count="1">
    <dataField name="Count of Customer_ID" fld="1" subtotal="count" baseField="0" baseItem="0"/>
  </dataFields>
  <conditionalFormats count="2">
    <conditionalFormat priority="3">
      <pivotAreas count="1">
        <pivotArea type="data" collapsedLevelsAreSubtotals="1" fieldPosition="0">
          <references count="3">
            <reference field="4294967294" count="1" selected="0">
              <x v="0"/>
            </reference>
            <reference field="3" count="1">
              <x v="3"/>
            </reference>
            <reference field="8" count="1" selected="0">
              <x v="0"/>
            </reference>
          </references>
        </pivotArea>
      </pivotAreas>
    </conditionalFormat>
    <conditionalFormat priority="1">
      <pivotAreas count="1">
        <pivotArea type="data" collapsedLevelsAreSubtotals="1" fieldPosition="0">
          <references count="3">
            <reference field="4294967294" count="1" selected="0">
              <x v="0"/>
            </reference>
            <reference field="3" count="10">
              <x v="0"/>
              <x v="1"/>
              <x v="2"/>
              <x v="3"/>
              <x v="4"/>
              <x v="5"/>
              <x v="6"/>
              <x v="7"/>
              <x v="8"/>
              <x v="9"/>
            </reference>
            <reference field="8" count="10" selected="0">
              <x v="0"/>
              <x v="1"/>
              <x v="2"/>
              <x v="3"/>
              <x v="4"/>
              <x v="5"/>
              <x v="6"/>
              <x v="7"/>
              <x v="8"/>
              <x v="9"/>
            </reference>
          </references>
        </pivotArea>
      </pivotAreas>
    </conditionalFormat>
  </conditionalFormats>
  <pivotTableStyleInfo name="PivotStyleLight1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A8C88B-B0AE-4AD1-B499-CACF878476D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0:B44" firstHeaderRow="1" firstDataRow="1" firstDataCol="1"/>
  <pivotFields count="10">
    <pivotField showAll="0"/>
    <pivotField showAll="0"/>
    <pivotField showAll="0"/>
    <pivotField showAll="0"/>
    <pivotField axis="axisRow" showAll="0">
      <items count="4">
        <item x="0"/>
        <item x="1"/>
        <item x="2"/>
        <item t="default"/>
      </items>
    </pivotField>
    <pivotField showAll="0"/>
    <pivotField showAll="0"/>
    <pivotField showAll="0"/>
    <pivotField dataField="1" showAll="0"/>
    <pivotField showAll="0"/>
  </pivotFields>
  <rowFields count="1">
    <field x="4"/>
  </rowFields>
  <rowItems count="4">
    <i>
      <x/>
    </i>
    <i>
      <x v="1"/>
    </i>
    <i>
      <x v="2"/>
    </i>
    <i t="grand">
      <x/>
    </i>
  </rowItems>
  <colItems count="1">
    <i/>
  </colItems>
  <dataFields count="1">
    <dataField name="Count of Cross_Sell_Product" fld="8" subtotal="count" baseField="0" baseItem="0"/>
  </dataFields>
  <chartFormats count="4">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4" count="1" selected="0">
            <x v="0"/>
          </reference>
        </references>
      </pivotArea>
    </chartFormat>
    <chartFormat chart="14" format="15">
      <pivotArea type="data" outline="0" fieldPosition="0">
        <references count="2">
          <reference field="4294967294" count="1" selected="0">
            <x v="0"/>
          </reference>
          <reference field="4" count="1" selected="0">
            <x v="1"/>
          </reference>
        </references>
      </pivotArea>
    </chartFormat>
    <chartFormat chart="14" format="1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F6EA46-5201-431B-875A-7CF51B5F1C9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6:L38" firstHeaderRow="1" firstDataRow="2" firstDataCol="1"/>
  <pivotFields count="10">
    <pivotField dataField="1" showAll="0"/>
    <pivotField showAll="0"/>
    <pivotField showAll="0"/>
    <pivotField axis="axisRow" showAll="0">
      <items count="11">
        <item x="2"/>
        <item x="4"/>
        <item x="3"/>
        <item x="7"/>
        <item x="8"/>
        <item x="0"/>
        <item x="1"/>
        <item x="9"/>
        <item x="5"/>
        <item x="6"/>
        <item t="default"/>
      </items>
    </pivotField>
    <pivotField showAll="0"/>
    <pivotField showAll="0"/>
    <pivotField showAll="0"/>
    <pivotField showAll="0"/>
    <pivotField axis="axisCol" showAll="0">
      <items count="11">
        <item x="8"/>
        <item x="3"/>
        <item x="2"/>
        <item x="7"/>
        <item x="5"/>
        <item x="1"/>
        <item x="6"/>
        <item x="9"/>
        <item x="4"/>
        <item x="0"/>
        <item t="default"/>
      </items>
    </pivotField>
    <pivotField showAll="0"/>
  </pivotFields>
  <rowFields count="1">
    <field x="3"/>
  </rowFields>
  <rowItems count="11">
    <i>
      <x/>
    </i>
    <i>
      <x v="1"/>
    </i>
    <i>
      <x v="2"/>
    </i>
    <i>
      <x v="3"/>
    </i>
    <i>
      <x v="4"/>
    </i>
    <i>
      <x v="5"/>
    </i>
    <i>
      <x v="6"/>
    </i>
    <i>
      <x v="7"/>
    </i>
    <i>
      <x v="8"/>
    </i>
    <i>
      <x v="9"/>
    </i>
    <i t="grand">
      <x/>
    </i>
  </rowItems>
  <colFields count="1">
    <field x="8"/>
  </colFields>
  <colItems count="11">
    <i>
      <x/>
    </i>
    <i>
      <x v="1"/>
    </i>
    <i>
      <x v="2"/>
    </i>
    <i>
      <x v="3"/>
    </i>
    <i>
      <x v="4"/>
    </i>
    <i>
      <x v="5"/>
    </i>
    <i>
      <x v="6"/>
    </i>
    <i>
      <x v="7"/>
    </i>
    <i>
      <x v="8"/>
    </i>
    <i>
      <x v="9"/>
    </i>
    <i t="grand">
      <x/>
    </i>
  </colItems>
  <dataFields count="1">
    <dataField name="Count of Transaction_ID" fld="0" subtotal="count" baseField="0" baseItem="0"/>
  </dataFields>
  <chartFormats count="10">
    <chartFormat chart="14" format="40" series="1">
      <pivotArea type="data" outline="0" fieldPosition="0">
        <references count="2">
          <reference field="4294967294" count="1" selected="0">
            <x v="0"/>
          </reference>
          <reference field="8" count="1" selected="0">
            <x v="0"/>
          </reference>
        </references>
      </pivotArea>
    </chartFormat>
    <chartFormat chart="14" format="41" series="1">
      <pivotArea type="data" outline="0" fieldPosition="0">
        <references count="2">
          <reference field="4294967294" count="1" selected="0">
            <x v="0"/>
          </reference>
          <reference field="8" count="1" selected="0">
            <x v="1"/>
          </reference>
        </references>
      </pivotArea>
    </chartFormat>
    <chartFormat chart="14" format="42" series="1">
      <pivotArea type="data" outline="0" fieldPosition="0">
        <references count="2">
          <reference field="4294967294" count="1" selected="0">
            <x v="0"/>
          </reference>
          <reference field="8" count="1" selected="0">
            <x v="2"/>
          </reference>
        </references>
      </pivotArea>
    </chartFormat>
    <chartFormat chart="14" format="43" series="1">
      <pivotArea type="data" outline="0" fieldPosition="0">
        <references count="2">
          <reference field="4294967294" count="1" selected="0">
            <x v="0"/>
          </reference>
          <reference field="8" count="1" selected="0">
            <x v="3"/>
          </reference>
        </references>
      </pivotArea>
    </chartFormat>
    <chartFormat chart="14" format="44" series="1">
      <pivotArea type="data" outline="0" fieldPosition="0">
        <references count="2">
          <reference field="4294967294" count="1" selected="0">
            <x v="0"/>
          </reference>
          <reference field="8" count="1" selected="0">
            <x v="4"/>
          </reference>
        </references>
      </pivotArea>
    </chartFormat>
    <chartFormat chart="14" format="45" series="1">
      <pivotArea type="data" outline="0" fieldPosition="0">
        <references count="2">
          <reference field="4294967294" count="1" selected="0">
            <x v="0"/>
          </reference>
          <reference field="8" count="1" selected="0">
            <x v="5"/>
          </reference>
        </references>
      </pivotArea>
    </chartFormat>
    <chartFormat chart="14" format="46" series="1">
      <pivotArea type="data" outline="0" fieldPosition="0">
        <references count="2">
          <reference field="4294967294" count="1" selected="0">
            <x v="0"/>
          </reference>
          <reference field="8" count="1" selected="0">
            <x v="6"/>
          </reference>
        </references>
      </pivotArea>
    </chartFormat>
    <chartFormat chart="14" format="47" series="1">
      <pivotArea type="data" outline="0" fieldPosition="0">
        <references count="2">
          <reference field="4294967294" count="1" selected="0">
            <x v="0"/>
          </reference>
          <reference field="8" count="1" selected="0">
            <x v="7"/>
          </reference>
        </references>
      </pivotArea>
    </chartFormat>
    <chartFormat chart="14" format="48" series="1">
      <pivotArea type="data" outline="0" fieldPosition="0">
        <references count="2">
          <reference field="4294967294" count="1" selected="0">
            <x v="0"/>
          </reference>
          <reference field="8" count="1" selected="0">
            <x v="8"/>
          </reference>
        </references>
      </pivotArea>
    </chartFormat>
    <chartFormat chart="14" format="49" series="1">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50C1F7-9364-4D17-A4CB-7C919CA6211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7:B23" firstHeaderRow="1" firstDataRow="1" firstDataCol="1"/>
  <pivotFields count="10">
    <pivotField dataField="1" showAll="0"/>
    <pivotField showAll="0"/>
    <pivotField showAll="0"/>
    <pivotField showAll="0"/>
    <pivotField showAll="0"/>
    <pivotField showAll="0"/>
    <pivotField showAll="0"/>
    <pivotField showAll="0"/>
    <pivotField axis="axisRow" showAll="0" measureFilter="1">
      <items count="11">
        <item x="8"/>
        <item x="3"/>
        <item x="2"/>
        <item x="7"/>
        <item x="5"/>
        <item x="1"/>
        <item x="6"/>
        <item x="9"/>
        <item x="4"/>
        <item x="0"/>
        <item t="default"/>
      </items>
    </pivotField>
    <pivotField showAll="0"/>
  </pivotFields>
  <rowFields count="1">
    <field x="8"/>
  </rowFields>
  <rowItems count="6">
    <i>
      <x v="3"/>
    </i>
    <i>
      <x v="4"/>
    </i>
    <i>
      <x v="5"/>
    </i>
    <i>
      <x v="6"/>
    </i>
    <i>
      <x v="7"/>
    </i>
    <i t="grand">
      <x/>
    </i>
  </rowItems>
  <colItems count="1">
    <i/>
  </colItems>
  <dataFields count="1">
    <dataField name="Count of Transaction_ID" fld="0" subtotal="count" baseField="0" baseItem="0"/>
  </dataFields>
  <chartFormats count="1">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B580354-FDCF-42D0-8405-2E0B797DD548}" sourceName="Product_Name">
  <pivotTables>
    <pivotTable tabId="13" name="PivotTable11"/>
  </pivotTables>
  <data>
    <tabular pivotCacheId="877990015">
      <items count="10">
        <i x="2" s="1"/>
        <i x="4" s="1"/>
        <i x="3" s="1"/>
        <i x="7" s="1"/>
        <i x="8" s="1"/>
        <i x="0" s="1"/>
        <i x="1" s="1"/>
        <i x="9"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70D1E5-B2C1-407D-AAAC-D981C2367613}" sourceName="Category">
  <pivotTables>
    <pivotTable tabId="13" name="PivotTable11"/>
  </pivotTables>
  <data>
    <tabular pivotCacheId="87799001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DB703CE3-0662-4E62-AF99-8E05F933E766}" sourceName="Order_Date">
  <pivotTables>
    <pivotTable tabId="13" name="PivotTable11"/>
  </pivotTables>
  <data>
    <tabular pivotCacheId="877990015">
      <items count="90">
        <i x="59" s="1"/>
        <i x="2" s="1"/>
        <i x="62" s="1"/>
        <i x="37" s="1"/>
        <i x="9" s="1"/>
        <i x="40" s="1"/>
        <i x="41" s="1"/>
        <i x="11" s="1"/>
        <i x="42" s="1"/>
        <i x="13" s="1"/>
        <i x="14" s="1"/>
        <i x="17" s="1"/>
        <i x="18" s="1"/>
        <i x="78" s="1"/>
        <i x="22" s="1"/>
        <i x="25" s="1"/>
        <i x="26" s="1"/>
        <i x="88" s="1"/>
        <i x="0" s="1" nd="1"/>
        <i x="31" s="1" nd="1"/>
        <i x="1" s="1" nd="1"/>
        <i x="32" s="1" nd="1"/>
        <i x="60" s="1" nd="1"/>
        <i x="33" s="1" nd="1"/>
        <i x="61" s="1" nd="1"/>
        <i x="3" s="1" nd="1"/>
        <i x="34" s="1" nd="1"/>
        <i x="4" s="1" nd="1"/>
        <i x="35" s="1" nd="1"/>
        <i x="63" s="1" nd="1"/>
        <i x="5" s="1" nd="1"/>
        <i x="36" s="1" nd="1"/>
        <i x="64" s="1" nd="1"/>
        <i x="6" s="1" nd="1"/>
        <i x="65" s="1" nd="1"/>
        <i x="7" s="1" nd="1"/>
        <i x="38" s="1" nd="1"/>
        <i x="66" s="1" nd="1"/>
        <i x="8" s="1" nd="1"/>
        <i x="39" s="1" nd="1"/>
        <i x="67" s="1" nd="1"/>
        <i x="68" s="1" nd="1"/>
        <i x="10" s="1" nd="1"/>
        <i x="69" s="1" nd="1"/>
        <i x="70" s="1" nd="1"/>
        <i x="12" s="1" nd="1"/>
        <i x="43" s="1" nd="1"/>
        <i x="71" s="1" nd="1"/>
        <i x="44" s="1" nd="1"/>
        <i x="72" s="1" nd="1"/>
        <i x="45" s="1" nd="1"/>
        <i x="73" s="1" nd="1"/>
        <i x="15" s="1" nd="1"/>
        <i x="46" s="1" nd="1"/>
        <i x="74" s="1" nd="1"/>
        <i x="16" s="1" nd="1"/>
        <i x="47" s="1" nd="1"/>
        <i x="75" s="1" nd="1"/>
        <i x="48" s="1" nd="1"/>
        <i x="76" s="1" nd="1"/>
        <i x="49" s="1" nd="1"/>
        <i x="77" s="1" nd="1"/>
        <i x="19" s="1" nd="1"/>
        <i x="50" s="1" nd="1"/>
        <i x="20" s="1" nd="1"/>
        <i x="51" s="1" nd="1"/>
        <i x="79" s="1" nd="1"/>
        <i x="21" s="1" nd="1"/>
        <i x="52" s="1" nd="1"/>
        <i x="80" s="1" nd="1"/>
        <i x="53" s="1" nd="1"/>
        <i x="81" s="1" nd="1"/>
        <i x="23" s="1" nd="1"/>
        <i x="54" s="1" nd="1"/>
        <i x="82" s="1" nd="1"/>
        <i x="24" s="1" nd="1"/>
        <i x="55" s="1" nd="1"/>
        <i x="83" s="1" nd="1"/>
        <i x="56" s="1" nd="1"/>
        <i x="84" s="1" nd="1"/>
        <i x="57" s="1" nd="1"/>
        <i x="85" s="1" nd="1"/>
        <i x="27" s="1" nd="1"/>
        <i x="58" s="1" nd="1"/>
        <i x="86" s="1" nd="1"/>
        <i x="28" s="1" nd="1"/>
        <i x="87" s="1" nd="1"/>
        <i x="29" s="1" nd="1"/>
        <i x="30" s="1" nd="1"/>
        <i x="8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sket_Size" xr10:uid="{F167617B-5F2B-4174-A212-FB1D6E87F1FF}" sourceName="Basket_Size">
  <pivotTables>
    <pivotTable tabId="13" name="PivotTable11"/>
  </pivotTables>
  <data>
    <tabular pivotCacheId="877990015">
      <items count="6">
        <i x="1"/>
        <i x="3"/>
        <i x="4"/>
        <i x="5"/>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A9CBFAF5-22F1-4B2D-AE18-397080F1E4E7}" cache="Slicer_Product_Name" caption="Product_Name" rowHeight="241300"/>
  <slicer name="Category 1" xr10:uid="{5E688A32-F5DB-482B-9BFF-FDE82E995099}" cache="Slicer_Category" caption="Category" rowHeight="241300"/>
  <slicer name="Order_Date" xr10:uid="{77A07644-5C54-4F63-AAFA-705B295D3F8F}" cache="Slicer_Order_Date" caption="Order_Date" rowHeight="241300"/>
  <slicer name="Basket_Size" xr10:uid="{846F8B07-97EE-492B-B883-0776386D441B}" cache="Slicer_Basket_Size" caption="Basket_Siz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2" xr10:uid="{E1B7447B-6954-4D31-BBB6-9EEE7A96EBFF}" cache="Slicer_Product_Name" caption="Product_Name" rowHeight="241300"/>
  <slicer name="Category 2" xr10:uid="{B3DEC24C-5DDD-424B-9070-A8887D6147CF}" cache="Slicer_Category" caption="Category" rowHeight="241300"/>
  <slicer name="Order_Date 1" xr10:uid="{3122E1CF-61F9-4FE3-A131-3879C8A064FC}" cache="Slicer_Order_Date" caption="Order_Date" rowHeight="241300"/>
  <slicer name="Basket_Size 1" xr10:uid="{655B7F4A-0BE8-44EB-8F84-BE80CC44B028}" cache="Slicer_Basket_Size" caption="Basket_Siz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7CA00-B560-40F3-806F-7A5D8089009C}">
  <dimension ref="A3:L73"/>
  <sheetViews>
    <sheetView topLeftCell="A34" workbookViewId="0">
      <selection activeCell="M3" sqref="M3"/>
    </sheetView>
  </sheetViews>
  <sheetFormatPr defaultRowHeight="14.5"/>
  <cols>
    <col min="1" max="1" width="13.453125" bestFit="1" customWidth="1"/>
    <col min="2" max="2" width="21.453125" bestFit="1" customWidth="1"/>
    <col min="3" max="3" width="10.81640625" bestFit="1" customWidth="1"/>
    <col min="4" max="4" width="12.6328125" bestFit="1" customWidth="1"/>
    <col min="5" max="5" width="15.7265625" bestFit="1" customWidth="1"/>
    <col min="6" max="6" width="10.54296875" bestFit="1" customWidth="1"/>
    <col min="7" max="7" width="11.26953125" bestFit="1" customWidth="1"/>
    <col min="8" max="8" width="11.36328125" bestFit="1" customWidth="1"/>
    <col min="9" max="9" width="11.1796875" bestFit="1" customWidth="1"/>
    <col min="10" max="10" width="11.6328125" bestFit="1" customWidth="1"/>
    <col min="11" max="11" width="14.1796875" bestFit="1" customWidth="1"/>
    <col min="12" max="12" width="10.7265625" bestFit="1" customWidth="1"/>
  </cols>
  <sheetData>
    <row r="3" spans="1:2">
      <c r="A3" s="3" t="s">
        <v>341</v>
      </c>
      <c r="B3" t="s">
        <v>343</v>
      </c>
    </row>
    <row r="4" spans="1:2">
      <c r="A4" s="4" t="s">
        <v>51</v>
      </c>
      <c r="B4" s="25">
        <v>3</v>
      </c>
    </row>
    <row r="5" spans="1:2">
      <c r="A5" s="4" t="s">
        <v>40</v>
      </c>
      <c r="B5" s="25">
        <v>2</v>
      </c>
    </row>
    <row r="6" spans="1:2">
      <c r="A6" s="4" t="s">
        <v>83</v>
      </c>
      <c r="B6" s="25">
        <v>3</v>
      </c>
    </row>
    <row r="7" spans="1:2">
      <c r="A7" s="4" t="s">
        <v>18</v>
      </c>
      <c r="B7" s="25">
        <v>3</v>
      </c>
    </row>
    <row r="8" spans="1:2">
      <c r="A8" s="4" t="s">
        <v>12</v>
      </c>
      <c r="B8" s="25">
        <v>1</v>
      </c>
    </row>
    <row r="9" spans="1:2">
      <c r="A9" s="4" t="s">
        <v>61</v>
      </c>
      <c r="B9" s="25">
        <v>1</v>
      </c>
    </row>
    <row r="10" spans="1:2">
      <c r="A10" s="4" t="s">
        <v>56</v>
      </c>
      <c r="B10" s="25">
        <v>1</v>
      </c>
    </row>
    <row r="11" spans="1:2">
      <c r="A11" s="4" t="s">
        <v>30</v>
      </c>
      <c r="B11" s="25">
        <v>2</v>
      </c>
    </row>
    <row r="12" spans="1:2">
      <c r="A12" s="4" t="s">
        <v>35</v>
      </c>
      <c r="B12" s="25">
        <v>2</v>
      </c>
    </row>
    <row r="13" spans="1:2">
      <c r="A13" s="4" t="s">
        <v>24</v>
      </c>
      <c r="B13" s="25">
        <v>1</v>
      </c>
    </row>
    <row r="14" spans="1:2">
      <c r="A14" s="4" t="s">
        <v>342</v>
      </c>
      <c r="B14" s="25">
        <v>19</v>
      </c>
    </row>
    <row r="17" spans="1:12">
      <c r="A17" s="3" t="s">
        <v>341</v>
      </c>
      <c r="B17" t="s">
        <v>343</v>
      </c>
    </row>
    <row r="18" spans="1:12">
      <c r="A18" s="4" t="s">
        <v>57</v>
      </c>
      <c r="B18">
        <v>16</v>
      </c>
    </row>
    <row r="19" spans="1:12">
      <c r="A19" s="4" t="s">
        <v>41</v>
      </c>
      <c r="B19">
        <v>16</v>
      </c>
    </row>
    <row r="20" spans="1:12">
      <c r="A20" s="4" t="s">
        <v>20</v>
      </c>
      <c r="B20">
        <v>18</v>
      </c>
    </row>
    <row r="21" spans="1:12">
      <c r="A21" s="4" t="s">
        <v>52</v>
      </c>
      <c r="B21">
        <v>22</v>
      </c>
    </row>
    <row r="22" spans="1:12">
      <c r="A22" s="4" t="s">
        <v>84</v>
      </c>
      <c r="B22">
        <v>17</v>
      </c>
    </row>
    <row r="23" spans="1:12">
      <c r="A23" s="4" t="s">
        <v>342</v>
      </c>
      <c r="B23">
        <v>89</v>
      </c>
    </row>
    <row r="26" spans="1:12">
      <c r="A26" s="3" t="s">
        <v>343</v>
      </c>
      <c r="B26" s="3" t="s">
        <v>355</v>
      </c>
    </row>
    <row r="27" spans="1:12">
      <c r="A27" s="3" t="s">
        <v>341</v>
      </c>
      <c r="B27" t="s">
        <v>62</v>
      </c>
      <c r="C27" t="s">
        <v>31</v>
      </c>
      <c r="D27" t="s">
        <v>26</v>
      </c>
      <c r="E27" t="s">
        <v>57</v>
      </c>
      <c r="F27" t="s">
        <v>41</v>
      </c>
      <c r="G27" t="s">
        <v>20</v>
      </c>
      <c r="H27" t="s">
        <v>52</v>
      </c>
      <c r="I27" t="s">
        <v>84</v>
      </c>
      <c r="J27" t="s">
        <v>36</v>
      </c>
      <c r="K27" t="s">
        <v>14</v>
      </c>
      <c r="L27" t="s">
        <v>342</v>
      </c>
    </row>
    <row r="28" spans="1:12">
      <c r="A28" s="4" t="s">
        <v>24</v>
      </c>
      <c r="D28">
        <v>8</v>
      </c>
      <c r="L28">
        <v>8</v>
      </c>
    </row>
    <row r="29" spans="1:12">
      <c r="A29" s="4" t="s">
        <v>35</v>
      </c>
      <c r="J29">
        <v>12</v>
      </c>
      <c r="L29">
        <v>12</v>
      </c>
    </row>
    <row r="30" spans="1:12">
      <c r="A30" s="4" t="s">
        <v>30</v>
      </c>
      <c r="C30">
        <v>13</v>
      </c>
      <c r="L30">
        <v>13</v>
      </c>
    </row>
    <row r="31" spans="1:12">
      <c r="A31" s="4" t="s">
        <v>56</v>
      </c>
      <c r="E31">
        <v>16</v>
      </c>
      <c r="L31">
        <v>16</v>
      </c>
    </row>
    <row r="32" spans="1:12">
      <c r="A32" s="4" t="s">
        <v>61</v>
      </c>
      <c r="B32">
        <v>15</v>
      </c>
      <c r="L32">
        <v>15</v>
      </c>
    </row>
    <row r="33" spans="1:12">
      <c r="A33" s="4" t="s">
        <v>12</v>
      </c>
      <c r="K33">
        <v>13</v>
      </c>
      <c r="L33">
        <v>13</v>
      </c>
    </row>
    <row r="34" spans="1:12">
      <c r="A34" s="4" t="s">
        <v>18</v>
      </c>
      <c r="G34">
        <v>18</v>
      </c>
      <c r="L34">
        <v>18</v>
      </c>
    </row>
    <row r="35" spans="1:12">
      <c r="A35" s="4" t="s">
        <v>83</v>
      </c>
      <c r="I35">
        <v>17</v>
      </c>
      <c r="L35">
        <v>17</v>
      </c>
    </row>
    <row r="36" spans="1:12">
      <c r="A36" s="4" t="s">
        <v>40</v>
      </c>
      <c r="F36">
        <v>16</v>
      </c>
      <c r="L36">
        <v>16</v>
      </c>
    </row>
    <row r="37" spans="1:12">
      <c r="A37" s="4" t="s">
        <v>51</v>
      </c>
      <c r="H37">
        <v>22</v>
      </c>
      <c r="L37">
        <v>22</v>
      </c>
    </row>
    <row r="38" spans="1:12">
      <c r="A38" s="4" t="s">
        <v>342</v>
      </c>
      <c r="B38">
        <v>15</v>
      </c>
      <c r="C38">
        <v>13</v>
      </c>
      <c r="D38">
        <v>8</v>
      </c>
      <c r="E38">
        <v>16</v>
      </c>
      <c r="F38">
        <v>16</v>
      </c>
      <c r="G38">
        <v>18</v>
      </c>
      <c r="H38">
        <v>22</v>
      </c>
      <c r="I38">
        <v>17</v>
      </c>
      <c r="J38">
        <v>12</v>
      </c>
      <c r="K38">
        <v>13</v>
      </c>
      <c r="L38">
        <v>150</v>
      </c>
    </row>
    <row r="40" spans="1:12">
      <c r="A40" s="3" t="s">
        <v>341</v>
      </c>
      <c r="B40" t="s">
        <v>354</v>
      </c>
    </row>
    <row r="41" spans="1:12">
      <c r="A41" s="4" t="s">
        <v>13</v>
      </c>
      <c r="B41">
        <v>99</v>
      </c>
    </row>
    <row r="42" spans="1:12">
      <c r="A42" s="4" t="s">
        <v>19</v>
      </c>
      <c r="B42">
        <v>30</v>
      </c>
    </row>
    <row r="43" spans="1:12">
      <c r="A43" s="4" t="s">
        <v>25</v>
      </c>
      <c r="B43">
        <v>21</v>
      </c>
    </row>
    <row r="44" spans="1:12">
      <c r="A44" s="4" t="s">
        <v>342</v>
      </c>
      <c r="B44">
        <v>150</v>
      </c>
    </row>
    <row r="47" spans="1:12">
      <c r="A47" s="3" t="s">
        <v>356</v>
      </c>
      <c r="B47" s="3" t="s">
        <v>8</v>
      </c>
    </row>
    <row r="48" spans="1:12">
      <c r="A48" s="3" t="s">
        <v>3</v>
      </c>
      <c r="B48" t="s">
        <v>62</v>
      </c>
      <c r="C48" t="s">
        <v>31</v>
      </c>
      <c r="D48" t="s">
        <v>26</v>
      </c>
      <c r="E48" t="s">
        <v>57</v>
      </c>
      <c r="F48" t="s">
        <v>41</v>
      </c>
      <c r="G48" t="s">
        <v>20</v>
      </c>
      <c r="H48" t="s">
        <v>52</v>
      </c>
      <c r="I48" t="s">
        <v>84</v>
      </c>
      <c r="J48" t="s">
        <v>36</v>
      </c>
      <c r="K48" t="s">
        <v>14</v>
      </c>
    </row>
    <row r="49" spans="1:11">
      <c r="A49" t="s">
        <v>51</v>
      </c>
      <c r="B49">
        <v>0</v>
      </c>
      <c r="C49">
        <v>0</v>
      </c>
      <c r="D49">
        <v>0</v>
      </c>
      <c r="E49">
        <v>0</v>
      </c>
      <c r="F49">
        <v>0</v>
      </c>
      <c r="G49">
        <v>0</v>
      </c>
      <c r="H49">
        <v>22</v>
      </c>
      <c r="I49">
        <v>0</v>
      </c>
      <c r="J49">
        <v>0</v>
      </c>
      <c r="K49">
        <v>0</v>
      </c>
    </row>
    <row r="50" spans="1:11">
      <c r="A50" t="s">
        <v>40</v>
      </c>
      <c r="B50">
        <v>0</v>
      </c>
      <c r="C50">
        <v>0</v>
      </c>
      <c r="D50">
        <v>0</v>
      </c>
      <c r="E50">
        <v>0</v>
      </c>
      <c r="F50">
        <v>16</v>
      </c>
      <c r="G50">
        <v>0</v>
      </c>
      <c r="H50">
        <v>0</v>
      </c>
      <c r="I50">
        <v>0</v>
      </c>
      <c r="J50">
        <v>0</v>
      </c>
      <c r="K50">
        <v>0</v>
      </c>
    </row>
    <row r="51" spans="1:11">
      <c r="A51" t="s">
        <v>83</v>
      </c>
      <c r="B51">
        <v>0</v>
      </c>
      <c r="C51">
        <v>0</v>
      </c>
      <c r="D51">
        <v>0</v>
      </c>
      <c r="E51">
        <v>0</v>
      </c>
      <c r="F51">
        <v>0</v>
      </c>
      <c r="G51">
        <v>0</v>
      </c>
      <c r="H51">
        <v>0</v>
      </c>
      <c r="I51">
        <v>17</v>
      </c>
      <c r="J51">
        <v>0</v>
      </c>
      <c r="K51">
        <v>0</v>
      </c>
    </row>
    <row r="52" spans="1:11">
      <c r="A52" t="s">
        <v>18</v>
      </c>
      <c r="B52">
        <v>0</v>
      </c>
      <c r="C52">
        <v>0</v>
      </c>
      <c r="D52">
        <v>0</v>
      </c>
      <c r="E52">
        <v>0</v>
      </c>
      <c r="F52">
        <v>0</v>
      </c>
      <c r="G52">
        <v>18</v>
      </c>
      <c r="H52">
        <v>0</v>
      </c>
      <c r="I52">
        <v>0</v>
      </c>
      <c r="J52">
        <v>0</v>
      </c>
      <c r="K52">
        <v>0</v>
      </c>
    </row>
    <row r="53" spans="1:11">
      <c r="A53" t="s">
        <v>12</v>
      </c>
      <c r="B53">
        <v>0</v>
      </c>
      <c r="C53">
        <v>0</v>
      </c>
      <c r="D53">
        <v>0</v>
      </c>
      <c r="E53">
        <v>0</v>
      </c>
      <c r="F53">
        <v>0</v>
      </c>
      <c r="G53">
        <v>0</v>
      </c>
      <c r="H53">
        <v>0</v>
      </c>
      <c r="I53">
        <v>0</v>
      </c>
      <c r="J53">
        <v>0</v>
      </c>
      <c r="K53">
        <v>13</v>
      </c>
    </row>
    <row r="54" spans="1:11">
      <c r="A54" t="s">
        <v>61</v>
      </c>
      <c r="B54">
        <v>15</v>
      </c>
      <c r="C54">
        <v>0</v>
      </c>
      <c r="D54">
        <v>0</v>
      </c>
      <c r="E54">
        <v>0</v>
      </c>
      <c r="F54">
        <v>0</v>
      </c>
      <c r="G54">
        <v>0</v>
      </c>
      <c r="H54">
        <v>0</v>
      </c>
      <c r="I54">
        <v>0</v>
      </c>
      <c r="J54">
        <v>0</v>
      </c>
      <c r="K54">
        <v>0</v>
      </c>
    </row>
    <row r="55" spans="1:11">
      <c r="A55" t="s">
        <v>56</v>
      </c>
      <c r="B55">
        <v>0</v>
      </c>
      <c r="C55">
        <v>0</v>
      </c>
      <c r="D55">
        <v>0</v>
      </c>
      <c r="E55">
        <v>16</v>
      </c>
      <c r="F55">
        <v>0</v>
      </c>
      <c r="G55">
        <v>0</v>
      </c>
      <c r="H55">
        <v>0</v>
      </c>
      <c r="I55">
        <v>0</v>
      </c>
      <c r="J55">
        <v>0</v>
      </c>
      <c r="K55">
        <v>0</v>
      </c>
    </row>
    <row r="56" spans="1:11">
      <c r="A56" t="s">
        <v>30</v>
      </c>
      <c r="B56">
        <v>0</v>
      </c>
      <c r="C56">
        <v>13</v>
      </c>
      <c r="D56">
        <v>0</v>
      </c>
      <c r="E56">
        <v>0</v>
      </c>
      <c r="F56">
        <v>0</v>
      </c>
      <c r="G56">
        <v>0</v>
      </c>
      <c r="H56">
        <v>0</v>
      </c>
      <c r="I56">
        <v>0</v>
      </c>
      <c r="J56">
        <v>0</v>
      </c>
      <c r="K56">
        <v>0</v>
      </c>
    </row>
    <row r="57" spans="1:11">
      <c r="A57" t="s">
        <v>35</v>
      </c>
      <c r="B57">
        <v>0</v>
      </c>
      <c r="C57">
        <v>0</v>
      </c>
      <c r="D57">
        <v>0</v>
      </c>
      <c r="E57">
        <v>0</v>
      </c>
      <c r="F57">
        <v>0</v>
      </c>
      <c r="G57">
        <v>0</v>
      </c>
      <c r="H57">
        <v>0</v>
      </c>
      <c r="I57">
        <v>0</v>
      </c>
      <c r="J57">
        <v>12</v>
      </c>
      <c r="K57">
        <v>0</v>
      </c>
    </row>
    <row r="58" spans="1:11">
      <c r="A58" t="s">
        <v>24</v>
      </c>
      <c r="B58">
        <v>0</v>
      </c>
      <c r="C58">
        <v>0</v>
      </c>
      <c r="D58">
        <v>8</v>
      </c>
      <c r="E58">
        <v>0</v>
      </c>
      <c r="F58">
        <v>0</v>
      </c>
      <c r="G58">
        <v>0</v>
      </c>
      <c r="H58">
        <v>0</v>
      </c>
      <c r="I58">
        <v>0</v>
      </c>
      <c r="J58">
        <v>0</v>
      </c>
      <c r="K58">
        <v>0</v>
      </c>
    </row>
    <row r="63" spans="1:11">
      <c r="D63" s="9" t="s">
        <v>344</v>
      </c>
      <c r="E63" s="9" t="s">
        <v>345</v>
      </c>
      <c r="F63" s="12"/>
      <c r="G63" s="12"/>
    </row>
    <row r="64" spans="1:11" ht="29">
      <c r="D64" s="10" t="s">
        <v>346</v>
      </c>
      <c r="E64" s="10">
        <v>150</v>
      </c>
      <c r="F64" s="12"/>
      <c r="G64" s="12"/>
    </row>
    <row r="65" spans="4:7" ht="29">
      <c r="D65" s="10" t="s">
        <v>347</v>
      </c>
      <c r="E65" s="10">
        <v>10</v>
      </c>
      <c r="F65" s="12"/>
      <c r="G65" s="12"/>
    </row>
    <row r="66" spans="4:7">
      <c r="D66" s="11" t="s">
        <v>348</v>
      </c>
      <c r="E66" s="11" t="s">
        <v>349</v>
      </c>
      <c r="F66" s="12"/>
      <c r="G66" s="12"/>
    </row>
    <row r="67" spans="4:7" ht="29">
      <c r="D67" s="10" t="s">
        <v>350</v>
      </c>
      <c r="E67" s="10">
        <v>8</v>
      </c>
      <c r="F67" s="12"/>
      <c r="G67" s="12"/>
    </row>
    <row r="68" spans="4:7">
      <c r="D68" s="11" t="s">
        <v>351</v>
      </c>
      <c r="E68" s="10" t="s">
        <v>51</v>
      </c>
      <c r="F68" s="12"/>
      <c r="G68" s="12"/>
    </row>
    <row r="69" spans="4:7">
      <c r="D69" s="11" t="s">
        <v>352</v>
      </c>
      <c r="E69" s="10" t="s">
        <v>41</v>
      </c>
      <c r="F69" s="12"/>
      <c r="G69" s="12"/>
    </row>
    <row r="70" spans="4:7" ht="29">
      <c r="D70" s="10" t="s">
        <v>353</v>
      </c>
      <c r="E70" s="10" t="s">
        <v>13</v>
      </c>
      <c r="F70" s="12"/>
      <c r="G70" s="12"/>
    </row>
    <row r="71" spans="4:7" ht="29">
      <c r="D71" s="10" t="s">
        <v>357</v>
      </c>
      <c r="E71" s="10" t="s">
        <v>358</v>
      </c>
      <c r="F71" s="12"/>
      <c r="G71" s="12"/>
    </row>
    <row r="72" spans="4:7" ht="43.5">
      <c r="D72" s="10" t="s">
        <v>359</v>
      </c>
      <c r="E72" s="10" t="s">
        <v>41</v>
      </c>
      <c r="F72" s="12"/>
      <c r="G72" s="12"/>
    </row>
    <row r="73" spans="4:7" ht="43.5">
      <c r="D73" s="10" t="s">
        <v>360</v>
      </c>
      <c r="E73" s="10" t="s">
        <v>361</v>
      </c>
      <c r="F73" s="12"/>
      <c r="G73" s="12"/>
    </row>
  </sheetData>
  <conditionalFormatting pivot="1" sqref="B52">
    <cfRule type="colorScale" priority="3">
      <colorScale>
        <cfvo type="min"/>
        <cfvo type="percentile" val="50"/>
        <cfvo type="max"/>
        <color rgb="FFF8696B"/>
        <color rgb="FFFCFCFF"/>
        <color rgb="FF5A8AC6"/>
      </colorScale>
    </cfRule>
  </conditionalFormatting>
  <conditionalFormatting pivot="1" sqref="B49:K58">
    <cfRule type="colorScale" priority="1">
      <colorScale>
        <cfvo type="min"/>
        <cfvo type="percentile" val="50"/>
        <cfvo type="max"/>
        <color rgb="FF5A8AC6"/>
        <color rgb="FFFCFCFF"/>
        <color rgb="FFF8696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8"/>
  <sheetViews>
    <sheetView topLeftCell="A19" workbookViewId="0">
      <selection activeCell="K18" sqref="K18"/>
    </sheetView>
  </sheetViews>
  <sheetFormatPr defaultRowHeight="14.5"/>
  <cols>
    <col min="1" max="1" width="16.08984375" customWidth="1"/>
    <col min="2" max="2" width="12.7265625" customWidth="1"/>
    <col min="3" max="3" width="10.453125" customWidth="1"/>
    <col min="4" max="4" width="14.08984375" customWidth="1"/>
    <col min="5" max="5" width="16.7265625" customWidth="1"/>
    <col min="6" max="6" width="11.7265625" customWidth="1"/>
    <col min="7" max="7" width="16" customWidth="1"/>
    <col min="8" max="8" width="12.54296875" customWidth="1"/>
    <col min="9" max="9" width="17.90625" customWidth="1"/>
    <col min="10" max="10" width="12.54296875" style="14" customWidth="1"/>
    <col min="11" max="11" width="14.453125" customWidth="1"/>
    <col min="12" max="12" width="23.1796875" customWidth="1"/>
    <col min="13" max="13" width="22.1796875" customWidth="1"/>
  </cols>
  <sheetData>
    <row r="1" spans="1:11">
      <c r="A1" s="2" t="s">
        <v>0</v>
      </c>
      <c r="B1" s="2" t="s">
        <v>1</v>
      </c>
      <c r="C1" s="2" t="s">
        <v>2</v>
      </c>
      <c r="D1" s="2" t="s">
        <v>3</v>
      </c>
      <c r="E1" s="2" t="s">
        <v>4</v>
      </c>
      <c r="F1" s="2" t="s">
        <v>5</v>
      </c>
      <c r="G1" s="2" t="s">
        <v>6</v>
      </c>
      <c r="H1" s="2" t="s">
        <v>7</v>
      </c>
      <c r="I1" s="2" t="s">
        <v>8</v>
      </c>
      <c r="J1" s="13" t="s">
        <v>340</v>
      </c>
    </row>
    <row r="2" spans="1:11">
      <c r="A2" t="s">
        <v>9</v>
      </c>
      <c r="B2" t="s">
        <v>10</v>
      </c>
      <c r="C2" t="s">
        <v>11</v>
      </c>
      <c r="D2" t="s">
        <v>12</v>
      </c>
      <c r="E2" t="s">
        <v>13</v>
      </c>
      <c r="F2">
        <v>2</v>
      </c>
      <c r="G2">
        <v>850</v>
      </c>
      <c r="H2">
        <v>6</v>
      </c>
      <c r="I2" t="s">
        <v>14</v>
      </c>
      <c r="J2" s="14">
        <v>5100</v>
      </c>
    </row>
    <row r="3" spans="1:11">
      <c r="A3" t="s">
        <v>15</v>
      </c>
      <c r="B3" t="s">
        <v>16</v>
      </c>
      <c r="C3" t="s">
        <v>17</v>
      </c>
      <c r="D3" t="s">
        <v>18</v>
      </c>
      <c r="E3" t="s">
        <v>19</v>
      </c>
      <c r="F3">
        <v>5</v>
      </c>
      <c r="G3">
        <v>120</v>
      </c>
      <c r="H3">
        <v>1</v>
      </c>
      <c r="I3" t="s">
        <v>20</v>
      </c>
      <c r="J3" s="14">
        <v>120</v>
      </c>
    </row>
    <row r="4" spans="1:11">
      <c r="A4" t="s">
        <v>21</v>
      </c>
      <c r="B4" t="s">
        <v>22</v>
      </c>
      <c r="C4" t="s">
        <v>23</v>
      </c>
      <c r="D4" t="s">
        <v>24</v>
      </c>
      <c r="E4" t="s">
        <v>25</v>
      </c>
      <c r="F4">
        <v>5</v>
      </c>
      <c r="G4">
        <v>110</v>
      </c>
      <c r="H4">
        <v>5</v>
      </c>
      <c r="I4" t="s">
        <v>26</v>
      </c>
      <c r="J4" s="14">
        <v>550</v>
      </c>
      <c r="K4" s="14">
        <f>SUM(J2:J151)</f>
        <v>152090</v>
      </c>
    </row>
    <row r="5" spans="1:11">
      <c r="A5" t="s">
        <v>27</v>
      </c>
      <c r="B5" t="s">
        <v>28</v>
      </c>
      <c r="C5" t="s">
        <v>29</v>
      </c>
      <c r="D5" t="s">
        <v>30</v>
      </c>
      <c r="E5" t="s">
        <v>25</v>
      </c>
      <c r="F5">
        <v>1</v>
      </c>
      <c r="G5">
        <v>90</v>
      </c>
      <c r="H5">
        <v>2</v>
      </c>
      <c r="I5" t="s">
        <v>31</v>
      </c>
      <c r="J5" s="14">
        <v>1800</v>
      </c>
    </row>
    <row r="6" spans="1:11">
      <c r="A6" t="s">
        <v>32</v>
      </c>
      <c r="B6" t="s">
        <v>33</v>
      </c>
      <c r="C6" t="s">
        <v>34</v>
      </c>
      <c r="D6" t="s">
        <v>35</v>
      </c>
      <c r="E6" t="s">
        <v>19</v>
      </c>
      <c r="F6">
        <v>1</v>
      </c>
      <c r="G6">
        <v>50</v>
      </c>
      <c r="H6">
        <v>2</v>
      </c>
      <c r="I6" t="s">
        <v>36</v>
      </c>
      <c r="J6" s="14">
        <v>240</v>
      </c>
    </row>
    <row r="7" spans="1:11">
      <c r="A7" t="s">
        <v>37</v>
      </c>
      <c r="B7" t="s">
        <v>38</v>
      </c>
      <c r="C7" t="s">
        <v>39</v>
      </c>
      <c r="D7" t="s">
        <v>40</v>
      </c>
      <c r="E7" t="s">
        <v>13</v>
      </c>
      <c r="F7">
        <v>5</v>
      </c>
      <c r="G7">
        <v>600</v>
      </c>
      <c r="H7">
        <v>3</v>
      </c>
      <c r="I7" t="s">
        <v>41</v>
      </c>
      <c r="J7" s="14">
        <v>2400</v>
      </c>
    </row>
    <row r="8" spans="1:11">
      <c r="A8" t="s">
        <v>42</v>
      </c>
      <c r="B8" t="s">
        <v>43</v>
      </c>
      <c r="C8" t="s">
        <v>44</v>
      </c>
      <c r="D8" t="s">
        <v>18</v>
      </c>
      <c r="E8" t="s">
        <v>19</v>
      </c>
      <c r="F8">
        <v>3</v>
      </c>
      <c r="G8">
        <v>120</v>
      </c>
      <c r="H8">
        <v>2</v>
      </c>
      <c r="I8" t="s">
        <v>20</v>
      </c>
      <c r="J8" s="14">
        <v>600</v>
      </c>
      <c r="K8">
        <f>AVERAGE(H2:H151)</f>
        <v>3.3066666666666666</v>
      </c>
    </row>
    <row r="9" spans="1:11">
      <c r="A9" t="s">
        <v>45</v>
      </c>
      <c r="B9" t="s">
        <v>46</v>
      </c>
      <c r="C9" t="s">
        <v>47</v>
      </c>
      <c r="D9" t="s">
        <v>40</v>
      </c>
      <c r="E9" t="s">
        <v>13</v>
      </c>
      <c r="F9">
        <v>2</v>
      </c>
      <c r="G9">
        <v>600</v>
      </c>
      <c r="H9">
        <v>4</v>
      </c>
      <c r="I9" t="s">
        <v>41</v>
      </c>
      <c r="J9" s="14">
        <v>600</v>
      </c>
    </row>
    <row r="10" spans="1:11">
      <c r="A10" t="s">
        <v>48</v>
      </c>
      <c r="B10" t="s">
        <v>49</v>
      </c>
      <c r="C10" t="s">
        <v>50</v>
      </c>
      <c r="D10" t="s">
        <v>51</v>
      </c>
      <c r="E10" t="s">
        <v>13</v>
      </c>
      <c r="F10">
        <v>3</v>
      </c>
      <c r="G10">
        <v>300</v>
      </c>
      <c r="H10">
        <v>2</v>
      </c>
      <c r="I10" t="s">
        <v>52</v>
      </c>
      <c r="J10" s="14">
        <v>1500</v>
      </c>
    </row>
    <row r="11" spans="1:11">
      <c r="A11" t="s">
        <v>53</v>
      </c>
      <c r="B11" t="s">
        <v>54</v>
      </c>
      <c r="C11" t="s">
        <v>55</v>
      </c>
      <c r="D11" t="s">
        <v>56</v>
      </c>
      <c r="E11" t="s">
        <v>13</v>
      </c>
      <c r="F11">
        <v>3</v>
      </c>
      <c r="G11">
        <v>45</v>
      </c>
      <c r="H11">
        <v>5</v>
      </c>
      <c r="I11" t="s">
        <v>57</v>
      </c>
      <c r="J11" s="14">
        <v>3000</v>
      </c>
      <c r="K11">
        <f>SUM(A2:A151)</f>
        <v>0</v>
      </c>
    </row>
    <row r="12" spans="1:11">
      <c r="A12" t="s">
        <v>58</v>
      </c>
      <c r="B12" t="s">
        <v>59</v>
      </c>
      <c r="C12" t="s">
        <v>60</v>
      </c>
      <c r="D12" t="s">
        <v>61</v>
      </c>
      <c r="E12" t="s">
        <v>13</v>
      </c>
      <c r="F12">
        <v>5</v>
      </c>
      <c r="G12">
        <v>80</v>
      </c>
      <c r="H12">
        <v>3</v>
      </c>
      <c r="I12" t="s">
        <v>62</v>
      </c>
      <c r="J12" s="14">
        <v>300</v>
      </c>
    </row>
    <row r="13" spans="1:11">
      <c r="A13" t="s">
        <v>63</v>
      </c>
      <c r="B13" t="s">
        <v>64</v>
      </c>
      <c r="C13" t="s">
        <v>65</v>
      </c>
      <c r="D13" t="s">
        <v>35</v>
      </c>
      <c r="E13" t="s">
        <v>19</v>
      </c>
      <c r="F13">
        <v>2</v>
      </c>
      <c r="G13">
        <v>50</v>
      </c>
      <c r="H13">
        <v>5</v>
      </c>
      <c r="I13" t="s">
        <v>36</v>
      </c>
      <c r="J13" s="14">
        <v>1100</v>
      </c>
    </row>
    <row r="14" spans="1:11">
      <c r="A14" t="s">
        <v>66</v>
      </c>
      <c r="B14" t="s">
        <v>67</v>
      </c>
      <c r="C14" t="s">
        <v>68</v>
      </c>
      <c r="D14" t="s">
        <v>51</v>
      </c>
      <c r="E14" t="s">
        <v>13</v>
      </c>
      <c r="F14">
        <v>5</v>
      </c>
      <c r="G14">
        <v>300</v>
      </c>
      <c r="H14">
        <v>2</v>
      </c>
      <c r="I14" t="s">
        <v>52</v>
      </c>
      <c r="J14" s="14">
        <v>120</v>
      </c>
    </row>
    <row r="15" spans="1:11">
      <c r="A15" t="s">
        <v>69</v>
      </c>
      <c r="B15" t="s">
        <v>70</v>
      </c>
      <c r="C15" t="s">
        <v>71</v>
      </c>
      <c r="D15" t="s">
        <v>51</v>
      </c>
      <c r="E15" t="s">
        <v>13</v>
      </c>
      <c r="F15">
        <v>2</v>
      </c>
      <c r="G15">
        <v>300</v>
      </c>
      <c r="H15">
        <v>5</v>
      </c>
      <c r="I15" t="s">
        <v>52</v>
      </c>
      <c r="J15" s="14">
        <v>880</v>
      </c>
    </row>
    <row r="16" spans="1:11">
      <c r="A16" t="s">
        <v>72</v>
      </c>
      <c r="B16" t="s">
        <v>73</v>
      </c>
      <c r="C16" t="s">
        <v>74</v>
      </c>
      <c r="D16" t="s">
        <v>40</v>
      </c>
      <c r="E16" t="s">
        <v>13</v>
      </c>
      <c r="F16">
        <v>3</v>
      </c>
      <c r="G16">
        <v>600</v>
      </c>
      <c r="H16">
        <v>5</v>
      </c>
      <c r="I16" t="s">
        <v>41</v>
      </c>
      <c r="J16" s="14">
        <v>600</v>
      </c>
    </row>
    <row r="17" spans="1:11">
      <c r="A17" t="s">
        <v>75</v>
      </c>
      <c r="B17" t="s">
        <v>76</v>
      </c>
      <c r="C17" t="s">
        <v>77</v>
      </c>
      <c r="D17" t="s">
        <v>51</v>
      </c>
      <c r="E17" t="s">
        <v>13</v>
      </c>
      <c r="F17">
        <v>3</v>
      </c>
      <c r="G17">
        <v>300</v>
      </c>
      <c r="H17">
        <v>1</v>
      </c>
      <c r="I17" t="s">
        <v>52</v>
      </c>
      <c r="J17" s="14">
        <v>880</v>
      </c>
      <c r="K17">
        <f>SUM(F2:F151)</f>
        <v>474</v>
      </c>
    </row>
    <row r="18" spans="1:11">
      <c r="A18" t="s">
        <v>78</v>
      </c>
      <c r="B18" t="s">
        <v>59</v>
      </c>
      <c r="C18" t="s">
        <v>79</v>
      </c>
      <c r="D18" t="s">
        <v>30</v>
      </c>
      <c r="E18" t="s">
        <v>25</v>
      </c>
      <c r="F18">
        <v>4</v>
      </c>
      <c r="G18">
        <v>90</v>
      </c>
      <c r="H18">
        <v>2</v>
      </c>
      <c r="I18" t="s">
        <v>31</v>
      </c>
      <c r="J18" s="14">
        <v>600</v>
      </c>
    </row>
    <row r="19" spans="1:11">
      <c r="A19" t="s">
        <v>80</v>
      </c>
      <c r="B19" t="s">
        <v>81</v>
      </c>
      <c r="C19" t="s">
        <v>82</v>
      </c>
      <c r="D19" t="s">
        <v>83</v>
      </c>
      <c r="E19" t="s">
        <v>13</v>
      </c>
      <c r="F19">
        <v>3</v>
      </c>
      <c r="G19">
        <v>220</v>
      </c>
      <c r="H19">
        <v>5</v>
      </c>
      <c r="I19" t="s">
        <v>84</v>
      </c>
      <c r="J19" s="14">
        <v>480</v>
      </c>
    </row>
    <row r="20" spans="1:11">
      <c r="A20" t="s">
        <v>85</v>
      </c>
      <c r="B20" t="s">
        <v>86</v>
      </c>
      <c r="C20" t="s">
        <v>87</v>
      </c>
      <c r="D20" t="s">
        <v>35</v>
      </c>
      <c r="E20" t="s">
        <v>19</v>
      </c>
      <c r="F20">
        <v>1</v>
      </c>
      <c r="G20">
        <v>50</v>
      </c>
      <c r="H20">
        <v>1</v>
      </c>
      <c r="I20" t="s">
        <v>36</v>
      </c>
      <c r="J20" s="14">
        <v>1100</v>
      </c>
    </row>
    <row r="21" spans="1:11">
      <c r="A21" t="s">
        <v>88</v>
      </c>
      <c r="B21" t="s">
        <v>89</v>
      </c>
      <c r="C21" t="s">
        <v>90</v>
      </c>
      <c r="D21" t="s">
        <v>18</v>
      </c>
      <c r="E21" t="s">
        <v>19</v>
      </c>
      <c r="F21">
        <v>2</v>
      </c>
      <c r="G21">
        <v>120</v>
      </c>
      <c r="H21">
        <v>1</v>
      </c>
      <c r="I21" t="s">
        <v>20</v>
      </c>
      <c r="J21" s="14">
        <v>1800</v>
      </c>
    </row>
    <row r="22" spans="1:11">
      <c r="A22" t="s">
        <v>91</v>
      </c>
      <c r="B22" t="s">
        <v>64</v>
      </c>
      <c r="C22" t="s">
        <v>92</v>
      </c>
      <c r="D22" t="s">
        <v>30</v>
      </c>
      <c r="E22" t="s">
        <v>25</v>
      </c>
      <c r="F22">
        <v>5</v>
      </c>
      <c r="G22">
        <v>90</v>
      </c>
      <c r="H22">
        <v>2</v>
      </c>
      <c r="I22" t="s">
        <v>31</v>
      </c>
      <c r="J22" s="14">
        <v>1200</v>
      </c>
    </row>
    <row r="23" spans="1:11">
      <c r="A23" t="s">
        <v>93</v>
      </c>
      <c r="B23" t="s">
        <v>43</v>
      </c>
      <c r="C23" t="s">
        <v>94</v>
      </c>
      <c r="D23" t="s">
        <v>83</v>
      </c>
      <c r="E23" t="s">
        <v>13</v>
      </c>
      <c r="F23">
        <v>4</v>
      </c>
      <c r="G23">
        <v>220</v>
      </c>
      <c r="H23">
        <v>4</v>
      </c>
      <c r="I23" t="s">
        <v>84</v>
      </c>
      <c r="J23" s="14">
        <v>1800</v>
      </c>
    </row>
    <row r="24" spans="1:11">
      <c r="A24" t="s">
        <v>95</v>
      </c>
      <c r="B24" t="s">
        <v>76</v>
      </c>
      <c r="C24" t="s">
        <v>96</v>
      </c>
      <c r="D24" t="s">
        <v>51</v>
      </c>
      <c r="E24" t="s">
        <v>13</v>
      </c>
      <c r="F24">
        <v>1</v>
      </c>
      <c r="G24">
        <v>300</v>
      </c>
      <c r="H24">
        <v>2</v>
      </c>
      <c r="I24" t="s">
        <v>52</v>
      </c>
      <c r="J24" s="14">
        <v>1800</v>
      </c>
    </row>
    <row r="25" spans="1:11">
      <c r="A25" t="s">
        <v>97</v>
      </c>
      <c r="B25" t="s">
        <v>98</v>
      </c>
      <c r="C25" t="s">
        <v>99</v>
      </c>
      <c r="D25" t="s">
        <v>83</v>
      </c>
      <c r="E25" t="s">
        <v>13</v>
      </c>
      <c r="F25">
        <v>4</v>
      </c>
      <c r="G25">
        <v>220</v>
      </c>
      <c r="H25">
        <v>4</v>
      </c>
      <c r="I25" t="s">
        <v>84</v>
      </c>
      <c r="J25" s="14">
        <v>1320</v>
      </c>
    </row>
    <row r="26" spans="1:11">
      <c r="A26" t="s">
        <v>100</v>
      </c>
      <c r="B26" t="s">
        <v>101</v>
      </c>
      <c r="C26" t="s">
        <v>102</v>
      </c>
      <c r="D26" t="s">
        <v>51</v>
      </c>
      <c r="E26" t="s">
        <v>13</v>
      </c>
      <c r="F26">
        <v>4</v>
      </c>
      <c r="G26">
        <v>300</v>
      </c>
      <c r="H26">
        <v>2</v>
      </c>
      <c r="I26" t="s">
        <v>52</v>
      </c>
      <c r="J26" s="14">
        <v>240</v>
      </c>
    </row>
    <row r="27" spans="1:11">
      <c r="A27" t="s">
        <v>103</v>
      </c>
      <c r="B27" t="s">
        <v>104</v>
      </c>
      <c r="C27" t="s">
        <v>105</v>
      </c>
      <c r="D27" t="s">
        <v>18</v>
      </c>
      <c r="E27" t="s">
        <v>19</v>
      </c>
      <c r="F27">
        <v>4</v>
      </c>
      <c r="G27">
        <v>120</v>
      </c>
      <c r="H27">
        <v>4</v>
      </c>
      <c r="I27" t="s">
        <v>20</v>
      </c>
      <c r="J27" s="14">
        <v>3000</v>
      </c>
    </row>
    <row r="28" spans="1:11">
      <c r="A28" t="s">
        <v>106</v>
      </c>
      <c r="B28" t="s">
        <v>76</v>
      </c>
      <c r="C28" t="s">
        <v>107</v>
      </c>
      <c r="D28" t="s">
        <v>83</v>
      </c>
      <c r="E28" t="s">
        <v>13</v>
      </c>
      <c r="F28">
        <v>5</v>
      </c>
      <c r="G28">
        <v>220</v>
      </c>
      <c r="H28">
        <v>5</v>
      </c>
      <c r="I28" t="s">
        <v>84</v>
      </c>
      <c r="J28" s="14">
        <v>3600</v>
      </c>
    </row>
    <row r="29" spans="1:11">
      <c r="A29" t="s">
        <v>108</v>
      </c>
      <c r="B29" t="s">
        <v>109</v>
      </c>
      <c r="C29" t="s">
        <v>110</v>
      </c>
      <c r="D29" t="s">
        <v>61</v>
      </c>
      <c r="E29" t="s">
        <v>13</v>
      </c>
      <c r="F29">
        <v>2</v>
      </c>
      <c r="G29">
        <v>80</v>
      </c>
      <c r="H29">
        <v>2</v>
      </c>
      <c r="I29" t="s">
        <v>62</v>
      </c>
      <c r="J29" s="14">
        <v>1800</v>
      </c>
    </row>
    <row r="30" spans="1:11">
      <c r="A30" t="s">
        <v>111</v>
      </c>
      <c r="B30" t="s">
        <v>112</v>
      </c>
      <c r="C30" t="s">
        <v>113</v>
      </c>
      <c r="D30" t="s">
        <v>40</v>
      </c>
      <c r="E30" t="s">
        <v>13</v>
      </c>
      <c r="F30">
        <v>5</v>
      </c>
      <c r="G30">
        <v>600</v>
      </c>
      <c r="H30">
        <v>3</v>
      </c>
      <c r="I30" t="s">
        <v>41</v>
      </c>
      <c r="J30" s="14">
        <v>2400</v>
      </c>
    </row>
    <row r="31" spans="1:11">
      <c r="A31" t="s">
        <v>114</v>
      </c>
      <c r="B31" t="s">
        <v>115</v>
      </c>
      <c r="C31" t="s">
        <v>116</v>
      </c>
      <c r="D31" t="s">
        <v>51</v>
      </c>
      <c r="E31" t="s">
        <v>13</v>
      </c>
      <c r="F31">
        <v>5</v>
      </c>
      <c r="G31">
        <v>300</v>
      </c>
      <c r="H31">
        <v>4</v>
      </c>
      <c r="I31" t="s">
        <v>52</v>
      </c>
      <c r="J31" s="14">
        <v>5100</v>
      </c>
    </row>
    <row r="32" spans="1:11">
      <c r="A32" t="s">
        <v>117</v>
      </c>
      <c r="B32" t="s">
        <v>101</v>
      </c>
      <c r="C32" t="s">
        <v>118</v>
      </c>
      <c r="D32" t="s">
        <v>30</v>
      </c>
      <c r="E32" t="s">
        <v>25</v>
      </c>
      <c r="F32">
        <v>2</v>
      </c>
      <c r="G32">
        <v>90</v>
      </c>
      <c r="H32">
        <v>3</v>
      </c>
      <c r="I32" t="s">
        <v>31</v>
      </c>
      <c r="J32" s="14">
        <v>1700</v>
      </c>
    </row>
    <row r="33" spans="1:10">
      <c r="A33" t="s">
        <v>119</v>
      </c>
      <c r="B33" t="s">
        <v>120</v>
      </c>
      <c r="C33" t="s">
        <v>121</v>
      </c>
      <c r="D33" t="s">
        <v>35</v>
      </c>
      <c r="E33" t="s">
        <v>19</v>
      </c>
      <c r="F33">
        <v>3</v>
      </c>
      <c r="G33">
        <v>50</v>
      </c>
      <c r="H33">
        <v>3</v>
      </c>
      <c r="I33" t="s">
        <v>36</v>
      </c>
      <c r="J33" s="14">
        <v>1200</v>
      </c>
    </row>
    <row r="34" spans="1:10">
      <c r="A34" t="s">
        <v>122</v>
      </c>
      <c r="B34" t="s">
        <v>28</v>
      </c>
      <c r="C34" t="s">
        <v>123</v>
      </c>
      <c r="D34" t="s">
        <v>35</v>
      </c>
      <c r="E34" t="s">
        <v>19</v>
      </c>
      <c r="F34">
        <v>5</v>
      </c>
      <c r="G34">
        <v>50</v>
      </c>
      <c r="H34">
        <v>1</v>
      </c>
      <c r="I34" t="s">
        <v>36</v>
      </c>
      <c r="J34" s="14">
        <v>330</v>
      </c>
    </row>
    <row r="35" spans="1:10">
      <c r="A35" t="s">
        <v>124</v>
      </c>
      <c r="B35" t="s">
        <v>125</v>
      </c>
      <c r="C35" t="s">
        <v>126</v>
      </c>
      <c r="D35" t="s">
        <v>40</v>
      </c>
      <c r="E35" t="s">
        <v>13</v>
      </c>
      <c r="F35">
        <v>4</v>
      </c>
      <c r="G35">
        <v>600</v>
      </c>
      <c r="H35">
        <v>3</v>
      </c>
      <c r="I35" t="s">
        <v>41</v>
      </c>
      <c r="J35" s="14">
        <v>300</v>
      </c>
    </row>
    <row r="36" spans="1:10">
      <c r="A36" t="s">
        <v>127</v>
      </c>
      <c r="B36" t="s">
        <v>54</v>
      </c>
      <c r="C36" t="s">
        <v>128</v>
      </c>
      <c r="D36" t="s">
        <v>51</v>
      </c>
      <c r="E36" t="s">
        <v>13</v>
      </c>
      <c r="F36">
        <v>2</v>
      </c>
      <c r="G36">
        <v>300</v>
      </c>
      <c r="H36">
        <v>6</v>
      </c>
      <c r="I36" t="s">
        <v>52</v>
      </c>
      <c r="J36" s="14">
        <v>360</v>
      </c>
    </row>
    <row r="37" spans="1:10">
      <c r="A37" t="s">
        <v>129</v>
      </c>
      <c r="B37" t="s">
        <v>98</v>
      </c>
      <c r="C37" t="s">
        <v>130</v>
      </c>
      <c r="D37" t="s">
        <v>35</v>
      </c>
      <c r="E37" t="s">
        <v>19</v>
      </c>
      <c r="F37">
        <v>4</v>
      </c>
      <c r="G37">
        <v>50</v>
      </c>
      <c r="H37">
        <v>1</v>
      </c>
      <c r="I37" t="s">
        <v>36</v>
      </c>
      <c r="J37" s="14">
        <v>120</v>
      </c>
    </row>
    <row r="38" spans="1:10">
      <c r="A38" t="s">
        <v>131</v>
      </c>
      <c r="B38" t="s">
        <v>81</v>
      </c>
      <c r="C38" t="s">
        <v>132</v>
      </c>
      <c r="D38" t="s">
        <v>30</v>
      </c>
      <c r="E38" t="s">
        <v>25</v>
      </c>
      <c r="F38">
        <v>3</v>
      </c>
      <c r="G38">
        <v>90</v>
      </c>
      <c r="H38">
        <v>2</v>
      </c>
      <c r="I38" t="s">
        <v>31</v>
      </c>
      <c r="J38" s="14">
        <v>360</v>
      </c>
    </row>
    <row r="39" spans="1:10">
      <c r="A39" t="s">
        <v>133</v>
      </c>
      <c r="B39" t="s">
        <v>134</v>
      </c>
      <c r="C39" t="s">
        <v>135</v>
      </c>
      <c r="D39" t="s">
        <v>61</v>
      </c>
      <c r="E39" t="s">
        <v>13</v>
      </c>
      <c r="F39">
        <v>2</v>
      </c>
      <c r="G39">
        <v>80</v>
      </c>
      <c r="H39">
        <v>5</v>
      </c>
      <c r="I39" t="s">
        <v>62</v>
      </c>
      <c r="J39" s="14">
        <v>1500</v>
      </c>
    </row>
    <row r="40" spans="1:10">
      <c r="A40" t="s">
        <v>136</v>
      </c>
      <c r="B40" t="s">
        <v>137</v>
      </c>
      <c r="C40" t="s">
        <v>138</v>
      </c>
      <c r="D40" t="s">
        <v>83</v>
      </c>
      <c r="E40" t="s">
        <v>13</v>
      </c>
      <c r="F40">
        <v>5</v>
      </c>
      <c r="G40">
        <v>220</v>
      </c>
      <c r="H40">
        <v>6</v>
      </c>
      <c r="I40" t="s">
        <v>84</v>
      </c>
      <c r="J40" s="14">
        <v>440</v>
      </c>
    </row>
    <row r="41" spans="1:10">
      <c r="A41" t="s">
        <v>139</v>
      </c>
      <c r="B41" t="s">
        <v>43</v>
      </c>
      <c r="C41" t="s">
        <v>140</v>
      </c>
      <c r="D41" t="s">
        <v>18</v>
      </c>
      <c r="E41" t="s">
        <v>19</v>
      </c>
      <c r="F41">
        <v>2</v>
      </c>
      <c r="G41">
        <v>120</v>
      </c>
      <c r="H41">
        <v>2</v>
      </c>
      <c r="I41" t="s">
        <v>20</v>
      </c>
      <c r="J41" s="14">
        <v>1800</v>
      </c>
    </row>
    <row r="42" spans="1:10">
      <c r="A42" t="s">
        <v>141</v>
      </c>
      <c r="B42" t="s">
        <v>142</v>
      </c>
      <c r="C42" t="s">
        <v>143</v>
      </c>
      <c r="D42" t="s">
        <v>40</v>
      </c>
      <c r="E42" t="s">
        <v>13</v>
      </c>
      <c r="F42">
        <v>3</v>
      </c>
      <c r="G42">
        <v>600</v>
      </c>
      <c r="H42">
        <v>5</v>
      </c>
      <c r="I42" t="s">
        <v>41</v>
      </c>
      <c r="J42" s="14">
        <v>4250</v>
      </c>
    </row>
    <row r="43" spans="1:10">
      <c r="A43" t="s">
        <v>144</v>
      </c>
      <c r="B43" t="s">
        <v>145</v>
      </c>
      <c r="C43" t="s">
        <v>146</v>
      </c>
      <c r="D43" t="s">
        <v>40</v>
      </c>
      <c r="E43" t="s">
        <v>13</v>
      </c>
      <c r="F43">
        <v>4</v>
      </c>
      <c r="G43">
        <v>600</v>
      </c>
      <c r="H43">
        <v>6</v>
      </c>
      <c r="I43" t="s">
        <v>41</v>
      </c>
      <c r="J43" s="14">
        <v>2550</v>
      </c>
    </row>
    <row r="44" spans="1:10">
      <c r="A44" t="s">
        <v>147</v>
      </c>
      <c r="B44" t="s">
        <v>148</v>
      </c>
      <c r="C44" t="s">
        <v>149</v>
      </c>
      <c r="D44" t="s">
        <v>40</v>
      </c>
      <c r="E44" t="s">
        <v>13</v>
      </c>
      <c r="F44">
        <v>5</v>
      </c>
      <c r="G44">
        <v>600</v>
      </c>
      <c r="H44">
        <v>3</v>
      </c>
      <c r="I44" t="s">
        <v>41</v>
      </c>
      <c r="J44" s="14">
        <v>360</v>
      </c>
    </row>
    <row r="45" spans="1:10">
      <c r="A45" t="s">
        <v>150</v>
      </c>
      <c r="B45" t="s">
        <v>151</v>
      </c>
      <c r="C45" t="s">
        <v>152</v>
      </c>
      <c r="D45" t="s">
        <v>40</v>
      </c>
      <c r="E45" t="s">
        <v>13</v>
      </c>
      <c r="F45">
        <v>2</v>
      </c>
      <c r="G45">
        <v>600</v>
      </c>
      <c r="H45">
        <v>4</v>
      </c>
      <c r="I45" t="s">
        <v>41</v>
      </c>
      <c r="J45" s="14">
        <v>1800</v>
      </c>
    </row>
    <row r="46" spans="1:10">
      <c r="A46" t="s">
        <v>153</v>
      </c>
      <c r="B46" t="s">
        <v>109</v>
      </c>
      <c r="C46" t="s">
        <v>154</v>
      </c>
      <c r="D46" t="s">
        <v>12</v>
      </c>
      <c r="E46" t="s">
        <v>13</v>
      </c>
      <c r="F46">
        <v>5</v>
      </c>
      <c r="G46">
        <v>850</v>
      </c>
      <c r="H46">
        <v>6</v>
      </c>
      <c r="I46" t="s">
        <v>14</v>
      </c>
      <c r="J46" s="14">
        <v>1200</v>
      </c>
    </row>
    <row r="47" spans="1:10">
      <c r="A47" t="s">
        <v>155</v>
      </c>
      <c r="B47" t="s">
        <v>156</v>
      </c>
      <c r="C47" t="s">
        <v>157</v>
      </c>
      <c r="D47" t="s">
        <v>12</v>
      </c>
      <c r="E47" t="s">
        <v>13</v>
      </c>
      <c r="F47">
        <v>5</v>
      </c>
      <c r="G47">
        <v>850</v>
      </c>
      <c r="H47">
        <v>2</v>
      </c>
      <c r="I47" t="s">
        <v>14</v>
      </c>
      <c r="J47" s="14">
        <v>480</v>
      </c>
    </row>
    <row r="48" spans="1:10">
      <c r="A48" t="s">
        <v>158</v>
      </c>
      <c r="B48" t="s">
        <v>145</v>
      </c>
      <c r="C48" t="s">
        <v>159</v>
      </c>
      <c r="D48" t="s">
        <v>40</v>
      </c>
      <c r="E48" t="s">
        <v>13</v>
      </c>
      <c r="F48">
        <v>2</v>
      </c>
      <c r="G48">
        <v>600</v>
      </c>
      <c r="H48">
        <v>2</v>
      </c>
      <c r="I48" t="s">
        <v>41</v>
      </c>
      <c r="J48" s="14">
        <v>220</v>
      </c>
    </row>
    <row r="49" spans="1:10">
      <c r="A49" t="s">
        <v>160</v>
      </c>
      <c r="B49" t="s">
        <v>161</v>
      </c>
      <c r="C49" t="s">
        <v>162</v>
      </c>
      <c r="D49" t="s">
        <v>24</v>
      </c>
      <c r="E49" t="s">
        <v>25</v>
      </c>
      <c r="F49">
        <v>5</v>
      </c>
      <c r="G49">
        <v>110</v>
      </c>
      <c r="H49">
        <v>3</v>
      </c>
      <c r="I49" t="s">
        <v>26</v>
      </c>
      <c r="J49" s="14">
        <v>1200</v>
      </c>
    </row>
    <row r="50" spans="1:10">
      <c r="A50" t="s">
        <v>163</v>
      </c>
      <c r="B50" t="s">
        <v>164</v>
      </c>
      <c r="C50" t="s">
        <v>165</v>
      </c>
      <c r="D50" t="s">
        <v>56</v>
      </c>
      <c r="E50" t="s">
        <v>13</v>
      </c>
      <c r="F50">
        <v>2</v>
      </c>
      <c r="G50">
        <v>45</v>
      </c>
      <c r="H50">
        <v>4</v>
      </c>
      <c r="I50" t="s">
        <v>57</v>
      </c>
      <c r="J50" s="14">
        <v>900</v>
      </c>
    </row>
    <row r="51" spans="1:10">
      <c r="A51" t="s">
        <v>166</v>
      </c>
      <c r="B51" t="s">
        <v>167</v>
      </c>
      <c r="C51" t="s">
        <v>168</v>
      </c>
      <c r="D51" t="s">
        <v>61</v>
      </c>
      <c r="E51" t="s">
        <v>13</v>
      </c>
      <c r="F51">
        <v>1</v>
      </c>
      <c r="G51">
        <v>80</v>
      </c>
      <c r="H51">
        <v>4</v>
      </c>
      <c r="I51" t="s">
        <v>62</v>
      </c>
      <c r="J51" s="14">
        <v>600</v>
      </c>
    </row>
    <row r="52" spans="1:10">
      <c r="A52" t="s">
        <v>169</v>
      </c>
      <c r="B52" t="s">
        <v>148</v>
      </c>
      <c r="C52" t="s">
        <v>170</v>
      </c>
      <c r="D52" t="s">
        <v>30</v>
      </c>
      <c r="E52" t="s">
        <v>25</v>
      </c>
      <c r="F52">
        <v>4</v>
      </c>
      <c r="G52">
        <v>90</v>
      </c>
      <c r="H52">
        <v>1</v>
      </c>
      <c r="I52" t="s">
        <v>31</v>
      </c>
      <c r="J52" s="14">
        <v>5100</v>
      </c>
    </row>
    <row r="53" spans="1:10">
      <c r="A53" t="s">
        <v>171</v>
      </c>
      <c r="B53" t="s">
        <v>172</v>
      </c>
      <c r="C53" t="s">
        <v>173</v>
      </c>
      <c r="D53" t="s">
        <v>61</v>
      </c>
      <c r="E53" t="s">
        <v>13</v>
      </c>
      <c r="F53">
        <v>1</v>
      </c>
      <c r="G53">
        <v>80</v>
      </c>
      <c r="H53">
        <v>3</v>
      </c>
      <c r="I53" t="s">
        <v>62</v>
      </c>
      <c r="J53" s="14">
        <v>2550</v>
      </c>
    </row>
    <row r="54" spans="1:10">
      <c r="A54" t="s">
        <v>174</v>
      </c>
      <c r="B54" t="s">
        <v>86</v>
      </c>
      <c r="C54" t="s">
        <v>175</v>
      </c>
      <c r="D54" t="s">
        <v>61</v>
      </c>
      <c r="E54" t="s">
        <v>13</v>
      </c>
      <c r="F54">
        <v>1</v>
      </c>
      <c r="G54">
        <v>80</v>
      </c>
      <c r="H54">
        <v>1</v>
      </c>
      <c r="I54" t="s">
        <v>62</v>
      </c>
      <c r="J54" s="14">
        <v>600</v>
      </c>
    </row>
    <row r="55" spans="1:10">
      <c r="A55" t="s">
        <v>176</v>
      </c>
      <c r="B55" t="s">
        <v>177</v>
      </c>
      <c r="C55" t="s">
        <v>178</v>
      </c>
      <c r="D55" t="s">
        <v>51</v>
      </c>
      <c r="E55" t="s">
        <v>13</v>
      </c>
      <c r="F55">
        <v>5</v>
      </c>
      <c r="G55">
        <v>300</v>
      </c>
      <c r="H55">
        <v>1</v>
      </c>
      <c r="I55" t="s">
        <v>52</v>
      </c>
      <c r="J55" s="14">
        <v>330</v>
      </c>
    </row>
    <row r="56" spans="1:10">
      <c r="A56" t="s">
        <v>179</v>
      </c>
      <c r="B56" t="s">
        <v>180</v>
      </c>
      <c r="C56" t="s">
        <v>181</v>
      </c>
      <c r="D56" t="s">
        <v>18</v>
      </c>
      <c r="E56" t="s">
        <v>19</v>
      </c>
      <c r="F56">
        <v>4</v>
      </c>
      <c r="G56">
        <v>120</v>
      </c>
      <c r="H56">
        <v>3</v>
      </c>
      <c r="I56" t="s">
        <v>20</v>
      </c>
      <c r="J56" s="14">
        <v>660</v>
      </c>
    </row>
    <row r="57" spans="1:10">
      <c r="A57" t="s">
        <v>182</v>
      </c>
      <c r="B57" t="s">
        <v>183</v>
      </c>
      <c r="C57" t="s">
        <v>184</v>
      </c>
      <c r="D57" t="s">
        <v>61</v>
      </c>
      <c r="E57" t="s">
        <v>13</v>
      </c>
      <c r="F57">
        <v>3</v>
      </c>
      <c r="G57">
        <v>80</v>
      </c>
      <c r="H57">
        <v>3</v>
      </c>
      <c r="I57" t="s">
        <v>62</v>
      </c>
      <c r="J57" s="14">
        <v>720</v>
      </c>
    </row>
    <row r="58" spans="1:10">
      <c r="A58" t="s">
        <v>185</v>
      </c>
      <c r="B58" t="s">
        <v>186</v>
      </c>
      <c r="C58" t="s">
        <v>187</v>
      </c>
      <c r="D58" t="s">
        <v>61</v>
      </c>
      <c r="E58" t="s">
        <v>13</v>
      </c>
      <c r="F58">
        <v>1</v>
      </c>
      <c r="G58">
        <v>80</v>
      </c>
      <c r="H58">
        <v>6</v>
      </c>
      <c r="I58" t="s">
        <v>62</v>
      </c>
      <c r="J58" s="14">
        <v>220</v>
      </c>
    </row>
    <row r="59" spans="1:10">
      <c r="A59" t="s">
        <v>188</v>
      </c>
      <c r="B59" t="s">
        <v>189</v>
      </c>
      <c r="C59" t="s">
        <v>190</v>
      </c>
      <c r="D59" t="s">
        <v>18</v>
      </c>
      <c r="E59" t="s">
        <v>19</v>
      </c>
      <c r="F59">
        <v>3</v>
      </c>
      <c r="G59">
        <v>120</v>
      </c>
      <c r="H59">
        <v>1</v>
      </c>
      <c r="I59" t="s">
        <v>20</v>
      </c>
      <c r="J59" s="14">
        <v>1800</v>
      </c>
    </row>
    <row r="60" spans="1:10">
      <c r="A60" t="s">
        <v>191</v>
      </c>
      <c r="B60" t="s">
        <v>192</v>
      </c>
      <c r="C60" t="s">
        <v>193</v>
      </c>
      <c r="D60" t="s">
        <v>18</v>
      </c>
      <c r="E60" t="s">
        <v>19</v>
      </c>
      <c r="F60">
        <v>5</v>
      </c>
      <c r="G60">
        <v>120</v>
      </c>
      <c r="H60">
        <v>3</v>
      </c>
      <c r="I60" t="s">
        <v>20</v>
      </c>
      <c r="J60" s="14">
        <v>1320</v>
      </c>
    </row>
    <row r="61" spans="1:10">
      <c r="A61" t="s">
        <v>194</v>
      </c>
      <c r="B61" t="s">
        <v>195</v>
      </c>
      <c r="C61" t="s">
        <v>196</v>
      </c>
      <c r="D61" t="s">
        <v>51</v>
      </c>
      <c r="E61" t="s">
        <v>13</v>
      </c>
      <c r="F61">
        <v>4</v>
      </c>
      <c r="G61">
        <v>300</v>
      </c>
      <c r="H61">
        <v>5</v>
      </c>
      <c r="I61" t="s">
        <v>52</v>
      </c>
      <c r="J61" s="14">
        <v>600</v>
      </c>
    </row>
    <row r="62" spans="1:10">
      <c r="A62" t="s">
        <v>197</v>
      </c>
      <c r="B62" t="s">
        <v>76</v>
      </c>
      <c r="C62" t="s">
        <v>198</v>
      </c>
      <c r="D62" t="s">
        <v>83</v>
      </c>
      <c r="E62" t="s">
        <v>13</v>
      </c>
      <c r="F62">
        <v>2</v>
      </c>
      <c r="G62">
        <v>220</v>
      </c>
      <c r="H62">
        <v>2</v>
      </c>
      <c r="I62" t="s">
        <v>84</v>
      </c>
      <c r="J62" s="14">
        <v>600</v>
      </c>
    </row>
    <row r="63" spans="1:10">
      <c r="A63" t="s">
        <v>199</v>
      </c>
      <c r="B63" t="s">
        <v>200</v>
      </c>
      <c r="C63" t="s">
        <v>201</v>
      </c>
      <c r="D63" t="s">
        <v>40</v>
      </c>
      <c r="E63" t="s">
        <v>13</v>
      </c>
      <c r="F63">
        <v>4</v>
      </c>
      <c r="G63">
        <v>600</v>
      </c>
      <c r="H63">
        <v>3</v>
      </c>
      <c r="I63" t="s">
        <v>41</v>
      </c>
      <c r="J63" s="14">
        <v>5100</v>
      </c>
    </row>
    <row r="64" spans="1:10">
      <c r="A64" t="s">
        <v>202</v>
      </c>
      <c r="B64" t="s">
        <v>156</v>
      </c>
      <c r="C64" t="s">
        <v>203</v>
      </c>
      <c r="D64" t="s">
        <v>12</v>
      </c>
      <c r="E64" t="s">
        <v>13</v>
      </c>
      <c r="F64">
        <v>5</v>
      </c>
      <c r="G64">
        <v>850</v>
      </c>
      <c r="H64">
        <v>5</v>
      </c>
      <c r="I64" t="s">
        <v>14</v>
      </c>
      <c r="J64" s="14">
        <v>1800</v>
      </c>
    </row>
    <row r="65" spans="1:10">
      <c r="A65" t="s">
        <v>204</v>
      </c>
      <c r="B65" t="s">
        <v>109</v>
      </c>
      <c r="C65" t="s">
        <v>205</v>
      </c>
      <c r="D65" t="s">
        <v>12</v>
      </c>
      <c r="E65" t="s">
        <v>13</v>
      </c>
      <c r="F65">
        <v>5</v>
      </c>
      <c r="G65">
        <v>850</v>
      </c>
      <c r="H65">
        <v>3</v>
      </c>
      <c r="I65" t="s">
        <v>14</v>
      </c>
      <c r="J65" s="14">
        <v>850</v>
      </c>
    </row>
    <row r="66" spans="1:10">
      <c r="A66" t="s">
        <v>206</v>
      </c>
      <c r="B66" t="s">
        <v>207</v>
      </c>
      <c r="C66" t="s">
        <v>208</v>
      </c>
      <c r="D66" t="s">
        <v>18</v>
      </c>
      <c r="E66" t="s">
        <v>19</v>
      </c>
      <c r="F66">
        <v>2</v>
      </c>
      <c r="G66">
        <v>120</v>
      </c>
      <c r="H66">
        <v>3</v>
      </c>
      <c r="I66" t="s">
        <v>20</v>
      </c>
      <c r="J66" s="14">
        <v>880</v>
      </c>
    </row>
    <row r="67" spans="1:10">
      <c r="A67" t="s">
        <v>209</v>
      </c>
      <c r="B67" t="s">
        <v>89</v>
      </c>
      <c r="C67" t="s">
        <v>210</v>
      </c>
      <c r="D67" t="s">
        <v>40</v>
      </c>
      <c r="E67" t="s">
        <v>13</v>
      </c>
      <c r="F67">
        <v>5</v>
      </c>
      <c r="G67">
        <v>600</v>
      </c>
      <c r="H67">
        <v>3</v>
      </c>
      <c r="I67" t="s">
        <v>41</v>
      </c>
      <c r="J67" s="14">
        <v>300</v>
      </c>
    </row>
    <row r="68" spans="1:10">
      <c r="A68" t="s">
        <v>211</v>
      </c>
      <c r="B68" t="s">
        <v>156</v>
      </c>
      <c r="C68" t="s">
        <v>212</v>
      </c>
      <c r="D68" t="s">
        <v>51</v>
      </c>
      <c r="E68" t="s">
        <v>13</v>
      </c>
      <c r="F68">
        <v>4</v>
      </c>
      <c r="G68">
        <v>300</v>
      </c>
      <c r="H68">
        <v>4</v>
      </c>
      <c r="I68" t="s">
        <v>52</v>
      </c>
      <c r="J68" s="14">
        <v>360</v>
      </c>
    </row>
    <row r="69" spans="1:10">
      <c r="A69" t="s">
        <v>213</v>
      </c>
      <c r="B69" t="s">
        <v>214</v>
      </c>
      <c r="C69" t="s">
        <v>215</v>
      </c>
      <c r="D69" t="s">
        <v>18</v>
      </c>
      <c r="E69" t="s">
        <v>19</v>
      </c>
      <c r="F69">
        <v>4</v>
      </c>
      <c r="G69">
        <v>120</v>
      </c>
      <c r="H69">
        <v>4</v>
      </c>
      <c r="I69" t="s">
        <v>20</v>
      </c>
      <c r="J69" s="14">
        <v>1800</v>
      </c>
    </row>
    <row r="70" spans="1:10">
      <c r="A70" t="s">
        <v>216</v>
      </c>
      <c r="B70" t="s">
        <v>217</v>
      </c>
      <c r="C70" t="s">
        <v>218</v>
      </c>
      <c r="D70" t="s">
        <v>24</v>
      </c>
      <c r="E70" t="s">
        <v>25</v>
      </c>
      <c r="F70">
        <v>2</v>
      </c>
      <c r="G70">
        <v>110</v>
      </c>
      <c r="H70">
        <v>2</v>
      </c>
      <c r="I70" t="s">
        <v>26</v>
      </c>
      <c r="J70" s="14">
        <v>880</v>
      </c>
    </row>
    <row r="71" spans="1:10">
      <c r="A71" t="s">
        <v>219</v>
      </c>
      <c r="B71" t="s">
        <v>28</v>
      </c>
      <c r="C71" t="s">
        <v>220</v>
      </c>
      <c r="D71" t="s">
        <v>40</v>
      </c>
      <c r="E71" t="s">
        <v>13</v>
      </c>
      <c r="F71">
        <v>5</v>
      </c>
      <c r="G71">
        <v>600</v>
      </c>
      <c r="H71">
        <v>2</v>
      </c>
      <c r="I71" t="s">
        <v>41</v>
      </c>
      <c r="J71" s="14">
        <v>1200</v>
      </c>
    </row>
    <row r="72" spans="1:10">
      <c r="A72" t="s">
        <v>221</v>
      </c>
      <c r="B72" t="s">
        <v>222</v>
      </c>
      <c r="C72" t="s">
        <v>223</v>
      </c>
      <c r="D72" t="s">
        <v>51</v>
      </c>
      <c r="E72" t="s">
        <v>13</v>
      </c>
      <c r="F72">
        <v>5</v>
      </c>
      <c r="G72">
        <v>300</v>
      </c>
      <c r="H72">
        <v>3</v>
      </c>
      <c r="I72" t="s">
        <v>52</v>
      </c>
      <c r="J72" s="14">
        <v>1320</v>
      </c>
    </row>
    <row r="73" spans="1:10">
      <c r="A73" t="s">
        <v>224</v>
      </c>
      <c r="B73" t="s">
        <v>76</v>
      </c>
      <c r="C73" t="s">
        <v>225</v>
      </c>
      <c r="D73" t="s">
        <v>56</v>
      </c>
      <c r="E73" t="s">
        <v>13</v>
      </c>
      <c r="F73">
        <v>3</v>
      </c>
      <c r="G73">
        <v>45</v>
      </c>
      <c r="H73">
        <v>3</v>
      </c>
      <c r="I73" t="s">
        <v>57</v>
      </c>
      <c r="J73" s="14">
        <v>1800</v>
      </c>
    </row>
    <row r="74" spans="1:10">
      <c r="A74" t="s">
        <v>226</v>
      </c>
      <c r="B74" t="s">
        <v>81</v>
      </c>
      <c r="C74" t="s">
        <v>227</v>
      </c>
      <c r="D74" t="s">
        <v>51</v>
      </c>
      <c r="E74" t="s">
        <v>13</v>
      </c>
      <c r="F74">
        <v>1</v>
      </c>
      <c r="G74">
        <v>300</v>
      </c>
      <c r="H74">
        <v>2</v>
      </c>
      <c r="I74" t="s">
        <v>52</v>
      </c>
      <c r="J74" s="14">
        <v>900</v>
      </c>
    </row>
    <row r="75" spans="1:10">
      <c r="A75" t="s">
        <v>228</v>
      </c>
      <c r="B75" t="s">
        <v>229</v>
      </c>
      <c r="C75" t="s">
        <v>230</v>
      </c>
      <c r="D75" t="s">
        <v>12</v>
      </c>
      <c r="E75" t="s">
        <v>13</v>
      </c>
      <c r="F75">
        <v>4</v>
      </c>
      <c r="G75">
        <v>850</v>
      </c>
      <c r="H75">
        <v>6</v>
      </c>
      <c r="I75" t="s">
        <v>14</v>
      </c>
      <c r="J75" s="14">
        <v>2550</v>
      </c>
    </row>
    <row r="76" spans="1:10">
      <c r="A76" t="s">
        <v>231</v>
      </c>
      <c r="B76" t="s">
        <v>232</v>
      </c>
      <c r="C76" t="s">
        <v>233</v>
      </c>
      <c r="D76" t="s">
        <v>56</v>
      </c>
      <c r="E76" t="s">
        <v>13</v>
      </c>
      <c r="F76">
        <v>4</v>
      </c>
      <c r="G76">
        <v>45</v>
      </c>
      <c r="H76">
        <v>2</v>
      </c>
      <c r="I76" t="s">
        <v>57</v>
      </c>
      <c r="J76" s="14">
        <v>600</v>
      </c>
    </row>
    <row r="77" spans="1:10">
      <c r="A77" t="s">
        <v>234</v>
      </c>
      <c r="B77" t="s">
        <v>235</v>
      </c>
      <c r="C77" t="s">
        <v>236</v>
      </c>
      <c r="D77" t="s">
        <v>56</v>
      </c>
      <c r="E77" t="s">
        <v>13</v>
      </c>
      <c r="F77">
        <v>4</v>
      </c>
      <c r="G77">
        <v>45</v>
      </c>
      <c r="H77">
        <v>1</v>
      </c>
      <c r="I77" t="s">
        <v>57</v>
      </c>
      <c r="J77" s="14">
        <v>600</v>
      </c>
    </row>
    <row r="78" spans="1:10">
      <c r="A78" t="s">
        <v>237</v>
      </c>
      <c r="B78" t="s">
        <v>238</v>
      </c>
      <c r="C78" t="s">
        <v>239</v>
      </c>
      <c r="D78" t="s">
        <v>61</v>
      </c>
      <c r="E78" t="s">
        <v>13</v>
      </c>
      <c r="F78">
        <v>1</v>
      </c>
      <c r="G78">
        <v>80</v>
      </c>
      <c r="H78">
        <v>6</v>
      </c>
      <c r="I78" t="s">
        <v>62</v>
      </c>
      <c r="J78" s="14">
        <v>660</v>
      </c>
    </row>
    <row r="79" spans="1:10">
      <c r="A79" t="s">
        <v>240</v>
      </c>
      <c r="B79" t="s">
        <v>28</v>
      </c>
      <c r="C79" t="s">
        <v>241</v>
      </c>
      <c r="D79" t="s">
        <v>12</v>
      </c>
      <c r="E79" t="s">
        <v>13</v>
      </c>
      <c r="F79">
        <v>5</v>
      </c>
      <c r="G79">
        <v>850</v>
      </c>
      <c r="H79">
        <v>3</v>
      </c>
      <c r="I79" t="s">
        <v>14</v>
      </c>
      <c r="J79" s="14">
        <v>900</v>
      </c>
    </row>
    <row r="80" spans="1:10">
      <c r="A80" t="s">
        <v>242</v>
      </c>
      <c r="B80" t="s">
        <v>243</v>
      </c>
      <c r="C80" t="s">
        <v>244</v>
      </c>
      <c r="D80" t="s">
        <v>18</v>
      </c>
      <c r="E80" t="s">
        <v>19</v>
      </c>
      <c r="F80">
        <v>5</v>
      </c>
      <c r="G80">
        <v>120</v>
      </c>
      <c r="H80">
        <v>5</v>
      </c>
      <c r="I80" t="s">
        <v>20</v>
      </c>
      <c r="J80" s="14">
        <v>240</v>
      </c>
    </row>
    <row r="81" spans="1:11">
      <c r="A81" t="s">
        <v>245</v>
      </c>
      <c r="B81" t="s">
        <v>22</v>
      </c>
      <c r="C81" t="s">
        <v>246</v>
      </c>
      <c r="D81" t="s">
        <v>56</v>
      </c>
      <c r="E81" t="s">
        <v>13</v>
      </c>
      <c r="F81">
        <v>1</v>
      </c>
      <c r="G81">
        <v>45</v>
      </c>
      <c r="H81">
        <v>6</v>
      </c>
      <c r="I81" t="s">
        <v>57</v>
      </c>
      <c r="J81" s="14">
        <v>1200</v>
      </c>
    </row>
    <row r="82" spans="1:11">
      <c r="A82" t="s">
        <v>247</v>
      </c>
      <c r="B82" t="s">
        <v>46</v>
      </c>
      <c r="C82" t="s">
        <v>248</v>
      </c>
      <c r="D82" t="s">
        <v>24</v>
      </c>
      <c r="E82" t="s">
        <v>25</v>
      </c>
      <c r="F82">
        <v>5</v>
      </c>
      <c r="G82">
        <v>110</v>
      </c>
      <c r="H82">
        <v>3</v>
      </c>
      <c r="I82" t="s">
        <v>26</v>
      </c>
      <c r="J82" s="14">
        <v>1320</v>
      </c>
    </row>
    <row r="83" spans="1:11">
      <c r="A83" t="s">
        <v>249</v>
      </c>
      <c r="B83" t="s">
        <v>109</v>
      </c>
      <c r="C83" t="s">
        <v>250</v>
      </c>
      <c r="D83" t="s">
        <v>35</v>
      </c>
      <c r="E83" t="s">
        <v>19</v>
      </c>
      <c r="F83">
        <v>2</v>
      </c>
      <c r="G83">
        <v>50</v>
      </c>
      <c r="H83">
        <v>4</v>
      </c>
      <c r="I83" t="s">
        <v>36</v>
      </c>
      <c r="J83" s="14">
        <v>220</v>
      </c>
    </row>
    <row r="84" spans="1:11">
      <c r="A84" t="s">
        <v>251</v>
      </c>
      <c r="B84" t="s">
        <v>252</v>
      </c>
      <c r="C84" t="s">
        <v>253</v>
      </c>
      <c r="D84" t="s">
        <v>83</v>
      </c>
      <c r="E84" t="s">
        <v>13</v>
      </c>
      <c r="F84">
        <v>5</v>
      </c>
      <c r="G84">
        <v>220</v>
      </c>
      <c r="H84">
        <v>3</v>
      </c>
      <c r="I84" t="s">
        <v>84</v>
      </c>
      <c r="J84" s="14">
        <v>5100</v>
      </c>
    </row>
    <row r="85" spans="1:11">
      <c r="A85" t="s">
        <v>254</v>
      </c>
      <c r="B85" t="s">
        <v>73</v>
      </c>
      <c r="C85" t="s">
        <v>255</v>
      </c>
      <c r="D85" t="s">
        <v>18</v>
      </c>
      <c r="E85" t="s">
        <v>19</v>
      </c>
      <c r="F85">
        <v>4</v>
      </c>
      <c r="G85">
        <v>120</v>
      </c>
      <c r="H85">
        <v>6</v>
      </c>
      <c r="I85" t="s">
        <v>20</v>
      </c>
      <c r="J85" s="14">
        <v>1500</v>
      </c>
    </row>
    <row r="86" spans="1:11">
      <c r="A86" t="s">
        <v>256</v>
      </c>
      <c r="B86" t="s">
        <v>134</v>
      </c>
      <c r="C86" t="s">
        <v>257</v>
      </c>
      <c r="D86" t="s">
        <v>83</v>
      </c>
      <c r="E86" t="s">
        <v>13</v>
      </c>
      <c r="F86">
        <v>2</v>
      </c>
      <c r="G86">
        <v>220</v>
      </c>
      <c r="H86">
        <v>1</v>
      </c>
      <c r="I86" t="s">
        <v>84</v>
      </c>
      <c r="J86" s="14">
        <v>1100</v>
      </c>
    </row>
    <row r="87" spans="1:11">
      <c r="A87" t="s">
        <v>258</v>
      </c>
      <c r="B87" t="s">
        <v>259</v>
      </c>
      <c r="C87" t="s">
        <v>260</v>
      </c>
      <c r="D87" t="s">
        <v>40</v>
      </c>
      <c r="E87" t="s">
        <v>13</v>
      </c>
      <c r="F87">
        <v>2</v>
      </c>
      <c r="G87">
        <v>600</v>
      </c>
      <c r="H87">
        <v>3</v>
      </c>
      <c r="I87" t="s">
        <v>41</v>
      </c>
      <c r="J87" s="14">
        <v>110</v>
      </c>
    </row>
    <row r="88" spans="1:11">
      <c r="A88" t="s">
        <v>261</v>
      </c>
      <c r="B88" t="s">
        <v>232</v>
      </c>
      <c r="C88" t="s">
        <v>262</v>
      </c>
      <c r="D88" t="s">
        <v>56</v>
      </c>
      <c r="E88" t="s">
        <v>13</v>
      </c>
      <c r="F88">
        <v>2</v>
      </c>
      <c r="G88">
        <v>45</v>
      </c>
      <c r="H88">
        <v>6</v>
      </c>
      <c r="I88" t="s">
        <v>57</v>
      </c>
      <c r="J88" s="14">
        <v>660</v>
      </c>
    </row>
    <row r="89" spans="1:11">
      <c r="A89" t="s">
        <v>263</v>
      </c>
      <c r="B89" t="s">
        <v>192</v>
      </c>
      <c r="C89" t="s">
        <v>264</v>
      </c>
      <c r="D89" t="s">
        <v>83</v>
      </c>
      <c r="E89" t="s">
        <v>13</v>
      </c>
      <c r="F89">
        <v>3</v>
      </c>
      <c r="G89">
        <v>220</v>
      </c>
      <c r="H89">
        <v>6</v>
      </c>
      <c r="I89" t="s">
        <v>84</v>
      </c>
      <c r="J89" s="14">
        <v>220</v>
      </c>
    </row>
    <row r="90" spans="1:11">
      <c r="A90" t="s">
        <v>265</v>
      </c>
      <c r="B90" t="s">
        <v>195</v>
      </c>
      <c r="C90" t="s">
        <v>266</v>
      </c>
      <c r="D90" t="s">
        <v>18</v>
      </c>
      <c r="E90" t="s">
        <v>19</v>
      </c>
      <c r="F90">
        <v>5</v>
      </c>
      <c r="G90">
        <v>120</v>
      </c>
      <c r="H90">
        <v>5</v>
      </c>
      <c r="I90" t="s">
        <v>20</v>
      </c>
      <c r="J90" s="14">
        <v>110</v>
      </c>
    </row>
    <row r="91" spans="1:11">
      <c r="A91" t="s">
        <v>267</v>
      </c>
      <c r="B91" t="s">
        <v>200</v>
      </c>
      <c r="C91" t="s">
        <v>268</v>
      </c>
      <c r="D91" t="s">
        <v>40</v>
      </c>
      <c r="E91" t="s">
        <v>13</v>
      </c>
      <c r="F91">
        <v>3</v>
      </c>
      <c r="G91">
        <v>600</v>
      </c>
      <c r="H91">
        <v>1</v>
      </c>
      <c r="I91" t="s">
        <v>41</v>
      </c>
      <c r="J91" s="14">
        <v>330</v>
      </c>
    </row>
    <row r="92" spans="1:11">
      <c r="A92" t="s">
        <v>269</v>
      </c>
      <c r="B92" t="s">
        <v>252</v>
      </c>
      <c r="C92" t="s">
        <v>11</v>
      </c>
      <c r="D92" t="s">
        <v>35</v>
      </c>
      <c r="E92" t="s">
        <v>19</v>
      </c>
      <c r="F92">
        <v>1</v>
      </c>
      <c r="G92">
        <v>50</v>
      </c>
      <c r="H92">
        <v>1</v>
      </c>
      <c r="I92" t="s">
        <v>36</v>
      </c>
      <c r="J92" s="14">
        <v>120</v>
      </c>
    </row>
    <row r="93" spans="1:11">
      <c r="A93" t="s">
        <v>270</v>
      </c>
      <c r="B93" t="s">
        <v>38</v>
      </c>
      <c r="C93" t="s">
        <v>17</v>
      </c>
      <c r="D93" t="s">
        <v>61</v>
      </c>
      <c r="E93" t="s">
        <v>13</v>
      </c>
      <c r="F93">
        <v>5</v>
      </c>
      <c r="G93">
        <v>80</v>
      </c>
      <c r="H93">
        <v>2</v>
      </c>
      <c r="I93" t="s">
        <v>62</v>
      </c>
      <c r="J93" s="14">
        <v>240</v>
      </c>
      <c r="K93">
        <f>SUM(A2:A151)</f>
        <v>0</v>
      </c>
    </row>
    <row r="94" spans="1:11">
      <c r="A94" t="s">
        <v>271</v>
      </c>
      <c r="B94" t="s">
        <v>222</v>
      </c>
      <c r="C94" t="s">
        <v>23</v>
      </c>
      <c r="D94" t="s">
        <v>12</v>
      </c>
      <c r="E94" t="s">
        <v>13</v>
      </c>
      <c r="F94">
        <v>3</v>
      </c>
      <c r="G94">
        <v>850</v>
      </c>
      <c r="H94">
        <v>6</v>
      </c>
      <c r="I94" t="s">
        <v>14</v>
      </c>
      <c r="J94" s="14">
        <v>2550</v>
      </c>
    </row>
    <row r="95" spans="1:11">
      <c r="A95" t="s">
        <v>272</v>
      </c>
      <c r="B95" t="s">
        <v>186</v>
      </c>
      <c r="C95" t="s">
        <v>29</v>
      </c>
      <c r="D95" t="s">
        <v>51</v>
      </c>
      <c r="E95" t="s">
        <v>13</v>
      </c>
      <c r="F95">
        <v>3</v>
      </c>
      <c r="G95">
        <v>300</v>
      </c>
      <c r="H95">
        <v>6</v>
      </c>
      <c r="I95" t="s">
        <v>52</v>
      </c>
      <c r="J95" s="14">
        <v>3400</v>
      </c>
    </row>
    <row r="96" spans="1:11">
      <c r="A96" t="s">
        <v>273</v>
      </c>
      <c r="B96" t="s">
        <v>115</v>
      </c>
      <c r="C96" t="s">
        <v>34</v>
      </c>
      <c r="D96" t="s">
        <v>12</v>
      </c>
      <c r="E96" t="s">
        <v>13</v>
      </c>
      <c r="F96">
        <v>1</v>
      </c>
      <c r="G96">
        <v>850</v>
      </c>
      <c r="H96">
        <v>1</v>
      </c>
      <c r="I96" t="s">
        <v>14</v>
      </c>
      <c r="J96" s="14">
        <f>SUM(F96*G96)</f>
        <v>850</v>
      </c>
    </row>
    <row r="97" spans="1:10">
      <c r="A97" t="s">
        <v>274</v>
      </c>
      <c r="B97" t="s">
        <v>275</v>
      </c>
      <c r="C97" t="s">
        <v>39</v>
      </c>
      <c r="D97" t="s">
        <v>83</v>
      </c>
      <c r="E97" t="s">
        <v>13</v>
      </c>
      <c r="F97">
        <v>3</v>
      </c>
      <c r="G97">
        <v>220</v>
      </c>
      <c r="H97">
        <v>4</v>
      </c>
      <c r="I97" t="s">
        <v>84</v>
      </c>
      <c r="J97" s="14">
        <f t="shared" ref="J97:J151" si="0">SUM(F97*G97)</f>
        <v>660</v>
      </c>
    </row>
    <row r="98" spans="1:10">
      <c r="A98" t="s">
        <v>276</v>
      </c>
      <c r="B98" t="s">
        <v>73</v>
      </c>
      <c r="C98" t="s">
        <v>44</v>
      </c>
      <c r="D98" t="s">
        <v>51</v>
      </c>
      <c r="E98" t="s">
        <v>13</v>
      </c>
      <c r="F98">
        <v>1</v>
      </c>
      <c r="G98">
        <v>300</v>
      </c>
      <c r="H98">
        <v>1</v>
      </c>
      <c r="I98" t="s">
        <v>52</v>
      </c>
      <c r="J98" s="14">
        <f t="shared" si="0"/>
        <v>300</v>
      </c>
    </row>
    <row r="99" spans="1:10">
      <c r="A99" t="s">
        <v>277</v>
      </c>
      <c r="B99" t="s">
        <v>217</v>
      </c>
      <c r="C99" t="s">
        <v>47</v>
      </c>
      <c r="D99" t="s">
        <v>18</v>
      </c>
      <c r="E99" t="s">
        <v>19</v>
      </c>
      <c r="F99">
        <v>2</v>
      </c>
      <c r="G99">
        <v>120</v>
      </c>
      <c r="H99">
        <v>3</v>
      </c>
      <c r="I99" t="s">
        <v>20</v>
      </c>
      <c r="J99" s="14">
        <f t="shared" si="0"/>
        <v>240</v>
      </c>
    </row>
    <row r="100" spans="1:10">
      <c r="A100" t="s">
        <v>278</v>
      </c>
      <c r="B100" t="s">
        <v>279</v>
      </c>
      <c r="C100" t="s">
        <v>50</v>
      </c>
      <c r="D100" t="s">
        <v>30</v>
      </c>
      <c r="E100" t="s">
        <v>25</v>
      </c>
      <c r="F100">
        <v>3</v>
      </c>
      <c r="G100">
        <v>90</v>
      </c>
      <c r="H100">
        <v>1</v>
      </c>
      <c r="I100" t="s">
        <v>31</v>
      </c>
      <c r="J100" s="14">
        <f t="shared" si="0"/>
        <v>270</v>
      </c>
    </row>
    <row r="101" spans="1:10">
      <c r="A101" t="s">
        <v>280</v>
      </c>
      <c r="B101" t="s">
        <v>281</v>
      </c>
      <c r="C101" t="s">
        <v>55</v>
      </c>
      <c r="D101" t="s">
        <v>51</v>
      </c>
      <c r="E101" t="s">
        <v>13</v>
      </c>
      <c r="F101">
        <v>5</v>
      </c>
      <c r="G101">
        <v>300</v>
      </c>
      <c r="H101">
        <v>6</v>
      </c>
      <c r="I101" t="s">
        <v>52</v>
      </c>
      <c r="J101" s="14">
        <f t="shared" si="0"/>
        <v>1500</v>
      </c>
    </row>
    <row r="102" spans="1:10">
      <c r="A102" t="s">
        <v>282</v>
      </c>
      <c r="B102" t="s">
        <v>28</v>
      </c>
      <c r="C102" t="s">
        <v>60</v>
      </c>
      <c r="D102" t="s">
        <v>56</v>
      </c>
      <c r="E102" t="s">
        <v>13</v>
      </c>
      <c r="F102">
        <v>1</v>
      </c>
      <c r="G102">
        <v>45</v>
      </c>
      <c r="H102">
        <v>2</v>
      </c>
      <c r="I102" t="s">
        <v>57</v>
      </c>
      <c r="J102" s="14">
        <f t="shared" si="0"/>
        <v>45</v>
      </c>
    </row>
    <row r="103" spans="1:10">
      <c r="A103" t="s">
        <v>283</v>
      </c>
      <c r="B103" t="s">
        <v>86</v>
      </c>
      <c r="C103" t="s">
        <v>65</v>
      </c>
      <c r="D103" t="s">
        <v>35</v>
      </c>
      <c r="E103" t="s">
        <v>19</v>
      </c>
      <c r="F103">
        <v>3</v>
      </c>
      <c r="G103">
        <v>50</v>
      </c>
      <c r="H103">
        <v>1</v>
      </c>
      <c r="I103" t="s">
        <v>36</v>
      </c>
      <c r="J103" s="14">
        <f t="shared" si="0"/>
        <v>150</v>
      </c>
    </row>
    <row r="104" spans="1:10">
      <c r="A104" t="s">
        <v>284</v>
      </c>
      <c r="B104" t="s">
        <v>161</v>
      </c>
      <c r="C104" t="s">
        <v>68</v>
      </c>
      <c r="D104" t="s">
        <v>83</v>
      </c>
      <c r="E104" t="s">
        <v>13</v>
      </c>
      <c r="F104">
        <v>3</v>
      </c>
      <c r="G104">
        <v>220</v>
      </c>
      <c r="H104">
        <v>4</v>
      </c>
      <c r="I104" t="s">
        <v>84</v>
      </c>
      <c r="J104" s="14">
        <f t="shared" si="0"/>
        <v>660</v>
      </c>
    </row>
    <row r="105" spans="1:10">
      <c r="A105" t="s">
        <v>285</v>
      </c>
      <c r="B105" t="s">
        <v>286</v>
      </c>
      <c r="C105" t="s">
        <v>71</v>
      </c>
      <c r="D105" t="s">
        <v>51</v>
      </c>
      <c r="E105" t="s">
        <v>13</v>
      </c>
      <c r="F105">
        <v>3</v>
      </c>
      <c r="G105">
        <v>300</v>
      </c>
      <c r="H105">
        <v>4</v>
      </c>
      <c r="I105" t="s">
        <v>52</v>
      </c>
      <c r="J105" s="14">
        <f t="shared" si="0"/>
        <v>900</v>
      </c>
    </row>
    <row r="106" spans="1:10">
      <c r="A106" t="s">
        <v>287</v>
      </c>
      <c r="B106" t="s">
        <v>288</v>
      </c>
      <c r="C106" t="s">
        <v>74</v>
      </c>
      <c r="D106" t="s">
        <v>83</v>
      </c>
      <c r="E106" t="s">
        <v>13</v>
      </c>
      <c r="F106">
        <v>4</v>
      </c>
      <c r="G106">
        <v>220</v>
      </c>
      <c r="H106">
        <v>6</v>
      </c>
      <c r="I106" t="s">
        <v>84</v>
      </c>
      <c r="J106" s="14">
        <f t="shared" si="0"/>
        <v>880</v>
      </c>
    </row>
    <row r="107" spans="1:10">
      <c r="A107" t="s">
        <v>289</v>
      </c>
      <c r="B107" t="s">
        <v>161</v>
      </c>
      <c r="C107" t="s">
        <v>77</v>
      </c>
      <c r="D107" t="s">
        <v>40</v>
      </c>
      <c r="E107" t="s">
        <v>13</v>
      </c>
      <c r="F107">
        <v>1</v>
      </c>
      <c r="G107">
        <v>600</v>
      </c>
      <c r="H107">
        <v>3</v>
      </c>
      <c r="I107" t="s">
        <v>41</v>
      </c>
      <c r="J107" s="14">
        <f t="shared" si="0"/>
        <v>600</v>
      </c>
    </row>
    <row r="108" spans="1:10">
      <c r="A108" t="s">
        <v>290</v>
      </c>
      <c r="B108" t="s">
        <v>195</v>
      </c>
      <c r="C108" t="s">
        <v>79</v>
      </c>
      <c r="D108" t="s">
        <v>56</v>
      </c>
      <c r="E108" t="s">
        <v>13</v>
      </c>
      <c r="F108">
        <v>4</v>
      </c>
      <c r="G108">
        <v>45</v>
      </c>
      <c r="H108">
        <v>3</v>
      </c>
      <c r="I108" t="s">
        <v>57</v>
      </c>
      <c r="J108" s="14">
        <f t="shared" si="0"/>
        <v>180</v>
      </c>
    </row>
    <row r="109" spans="1:10">
      <c r="A109" t="s">
        <v>291</v>
      </c>
      <c r="B109" t="s">
        <v>292</v>
      </c>
      <c r="C109" t="s">
        <v>82</v>
      </c>
      <c r="D109" t="s">
        <v>30</v>
      </c>
      <c r="E109" t="s">
        <v>25</v>
      </c>
      <c r="F109">
        <v>5</v>
      </c>
      <c r="G109">
        <v>90</v>
      </c>
      <c r="H109">
        <v>6</v>
      </c>
      <c r="I109" t="s">
        <v>31</v>
      </c>
      <c r="J109" s="14">
        <f t="shared" si="0"/>
        <v>450</v>
      </c>
    </row>
    <row r="110" spans="1:10">
      <c r="A110" t="s">
        <v>293</v>
      </c>
      <c r="B110" t="s">
        <v>292</v>
      </c>
      <c r="C110" t="s">
        <v>87</v>
      </c>
      <c r="D110" t="s">
        <v>35</v>
      </c>
      <c r="E110" t="s">
        <v>19</v>
      </c>
      <c r="F110">
        <v>3</v>
      </c>
      <c r="G110">
        <v>50</v>
      </c>
      <c r="H110">
        <v>5</v>
      </c>
      <c r="I110" t="s">
        <v>36</v>
      </c>
      <c r="J110" s="14">
        <f t="shared" si="0"/>
        <v>150</v>
      </c>
    </row>
    <row r="111" spans="1:10">
      <c r="A111" t="s">
        <v>294</v>
      </c>
      <c r="B111" t="s">
        <v>243</v>
      </c>
      <c r="C111" t="s">
        <v>90</v>
      </c>
      <c r="D111" t="s">
        <v>51</v>
      </c>
      <c r="E111" t="s">
        <v>13</v>
      </c>
      <c r="F111">
        <v>5</v>
      </c>
      <c r="G111">
        <v>300</v>
      </c>
      <c r="H111">
        <v>3</v>
      </c>
      <c r="I111" t="s">
        <v>52</v>
      </c>
      <c r="J111" s="14">
        <f t="shared" si="0"/>
        <v>1500</v>
      </c>
    </row>
    <row r="112" spans="1:10">
      <c r="A112" t="s">
        <v>295</v>
      </c>
      <c r="B112" t="s">
        <v>296</v>
      </c>
      <c r="C112" t="s">
        <v>92</v>
      </c>
      <c r="D112" t="s">
        <v>35</v>
      </c>
      <c r="E112" t="s">
        <v>19</v>
      </c>
      <c r="F112">
        <v>1</v>
      </c>
      <c r="G112">
        <v>50</v>
      </c>
      <c r="H112">
        <v>3</v>
      </c>
      <c r="I112" t="s">
        <v>36</v>
      </c>
      <c r="J112" s="14">
        <f t="shared" si="0"/>
        <v>50</v>
      </c>
    </row>
    <row r="113" spans="1:10">
      <c r="A113" t="s">
        <v>297</v>
      </c>
      <c r="B113" t="s">
        <v>10</v>
      </c>
      <c r="C113" t="s">
        <v>94</v>
      </c>
      <c r="D113" t="s">
        <v>12</v>
      </c>
      <c r="E113" t="s">
        <v>13</v>
      </c>
      <c r="F113">
        <v>2</v>
      </c>
      <c r="G113">
        <v>850</v>
      </c>
      <c r="H113">
        <v>3</v>
      </c>
      <c r="I113" t="s">
        <v>14</v>
      </c>
      <c r="J113" s="14">
        <f t="shared" si="0"/>
        <v>1700</v>
      </c>
    </row>
    <row r="114" spans="1:10">
      <c r="A114" t="s">
        <v>298</v>
      </c>
      <c r="B114" t="s">
        <v>299</v>
      </c>
      <c r="C114" t="s">
        <v>96</v>
      </c>
      <c r="D114" t="s">
        <v>30</v>
      </c>
      <c r="E114" t="s">
        <v>25</v>
      </c>
      <c r="F114">
        <v>3</v>
      </c>
      <c r="G114">
        <v>90</v>
      </c>
      <c r="H114">
        <v>5</v>
      </c>
      <c r="I114" t="s">
        <v>31</v>
      </c>
      <c r="J114" s="14">
        <f t="shared" si="0"/>
        <v>270</v>
      </c>
    </row>
    <row r="115" spans="1:10">
      <c r="A115" t="s">
        <v>300</v>
      </c>
      <c r="B115" t="s">
        <v>301</v>
      </c>
      <c r="C115" t="s">
        <v>99</v>
      </c>
      <c r="D115" t="s">
        <v>56</v>
      </c>
      <c r="E115" t="s">
        <v>13</v>
      </c>
      <c r="F115">
        <v>4</v>
      </c>
      <c r="G115">
        <v>45</v>
      </c>
      <c r="H115">
        <v>6</v>
      </c>
      <c r="I115" t="s">
        <v>57</v>
      </c>
      <c r="J115" s="14">
        <f t="shared" si="0"/>
        <v>180</v>
      </c>
    </row>
    <row r="116" spans="1:10">
      <c r="A116" t="s">
        <v>302</v>
      </c>
      <c r="B116" t="s">
        <v>120</v>
      </c>
      <c r="C116" t="s">
        <v>102</v>
      </c>
      <c r="D116" t="s">
        <v>61</v>
      </c>
      <c r="E116" t="s">
        <v>13</v>
      </c>
      <c r="F116">
        <v>1</v>
      </c>
      <c r="G116">
        <v>80</v>
      </c>
      <c r="H116">
        <v>2</v>
      </c>
      <c r="I116" t="s">
        <v>62</v>
      </c>
      <c r="J116" s="14">
        <f t="shared" si="0"/>
        <v>80</v>
      </c>
    </row>
    <row r="117" spans="1:10">
      <c r="A117" t="s">
        <v>303</v>
      </c>
      <c r="B117" t="s">
        <v>183</v>
      </c>
      <c r="C117" t="s">
        <v>105</v>
      </c>
      <c r="D117" t="s">
        <v>18</v>
      </c>
      <c r="E117" t="s">
        <v>19</v>
      </c>
      <c r="F117">
        <v>2</v>
      </c>
      <c r="G117">
        <v>120</v>
      </c>
      <c r="H117">
        <v>5</v>
      </c>
      <c r="I117" t="s">
        <v>20</v>
      </c>
      <c r="J117" s="14">
        <f t="shared" si="0"/>
        <v>240</v>
      </c>
    </row>
    <row r="118" spans="1:10">
      <c r="A118" t="s">
        <v>304</v>
      </c>
      <c r="B118" t="s">
        <v>156</v>
      </c>
      <c r="C118" t="s">
        <v>107</v>
      </c>
      <c r="D118" t="s">
        <v>51</v>
      </c>
      <c r="E118" t="s">
        <v>13</v>
      </c>
      <c r="F118">
        <v>1</v>
      </c>
      <c r="G118">
        <v>300</v>
      </c>
      <c r="H118">
        <v>2</v>
      </c>
      <c r="I118" t="s">
        <v>52</v>
      </c>
      <c r="J118" s="14">
        <f t="shared" si="0"/>
        <v>300</v>
      </c>
    </row>
    <row r="119" spans="1:10">
      <c r="A119" t="s">
        <v>305</v>
      </c>
      <c r="B119" t="s">
        <v>33</v>
      </c>
      <c r="C119" t="s">
        <v>110</v>
      </c>
      <c r="D119" t="s">
        <v>61</v>
      </c>
      <c r="E119" t="s">
        <v>13</v>
      </c>
      <c r="F119">
        <v>5</v>
      </c>
      <c r="G119">
        <v>80</v>
      </c>
      <c r="H119">
        <v>1</v>
      </c>
      <c r="I119" t="s">
        <v>62</v>
      </c>
      <c r="J119" s="14">
        <f t="shared" si="0"/>
        <v>400</v>
      </c>
    </row>
    <row r="120" spans="1:10">
      <c r="A120" t="s">
        <v>306</v>
      </c>
      <c r="B120" t="s">
        <v>148</v>
      </c>
      <c r="C120" t="s">
        <v>113</v>
      </c>
      <c r="D120" t="s">
        <v>83</v>
      </c>
      <c r="E120" t="s">
        <v>13</v>
      </c>
      <c r="F120">
        <v>4</v>
      </c>
      <c r="G120">
        <v>220</v>
      </c>
      <c r="H120">
        <v>3</v>
      </c>
      <c r="I120" t="s">
        <v>84</v>
      </c>
      <c r="J120" s="14">
        <f t="shared" si="0"/>
        <v>880</v>
      </c>
    </row>
    <row r="121" spans="1:10">
      <c r="A121" t="s">
        <v>307</v>
      </c>
      <c r="B121" t="s">
        <v>151</v>
      </c>
      <c r="C121" t="s">
        <v>116</v>
      </c>
      <c r="D121" t="s">
        <v>51</v>
      </c>
      <c r="E121" t="s">
        <v>13</v>
      </c>
      <c r="F121">
        <v>2</v>
      </c>
      <c r="G121">
        <v>300</v>
      </c>
      <c r="H121">
        <v>3</v>
      </c>
      <c r="I121" t="s">
        <v>52</v>
      </c>
      <c r="J121" s="14">
        <f t="shared" si="0"/>
        <v>600</v>
      </c>
    </row>
    <row r="122" spans="1:10">
      <c r="A122" t="s">
        <v>308</v>
      </c>
      <c r="B122" t="s">
        <v>64</v>
      </c>
      <c r="C122" t="s">
        <v>118</v>
      </c>
      <c r="D122" t="s">
        <v>56</v>
      </c>
      <c r="E122" t="s">
        <v>13</v>
      </c>
      <c r="F122">
        <v>5</v>
      </c>
      <c r="G122">
        <v>45</v>
      </c>
      <c r="H122">
        <v>4</v>
      </c>
      <c r="I122" t="s">
        <v>57</v>
      </c>
      <c r="J122" s="14">
        <f t="shared" si="0"/>
        <v>225</v>
      </c>
    </row>
    <row r="123" spans="1:10">
      <c r="A123" t="s">
        <v>309</v>
      </c>
      <c r="B123" t="s">
        <v>183</v>
      </c>
      <c r="C123" t="s">
        <v>121</v>
      </c>
      <c r="D123" t="s">
        <v>18</v>
      </c>
      <c r="E123" t="s">
        <v>19</v>
      </c>
      <c r="F123">
        <v>5</v>
      </c>
      <c r="G123">
        <v>120</v>
      </c>
      <c r="H123">
        <v>2</v>
      </c>
      <c r="I123" t="s">
        <v>20</v>
      </c>
      <c r="J123" s="14">
        <f t="shared" si="0"/>
        <v>600</v>
      </c>
    </row>
    <row r="124" spans="1:10">
      <c r="A124" t="s">
        <v>310</v>
      </c>
      <c r="B124" t="s">
        <v>167</v>
      </c>
      <c r="C124" t="s">
        <v>123</v>
      </c>
      <c r="D124" t="s">
        <v>56</v>
      </c>
      <c r="E124" t="s">
        <v>13</v>
      </c>
      <c r="F124">
        <v>5</v>
      </c>
      <c r="G124">
        <v>45</v>
      </c>
      <c r="H124">
        <v>1</v>
      </c>
      <c r="I124" t="s">
        <v>57</v>
      </c>
      <c r="J124" s="14">
        <f t="shared" si="0"/>
        <v>225</v>
      </c>
    </row>
    <row r="125" spans="1:10">
      <c r="A125" t="s">
        <v>311</v>
      </c>
      <c r="B125" t="s">
        <v>64</v>
      </c>
      <c r="C125" t="s">
        <v>126</v>
      </c>
      <c r="D125" t="s">
        <v>51</v>
      </c>
      <c r="E125" t="s">
        <v>13</v>
      </c>
      <c r="F125">
        <v>1</v>
      </c>
      <c r="G125">
        <v>300</v>
      </c>
      <c r="H125">
        <v>4</v>
      </c>
      <c r="I125" t="s">
        <v>52</v>
      </c>
      <c r="J125" s="14">
        <f t="shared" si="0"/>
        <v>300</v>
      </c>
    </row>
    <row r="126" spans="1:10">
      <c r="A126" t="s">
        <v>312</v>
      </c>
      <c r="B126" t="s">
        <v>243</v>
      </c>
      <c r="C126" t="s">
        <v>128</v>
      </c>
      <c r="D126" t="s">
        <v>83</v>
      </c>
      <c r="E126" t="s">
        <v>13</v>
      </c>
      <c r="F126">
        <v>2</v>
      </c>
      <c r="G126">
        <v>220</v>
      </c>
      <c r="H126">
        <v>6</v>
      </c>
      <c r="I126" t="s">
        <v>84</v>
      </c>
      <c r="J126" s="14">
        <f t="shared" si="0"/>
        <v>440</v>
      </c>
    </row>
    <row r="127" spans="1:10">
      <c r="A127" t="s">
        <v>313</v>
      </c>
      <c r="B127" t="s">
        <v>235</v>
      </c>
      <c r="C127" t="s">
        <v>130</v>
      </c>
      <c r="D127" t="s">
        <v>83</v>
      </c>
      <c r="E127" t="s">
        <v>13</v>
      </c>
      <c r="F127">
        <v>3</v>
      </c>
      <c r="G127">
        <v>220</v>
      </c>
      <c r="H127">
        <v>1</v>
      </c>
      <c r="I127" t="s">
        <v>84</v>
      </c>
      <c r="J127" s="14">
        <f t="shared" si="0"/>
        <v>660</v>
      </c>
    </row>
    <row r="128" spans="1:10">
      <c r="A128" t="s">
        <v>314</v>
      </c>
      <c r="B128" t="s">
        <v>43</v>
      </c>
      <c r="C128" t="s">
        <v>132</v>
      </c>
      <c r="D128" t="s">
        <v>56</v>
      </c>
      <c r="E128" t="s">
        <v>13</v>
      </c>
      <c r="F128">
        <v>2</v>
      </c>
      <c r="G128">
        <v>45</v>
      </c>
      <c r="H128">
        <v>3</v>
      </c>
      <c r="I128" t="s">
        <v>57</v>
      </c>
      <c r="J128" s="14">
        <f t="shared" si="0"/>
        <v>90</v>
      </c>
    </row>
    <row r="129" spans="1:10">
      <c r="A129" t="s">
        <v>315</v>
      </c>
      <c r="B129" t="s">
        <v>43</v>
      </c>
      <c r="C129" t="s">
        <v>135</v>
      </c>
      <c r="D129" t="s">
        <v>30</v>
      </c>
      <c r="E129" t="s">
        <v>25</v>
      </c>
      <c r="F129">
        <v>4</v>
      </c>
      <c r="G129">
        <v>90</v>
      </c>
      <c r="H129">
        <v>5</v>
      </c>
      <c r="I129" t="s">
        <v>31</v>
      </c>
      <c r="J129" s="14">
        <f t="shared" si="0"/>
        <v>360</v>
      </c>
    </row>
    <row r="130" spans="1:10">
      <c r="A130" t="s">
        <v>316</v>
      </c>
      <c r="B130" t="s">
        <v>76</v>
      </c>
      <c r="C130" t="s">
        <v>138</v>
      </c>
      <c r="D130" t="s">
        <v>61</v>
      </c>
      <c r="E130" t="s">
        <v>13</v>
      </c>
      <c r="F130">
        <v>2</v>
      </c>
      <c r="G130">
        <v>80</v>
      </c>
      <c r="H130">
        <v>4</v>
      </c>
      <c r="I130" t="s">
        <v>62</v>
      </c>
      <c r="J130" s="14">
        <f t="shared" si="0"/>
        <v>160</v>
      </c>
    </row>
    <row r="131" spans="1:10">
      <c r="A131" t="s">
        <v>317</v>
      </c>
      <c r="B131" t="s">
        <v>109</v>
      </c>
      <c r="C131" t="s">
        <v>140</v>
      </c>
      <c r="D131" t="s">
        <v>12</v>
      </c>
      <c r="E131" t="s">
        <v>13</v>
      </c>
      <c r="F131">
        <v>1</v>
      </c>
      <c r="G131">
        <v>850</v>
      </c>
      <c r="H131">
        <v>6</v>
      </c>
      <c r="I131" t="s">
        <v>14</v>
      </c>
      <c r="J131" s="14">
        <f t="shared" si="0"/>
        <v>850</v>
      </c>
    </row>
    <row r="132" spans="1:10">
      <c r="A132" t="s">
        <v>318</v>
      </c>
      <c r="B132" t="s">
        <v>142</v>
      </c>
      <c r="C132" t="s">
        <v>143</v>
      </c>
      <c r="D132" t="s">
        <v>30</v>
      </c>
      <c r="E132" t="s">
        <v>25</v>
      </c>
      <c r="F132">
        <v>1</v>
      </c>
      <c r="G132">
        <v>90</v>
      </c>
      <c r="H132">
        <v>3</v>
      </c>
      <c r="I132" t="s">
        <v>31</v>
      </c>
      <c r="J132" s="14">
        <f t="shared" si="0"/>
        <v>90</v>
      </c>
    </row>
    <row r="133" spans="1:10">
      <c r="A133" t="s">
        <v>319</v>
      </c>
      <c r="B133" t="s">
        <v>73</v>
      </c>
      <c r="C133" t="s">
        <v>146</v>
      </c>
      <c r="D133" t="s">
        <v>51</v>
      </c>
      <c r="E133" t="s">
        <v>13</v>
      </c>
      <c r="F133">
        <v>3</v>
      </c>
      <c r="G133">
        <v>300</v>
      </c>
      <c r="H133">
        <v>5</v>
      </c>
      <c r="I133" t="s">
        <v>52</v>
      </c>
      <c r="J133" s="14">
        <f t="shared" si="0"/>
        <v>900</v>
      </c>
    </row>
    <row r="134" spans="1:10">
      <c r="A134" t="s">
        <v>320</v>
      </c>
      <c r="B134" t="s">
        <v>243</v>
      </c>
      <c r="C134" t="s">
        <v>149</v>
      </c>
      <c r="D134" t="s">
        <v>83</v>
      </c>
      <c r="E134" t="s">
        <v>13</v>
      </c>
      <c r="F134">
        <v>4</v>
      </c>
      <c r="G134">
        <v>220</v>
      </c>
      <c r="H134">
        <v>5</v>
      </c>
      <c r="I134" t="s">
        <v>84</v>
      </c>
      <c r="J134" s="14">
        <f t="shared" si="0"/>
        <v>880</v>
      </c>
    </row>
    <row r="135" spans="1:10">
      <c r="A135" t="s">
        <v>321</v>
      </c>
      <c r="B135" t="s">
        <v>10</v>
      </c>
      <c r="C135" t="s">
        <v>152</v>
      </c>
      <c r="D135" t="s">
        <v>24</v>
      </c>
      <c r="E135" t="s">
        <v>25</v>
      </c>
      <c r="F135">
        <v>3</v>
      </c>
      <c r="G135">
        <v>110</v>
      </c>
      <c r="H135">
        <v>1</v>
      </c>
      <c r="I135" t="s">
        <v>26</v>
      </c>
      <c r="J135" s="14">
        <f t="shared" si="0"/>
        <v>330</v>
      </c>
    </row>
    <row r="136" spans="1:10">
      <c r="A136" t="s">
        <v>322</v>
      </c>
      <c r="B136" t="s">
        <v>217</v>
      </c>
      <c r="C136" t="s">
        <v>154</v>
      </c>
      <c r="D136" t="s">
        <v>24</v>
      </c>
      <c r="E136" t="s">
        <v>25</v>
      </c>
      <c r="F136">
        <v>2</v>
      </c>
      <c r="G136">
        <v>110</v>
      </c>
      <c r="H136">
        <v>6</v>
      </c>
      <c r="I136" t="s">
        <v>26</v>
      </c>
      <c r="J136" s="14">
        <f t="shared" si="0"/>
        <v>220</v>
      </c>
    </row>
    <row r="137" spans="1:10">
      <c r="A137" t="s">
        <v>323</v>
      </c>
      <c r="B137" t="s">
        <v>252</v>
      </c>
      <c r="C137" t="s">
        <v>157</v>
      </c>
      <c r="D137" t="s">
        <v>30</v>
      </c>
      <c r="E137" t="s">
        <v>25</v>
      </c>
      <c r="F137">
        <v>1</v>
      </c>
      <c r="G137">
        <v>90</v>
      </c>
      <c r="H137">
        <v>2</v>
      </c>
      <c r="I137" t="s">
        <v>31</v>
      </c>
      <c r="J137" s="14">
        <f t="shared" si="0"/>
        <v>90</v>
      </c>
    </row>
    <row r="138" spans="1:10">
      <c r="A138" t="s">
        <v>324</v>
      </c>
      <c r="B138" t="s">
        <v>325</v>
      </c>
      <c r="C138" t="s">
        <v>159</v>
      </c>
      <c r="D138" t="s">
        <v>83</v>
      </c>
      <c r="E138" t="s">
        <v>13</v>
      </c>
      <c r="F138">
        <v>2</v>
      </c>
      <c r="G138">
        <v>220</v>
      </c>
      <c r="H138">
        <v>1</v>
      </c>
      <c r="I138" t="s">
        <v>84</v>
      </c>
      <c r="J138" s="14">
        <f t="shared" si="0"/>
        <v>440</v>
      </c>
    </row>
    <row r="139" spans="1:10">
      <c r="A139" t="s">
        <v>326</v>
      </c>
      <c r="B139" t="s">
        <v>288</v>
      </c>
      <c r="C139" t="s">
        <v>162</v>
      </c>
      <c r="D139" t="s">
        <v>30</v>
      </c>
      <c r="E139" t="s">
        <v>25</v>
      </c>
      <c r="F139">
        <v>1</v>
      </c>
      <c r="G139">
        <v>90</v>
      </c>
      <c r="H139">
        <v>6</v>
      </c>
      <c r="I139" t="s">
        <v>31</v>
      </c>
      <c r="J139" s="14">
        <f t="shared" si="0"/>
        <v>90</v>
      </c>
    </row>
    <row r="140" spans="1:10">
      <c r="A140" t="s">
        <v>327</v>
      </c>
      <c r="B140" t="s">
        <v>207</v>
      </c>
      <c r="C140" t="s">
        <v>165</v>
      </c>
      <c r="D140" t="s">
        <v>24</v>
      </c>
      <c r="E140" t="s">
        <v>25</v>
      </c>
      <c r="F140">
        <v>3</v>
      </c>
      <c r="G140">
        <v>110</v>
      </c>
      <c r="H140">
        <v>1</v>
      </c>
      <c r="I140" t="s">
        <v>26</v>
      </c>
      <c r="J140" s="14">
        <f t="shared" si="0"/>
        <v>330</v>
      </c>
    </row>
    <row r="141" spans="1:10">
      <c r="A141" t="s">
        <v>328</v>
      </c>
      <c r="B141" t="s">
        <v>134</v>
      </c>
      <c r="C141" t="s">
        <v>168</v>
      </c>
      <c r="D141" t="s">
        <v>24</v>
      </c>
      <c r="E141" t="s">
        <v>25</v>
      </c>
      <c r="F141">
        <v>3</v>
      </c>
      <c r="G141">
        <v>110</v>
      </c>
      <c r="H141">
        <v>3</v>
      </c>
      <c r="I141" t="s">
        <v>26</v>
      </c>
      <c r="J141" s="14">
        <f t="shared" si="0"/>
        <v>330</v>
      </c>
    </row>
    <row r="142" spans="1:10">
      <c r="A142" t="s">
        <v>329</v>
      </c>
      <c r="B142" t="s">
        <v>145</v>
      </c>
      <c r="C142" t="s">
        <v>170</v>
      </c>
      <c r="D142" t="s">
        <v>56</v>
      </c>
      <c r="E142" t="s">
        <v>13</v>
      </c>
      <c r="F142">
        <v>5</v>
      </c>
      <c r="G142">
        <v>45</v>
      </c>
      <c r="H142">
        <v>1</v>
      </c>
      <c r="I142" t="s">
        <v>57</v>
      </c>
      <c r="J142" s="14">
        <f t="shared" si="0"/>
        <v>225</v>
      </c>
    </row>
    <row r="143" spans="1:10">
      <c r="A143" t="s">
        <v>330</v>
      </c>
      <c r="B143" t="s">
        <v>76</v>
      </c>
      <c r="C143" t="s">
        <v>173</v>
      </c>
      <c r="D143" t="s">
        <v>61</v>
      </c>
      <c r="E143" t="s">
        <v>13</v>
      </c>
      <c r="F143">
        <v>4</v>
      </c>
      <c r="G143">
        <v>80</v>
      </c>
      <c r="H143">
        <v>3</v>
      </c>
      <c r="I143" t="s">
        <v>62</v>
      </c>
      <c r="J143" s="14">
        <f t="shared" si="0"/>
        <v>320</v>
      </c>
    </row>
    <row r="144" spans="1:10">
      <c r="A144" t="s">
        <v>331</v>
      </c>
      <c r="B144" t="s">
        <v>161</v>
      </c>
      <c r="C144" t="s">
        <v>175</v>
      </c>
      <c r="D144" t="s">
        <v>18</v>
      </c>
      <c r="E144" t="s">
        <v>19</v>
      </c>
      <c r="F144">
        <v>3</v>
      </c>
      <c r="G144">
        <v>120</v>
      </c>
      <c r="H144">
        <v>1</v>
      </c>
      <c r="I144" t="s">
        <v>20</v>
      </c>
      <c r="J144" s="14">
        <f t="shared" si="0"/>
        <v>360</v>
      </c>
    </row>
    <row r="145" spans="1:13">
      <c r="A145" t="s">
        <v>332</v>
      </c>
      <c r="B145" t="s">
        <v>186</v>
      </c>
      <c r="C145" t="s">
        <v>178</v>
      </c>
      <c r="D145" t="s">
        <v>18</v>
      </c>
      <c r="E145" t="s">
        <v>19</v>
      </c>
      <c r="F145">
        <v>5</v>
      </c>
      <c r="G145">
        <v>120</v>
      </c>
      <c r="H145">
        <v>2</v>
      </c>
      <c r="I145" t="s">
        <v>20</v>
      </c>
      <c r="J145" s="14">
        <f t="shared" si="0"/>
        <v>600</v>
      </c>
    </row>
    <row r="146" spans="1:13">
      <c r="A146" t="s">
        <v>333</v>
      </c>
      <c r="B146" t="s">
        <v>151</v>
      </c>
      <c r="C146" t="s">
        <v>181</v>
      </c>
      <c r="D146" t="s">
        <v>35</v>
      </c>
      <c r="E146" t="s">
        <v>19</v>
      </c>
      <c r="F146">
        <v>4</v>
      </c>
      <c r="G146">
        <v>50</v>
      </c>
      <c r="H146">
        <v>2</v>
      </c>
      <c r="I146" t="s">
        <v>36</v>
      </c>
      <c r="J146" s="14">
        <f t="shared" si="0"/>
        <v>200</v>
      </c>
    </row>
    <row r="147" spans="1:13">
      <c r="A147" t="s">
        <v>334</v>
      </c>
      <c r="B147" t="s">
        <v>16</v>
      </c>
      <c r="C147" t="s">
        <v>184</v>
      </c>
      <c r="D147" t="s">
        <v>56</v>
      </c>
      <c r="E147" t="s">
        <v>13</v>
      </c>
      <c r="F147">
        <v>4</v>
      </c>
      <c r="G147">
        <v>45</v>
      </c>
      <c r="H147">
        <v>2</v>
      </c>
      <c r="I147" t="s">
        <v>57</v>
      </c>
      <c r="J147" s="14">
        <f t="shared" si="0"/>
        <v>180</v>
      </c>
    </row>
    <row r="148" spans="1:13">
      <c r="A148" t="s">
        <v>335</v>
      </c>
      <c r="B148" t="s">
        <v>336</v>
      </c>
      <c r="C148" t="s">
        <v>187</v>
      </c>
      <c r="D148" t="s">
        <v>12</v>
      </c>
      <c r="E148" t="s">
        <v>13</v>
      </c>
      <c r="F148">
        <v>4</v>
      </c>
      <c r="G148">
        <v>850</v>
      </c>
      <c r="H148">
        <v>3</v>
      </c>
      <c r="I148" t="s">
        <v>14</v>
      </c>
      <c r="J148" s="14">
        <f t="shared" si="0"/>
        <v>3400</v>
      </c>
    </row>
    <row r="149" spans="1:13">
      <c r="A149" t="s">
        <v>337</v>
      </c>
      <c r="B149" t="s">
        <v>180</v>
      </c>
      <c r="C149" t="s">
        <v>190</v>
      </c>
      <c r="D149" t="s">
        <v>56</v>
      </c>
      <c r="E149" t="s">
        <v>13</v>
      </c>
      <c r="F149">
        <v>4</v>
      </c>
      <c r="G149">
        <v>45</v>
      </c>
      <c r="H149">
        <v>6</v>
      </c>
      <c r="I149" t="s">
        <v>57</v>
      </c>
      <c r="J149" s="14">
        <f t="shared" si="0"/>
        <v>180</v>
      </c>
    </row>
    <row r="150" spans="1:13">
      <c r="A150" t="s">
        <v>338</v>
      </c>
      <c r="B150" t="s">
        <v>296</v>
      </c>
      <c r="C150" t="s">
        <v>193</v>
      </c>
      <c r="D150" t="s">
        <v>12</v>
      </c>
      <c r="E150" t="s">
        <v>13</v>
      </c>
      <c r="F150">
        <v>2</v>
      </c>
      <c r="G150">
        <v>850</v>
      </c>
      <c r="H150">
        <v>4</v>
      </c>
      <c r="I150" t="s">
        <v>14</v>
      </c>
      <c r="J150" s="14">
        <f t="shared" si="0"/>
        <v>1700</v>
      </c>
    </row>
    <row r="151" spans="1:13">
      <c r="A151" t="s">
        <v>339</v>
      </c>
      <c r="B151" t="s">
        <v>81</v>
      </c>
      <c r="C151" t="s">
        <v>196</v>
      </c>
      <c r="D151" t="s">
        <v>61</v>
      </c>
      <c r="E151" t="s">
        <v>13</v>
      </c>
      <c r="F151">
        <v>2</v>
      </c>
      <c r="G151">
        <v>80</v>
      </c>
      <c r="H151">
        <v>4</v>
      </c>
      <c r="I151" t="s">
        <v>62</v>
      </c>
      <c r="J151" s="14">
        <f t="shared" si="0"/>
        <v>160</v>
      </c>
    </row>
    <row r="152" spans="1:13">
      <c r="A152">
        <f>SUM(A2:A151)</f>
        <v>0</v>
      </c>
      <c r="B152">
        <f>SUM(B2:B151)</f>
        <v>0</v>
      </c>
    </row>
    <row r="153" spans="1:13">
      <c r="K153" s="8"/>
      <c r="L153" s="2"/>
      <c r="M153" s="7"/>
    </row>
    <row r="154" spans="1:13">
      <c r="K154" s="5"/>
    </row>
    <row r="155" spans="1:13">
      <c r="K155" s="5"/>
    </row>
    <row r="156" spans="1:13">
      <c r="K156" s="5"/>
      <c r="M156" s="1"/>
    </row>
    <row r="157" spans="1:13">
      <c r="K157" s="5"/>
    </row>
    <row r="158" spans="1:13">
      <c r="K158" s="5"/>
      <c r="M158" s="6"/>
    </row>
  </sheetData>
  <autoFilter ref="G1:G162" xr:uid="{00000000-0001-0000-0000-000000000000}"/>
  <conditionalFormatting sqref="D1:D1048576">
    <cfRule type="top10" dxfId="1" priority="1" rank="10"/>
  </conditionalFormatting>
  <conditionalFormatting sqref="G1:G1048576">
    <cfRule type="cellIs" dxfId="0" priority="2" operator="greaterThan">
      <formula>100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E9545-83EC-4B5A-9098-C66147AD2528}">
  <dimension ref="A1:T57"/>
  <sheetViews>
    <sheetView showGridLines="0" tabSelected="1" zoomScaleNormal="100" workbookViewId="0">
      <selection activeCell="J66" sqref="J66"/>
    </sheetView>
  </sheetViews>
  <sheetFormatPr defaultRowHeight="14.5"/>
  <cols>
    <col min="1" max="1" width="8.7265625" style="18"/>
    <col min="2" max="2" width="15" style="18" bestFit="1" customWidth="1"/>
    <col min="3" max="16384" width="8.7265625" style="18"/>
  </cols>
  <sheetData>
    <row r="1" spans="1:20">
      <c r="A1" s="16" t="s">
        <v>362</v>
      </c>
      <c r="B1" s="17"/>
      <c r="C1" s="17"/>
      <c r="D1" s="17"/>
      <c r="E1" s="17"/>
      <c r="F1" s="17"/>
      <c r="G1" s="17"/>
      <c r="H1" s="17"/>
      <c r="I1" s="17"/>
      <c r="J1" s="17"/>
      <c r="K1" s="17"/>
      <c r="L1" s="17"/>
      <c r="M1" s="17"/>
      <c r="N1" s="17"/>
      <c r="O1" s="17"/>
      <c r="P1" s="17"/>
      <c r="Q1" s="17"/>
      <c r="R1" s="17"/>
      <c r="S1" s="17"/>
      <c r="T1" s="17"/>
    </row>
    <row r="2" spans="1:20">
      <c r="A2" s="17"/>
      <c r="B2" s="17"/>
      <c r="C2" s="17"/>
      <c r="D2" s="17"/>
      <c r="E2" s="17"/>
      <c r="F2" s="17"/>
      <c r="G2" s="17"/>
      <c r="H2" s="17"/>
      <c r="I2" s="17"/>
      <c r="J2" s="17"/>
      <c r="K2" s="17"/>
      <c r="L2" s="17"/>
      <c r="M2" s="17"/>
      <c r="N2" s="17"/>
      <c r="O2" s="17"/>
      <c r="P2" s="17"/>
      <c r="Q2" s="17"/>
      <c r="R2" s="17"/>
      <c r="S2" s="17"/>
      <c r="T2" s="17"/>
    </row>
    <row r="3" spans="1:20">
      <c r="A3" s="17"/>
      <c r="B3" s="17"/>
      <c r="C3" s="17"/>
      <c r="D3" s="17"/>
      <c r="E3" s="17"/>
      <c r="F3" s="17"/>
      <c r="G3" s="17"/>
      <c r="H3" s="17"/>
      <c r="I3" s="17"/>
      <c r="J3" s="17"/>
      <c r="K3" s="17"/>
      <c r="L3" s="17"/>
      <c r="M3" s="17"/>
      <c r="N3" s="17"/>
      <c r="O3" s="17"/>
      <c r="P3" s="17"/>
      <c r="Q3" s="17"/>
      <c r="R3" s="17"/>
      <c r="S3" s="17"/>
      <c r="T3" s="17"/>
    </row>
    <row r="6" spans="1:20" ht="21">
      <c r="A6" s="19">
        <v>152090</v>
      </c>
      <c r="B6" s="19"/>
      <c r="C6" s="19"/>
      <c r="E6" s="20">
        <v>150</v>
      </c>
      <c r="F6" s="20"/>
      <c r="G6" s="20"/>
      <c r="I6" s="21" t="s">
        <v>366</v>
      </c>
      <c r="J6" s="21"/>
      <c r="K6" s="21"/>
      <c r="L6" s="21"/>
      <c r="N6" s="22"/>
      <c r="O6" s="22"/>
      <c r="P6" s="22"/>
    </row>
    <row r="7" spans="1:20" ht="21">
      <c r="A7" s="22"/>
      <c r="B7" s="22"/>
      <c r="C7" s="22"/>
      <c r="E7" s="20"/>
      <c r="F7" s="20"/>
      <c r="G7" s="20"/>
      <c r="I7" s="23" t="s">
        <v>365</v>
      </c>
      <c r="J7" s="23"/>
      <c r="K7" s="23"/>
      <c r="L7" s="23"/>
      <c r="N7" s="22" t="s">
        <v>367</v>
      </c>
      <c r="O7" s="22"/>
      <c r="P7" s="22"/>
    </row>
    <row r="8" spans="1:20" ht="21">
      <c r="A8" s="21" t="s">
        <v>364</v>
      </c>
      <c r="B8" s="22"/>
      <c r="C8" s="22"/>
      <c r="E8" s="20" t="s">
        <v>363</v>
      </c>
      <c r="F8" s="20"/>
      <c r="G8" s="20"/>
      <c r="I8" s="22"/>
      <c r="J8" s="22"/>
      <c r="K8" s="22"/>
      <c r="L8" s="22"/>
      <c r="N8" s="22"/>
      <c r="O8" s="22"/>
      <c r="P8" s="22"/>
    </row>
    <row r="45" spans="1:13">
      <c r="A45" s="18" t="s">
        <v>368</v>
      </c>
    </row>
    <row r="46" spans="1:13">
      <c r="A46" s="18" t="s">
        <v>368</v>
      </c>
    </row>
    <row r="47" spans="1:13">
      <c r="A47" s="18" t="s">
        <v>369</v>
      </c>
      <c r="D47" s="24"/>
      <c r="E47" s="24"/>
      <c r="F47" s="24"/>
      <c r="G47" s="24"/>
      <c r="H47" s="24"/>
      <c r="I47" s="24"/>
      <c r="J47" s="24"/>
      <c r="K47" s="24"/>
      <c r="L47" s="24"/>
      <c r="M47" s="24"/>
    </row>
    <row r="48" spans="1:13">
      <c r="D48" s="15"/>
      <c r="F48" s="15"/>
      <c r="H48" s="15"/>
      <c r="J48" s="15"/>
      <c r="L48" s="15"/>
    </row>
    <row r="49" spans="4:12">
      <c r="D49" s="15"/>
      <c r="F49" s="15"/>
      <c r="H49" s="15"/>
      <c r="J49" s="15"/>
      <c r="L49" s="15"/>
    </row>
    <row r="50" spans="4:12">
      <c r="D50" s="15"/>
      <c r="F50" s="15"/>
      <c r="H50" s="15"/>
      <c r="J50" s="15"/>
      <c r="L50" s="15"/>
    </row>
    <row r="51" spans="4:12">
      <c r="D51" s="15"/>
      <c r="F51" s="15"/>
      <c r="H51" s="15"/>
      <c r="J51" s="15"/>
      <c r="L51" s="15"/>
    </row>
    <row r="52" spans="4:12">
      <c r="D52" s="15"/>
      <c r="F52" s="15"/>
      <c r="H52" s="15"/>
      <c r="J52" s="15"/>
      <c r="L52" s="15"/>
    </row>
    <row r="53" spans="4:12">
      <c r="D53" s="15"/>
      <c r="F53" s="15"/>
      <c r="H53" s="15"/>
      <c r="J53" s="15"/>
      <c r="L53" s="15"/>
    </row>
    <row r="54" spans="4:12">
      <c r="D54" s="15"/>
      <c r="F54" s="15"/>
      <c r="H54" s="15"/>
      <c r="J54" s="15"/>
      <c r="L54" s="15"/>
    </row>
    <row r="55" spans="4:12">
      <c r="D55" s="15"/>
      <c r="F55" s="15"/>
      <c r="H55" s="15"/>
      <c r="J55" s="15"/>
      <c r="L55" s="15"/>
    </row>
    <row r="56" spans="4:12">
      <c r="D56" s="15"/>
      <c r="F56" s="15"/>
      <c r="H56" s="15"/>
      <c r="J56" s="15"/>
      <c r="L56" s="15"/>
    </row>
    <row r="57" spans="4:12">
      <c r="D57" s="15"/>
      <c r="F57" s="15"/>
      <c r="H57" s="15"/>
      <c r="J57" s="15"/>
      <c r="L57" s="15"/>
    </row>
  </sheetData>
  <mergeCells count="13">
    <mergeCell ref="I7:L7"/>
    <mergeCell ref="I6:L6"/>
    <mergeCell ref="I8:L8"/>
    <mergeCell ref="N7:P7"/>
    <mergeCell ref="N6:P6"/>
    <mergeCell ref="N8:P8"/>
    <mergeCell ref="A1:T3"/>
    <mergeCell ref="E8:G8"/>
    <mergeCell ref="A8:C8"/>
    <mergeCell ref="A6:C6"/>
    <mergeCell ref="A7:C7"/>
    <mergeCell ref="E6:G6"/>
    <mergeCell ref="E7:G7"/>
  </mergeCells>
  <conditionalFormatting sqref="D51">
    <cfRule type="colorScale" priority="2">
      <colorScale>
        <cfvo type="min"/>
        <cfvo type="percentile" val="50"/>
        <cfvo type="max"/>
        <color rgb="FFF8696B"/>
        <color rgb="FFFCFCFF"/>
        <color rgb="FF5A8AC6"/>
      </colorScale>
    </cfRule>
  </conditionalFormatting>
  <conditionalFormatting sqref="D48:M57">
    <cfRule type="colorScale" priority="1">
      <colorScale>
        <cfvo type="min"/>
        <cfvo type="percentile" val="50"/>
        <cfvo type="max"/>
        <color rgb="FF5A8AC6"/>
        <color rgb="FFFCFCFF"/>
        <color rgb="FFF8696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Market_Basket_Data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Selfish Girl</cp:lastModifiedBy>
  <dcterms:created xsi:type="dcterms:W3CDTF">2026-07-30T10:41:21Z</dcterms:created>
  <dcterms:modified xsi:type="dcterms:W3CDTF">2026-08-01T12:42:01Z</dcterms:modified>
</cp:coreProperties>
</file>