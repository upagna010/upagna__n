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pagna\Downloads\"/>
    </mc:Choice>
  </mc:AlternateContent>
  <xr:revisionPtr revIDLastSave="0" documentId="13_ncr:1_{CB03BB80-E017-4F5B-BA14-39E384BC717D}" xr6:coauthVersionLast="47" xr6:coauthVersionMax="47" xr10:uidLastSave="{00000000-0000-0000-0000-000000000000}"/>
  <bookViews>
    <workbookView showHorizontalScroll="0" showVerticalScroll="0" xWindow="-110" yWindow="-110" windowWidth="19420" windowHeight="10300" activeTab="4" xr2:uid="{B1AAD6D9-12C3-4251-94D8-2DE0B7C9C34B}"/>
  </bookViews>
  <sheets>
    <sheet name=" pivot" sheetId="4" r:id="rId1"/>
    <sheet name="data" sheetId="1" r:id="rId2"/>
    <sheet name="KPI_" sheetId="5" r:id="rId3"/>
    <sheet name="Analysis" sheetId="6" r:id="rId4"/>
    <sheet name="Dashboard" sheetId="9" r:id="rId5"/>
  </sheets>
  <definedNames>
    <definedName name="Slicer_Admission_Type">#N/A</definedName>
    <definedName name="Slicer_Age">#N/A</definedName>
    <definedName name="Slicer_Department1">#N/A</definedName>
    <definedName name="Slicer_Department2">#N/A</definedName>
    <definedName name="Slicer_Doctor">#N/A</definedName>
    <definedName name="Slicer_Gender">#N/A</definedName>
    <definedName name="Slicer_Gender1">#N/A</definedName>
    <definedName name="Slicer_Insurance1">#N/A</definedName>
    <definedName name="Slicer_Insurance2">#N/A</definedName>
    <definedName name="Slicer_Length_of_Stay">#N/A</definedName>
    <definedName name="Slicer_Patient_ID">#N/A</definedName>
    <definedName name="Slicer_Satisfaction_Score">#N/A</definedName>
    <definedName name="Slicer_Treatment_Cost">#N/A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5" l="1"/>
  <c r="B13" i="6"/>
  <c r="B12" i="6"/>
  <c r="B11" i="6"/>
  <c r="B10" i="6"/>
  <c r="B9" i="6"/>
  <c r="B8" i="6"/>
  <c r="B7" i="6"/>
  <c r="B6" i="6"/>
  <c r="B5" i="6"/>
  <c r="B4" i="6"/>
  <c r="B3" i="6"/>
  <c r="B14" i="6"/>
  <c r="B15" i="6"/>
  <c r="B16" i="6"/>
  <c r="B17" i="6"/>
  <c r="B2" i="6"/>
  <c r="B7" i="5"/>
  <c r="B5" i="5"/>
  <c r="B4" i="5"/>
  <c r="B3" i="5"/>
  <c r="B2" i="5"/>
</calcChain>
</file>

<file path=xl/sharedStrings.xml><?xml version="1.0" encoding="utf-8"?>
<sst xmlns="http://schemas.openxmlformats.org/spreadsheetml/2006/main" count="30132" uniqueCount="5096">
  <si>
    <t>Patient_ID</t>
  </si>
  <si>
    <t>Age</t>
  </si>
  <si>
    <t>Gender</t>
  </si>
  <si>
    <t>Department</t>
  </si>
  <si>
    <t>Doctor</t>
  </si>
  <si>
    <t>Admission_Type</t>
  </si>
  <si>
    <t>Length_of_Stay</t>
  </si>
  <si>
    <t>Treatment_Cost</t>
  </si>
  <si>
    <t>Insurance</t>
  </si>
  <si>
    <t>Satisfaction_Score</t>
  </si>
  <si>
    <t>P0001</t>
  </si>
  <si>
    <t>Female</t>
  </si>
  <si>
    <t>Cardiology</t>
  </si>
  <si>
    <t>Dr. Rao</t>
  </si>
  <si>
    <t>Emergency</t>
  </si>
  <si>
    <t>Yes</t>
  </si>
  <si>
    <t>P0002</t>
  </si>
  <si>
    <t>Male</t>
  </si>
  <si>
    <t>Orthopedics</t>
  </si>
  <si>
    <t>Dr. Kumar</t>
  </si>
  <si>
    <t>Scheduled</t>
  </si>
  <si>
    <t>No</t>
  </si>
  <si>
    <t>P0003</t>
  </si>
  <si>
    <t>Neurology</t>
  </si>
  <si>
    <t>Dr. Reddy</t>
  </si>
  <si>
    <t>P5000</t>
  </si>
  <si>
    <t>Oncology</t>
  </si>
  <si>
    <t>Dr. Patel</t>
  </si>
  <si>
    <t>Gastroenterology</t>
  </si>
  <si>
    <t>Dr. Priya</t>
  </si>
  <si>
    <t>Referral</t>
  </si>
  <si>
    <t>P0004</t>
  </si>
  <si>
    <t>P0005</t>
  </si>
  <si>
    <t>Gynecology</t>
  </si>
  <si>
    <t>Dr. Sharma</t>
  </si>
  <si>
    <t>P0006</t>
  </si>
  <si>
    <t>Pediatrics</t>
  </si>
  <si>
    <t>Dr. Mehta</t>
  </si>
  <si>
    <t>P0007</t>
  </si>
  <si>
    <t>ENT</t>
  </si>
  <si>
    <t>P0008</t>
  </si>
  <si>
    <t>Dermatology</t>
  </si>
  <si>
    <t>Dr. Gupta</t>
  </si>
  <si>
    <t>P0009</t>
  </si>
  <si>
    <t>P0010</t>
  </si>
  <si>
    <t>P0011</t>
  </si>
  <si>
    <t>P0012</t>
  </si>
  <si>
    <t>P0013</t>
  </si>
  <si>
    <t>P0014</t>
  </si>
  <si>
    <t>General Medicine</t>
  </si>
  <si>
    <t>P0015</t>
  </si>
  <si>
    <t>P0016</t>
  </si>
  <si>
    <t>P0017</t>
  </si>
  <si>
    <t>Dr. Singh</t>
  </si>
  <si>
    <t>P0018</t>
  </si>
  <si>
    <t>P0019</t>
  </si>
  <si>
    <t>P0020</t>
  </si>
  <si>
    <t>P0021</t>
  </si>
  <si>
    <t>P0022</t>
  </si>
  <si>
    <t>P0023</t>
  </si>
  <si>
    <t>P0024</t>
  </si>
  <si>
    <t>P0025</t>
  </si>
  <si>
    <t>P0026</t>
  </si>
  <si>
    <t>P0027</t>
  </si>
  <si>
    <t>P0028</t>
  </si>
  <si>
    <t>Dr. Das</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</si>
  <si>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</si>
  <si>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</si>
  <si>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</si>
  <si>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</si>
  <si>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</si>
  <si>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</si>
  <si>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</si>
  <si>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</si>
  <si>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</si>
  <si>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</si>
  <si>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</si>
  <si>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</si>
  <si>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</si>
  <si>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</si>
  <si>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</si>
  <si>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</si>
  <si>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</si>
  <si>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</si>
  <si>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</si>
  <si>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</si>
  <si>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</si>
  <si>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</si>
  <si>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</si>
  <si>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</si>
  <si>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</si>
  <si>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</si>
  <si>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</si>
  <si>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</si>
  <si>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</si>
  <si>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</si>
  <si>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</si>
  <si>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</si>
  <si>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</si>
  <si>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</si>
  <si>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</si>
  <si>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</si>
  <si>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</si>
  <si>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</si>
  <si>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</si>
  <si>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</si>
  <si>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</si>
  <si>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</si>
  <si>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</si>
  <si>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</si>
  <si>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</si>
  <si>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</si>
  <si>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</si>
  <si>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</si>
  <si>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</si>
  <si>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</si>
  <si>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</si>
  <si>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</si>
  <si>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</si>
  <si>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</si>
  <si>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</si>
  <si>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</si>
  <si>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</si>
  <si>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</si>
  <si>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</si>
  <si>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</si>
  <si>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</si>
  <si>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</si>
  <si>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</si>
  <si>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</si>
  <si>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</si>
  <si>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</si>
  <si>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</si>
  <si>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</si>
  <si>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</si>
  <si>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</si>
  <si>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</si>
  <si>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</si>
  <si>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</si>
  <si>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</si>
  <si>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</si>
  <si>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</si>
  <si>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</si>
  <si>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</si>
  <si>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</si>
  <si>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</si>
  <si>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</si>
  <si>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</si>
  <si>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</si>
  <si>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</si>
  <si>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</si>
  <si>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</si>
  <si>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</si>
  <si>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</si>
  <si>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</si>
  <si>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</si>
  <si>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</si>
  <si>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</si>
  <si>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</si>
  <si>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</si>
  <si>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</si>
  <si>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</si>
  <si>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</si>
  <si>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</si>
  <si>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</si>
  <si>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</si>
  <si>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</si>
  <si>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</si>
  <si>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</si>
  <si>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</si>
  <si>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</si>
  <si>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</si>
  <si>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</si>
  <si>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</si>
  <si>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</si>
  <si>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</si>
  <si>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</si>
  <si>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</si>
  <si>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</si>
  <si>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</si>
  <si>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</si>
  <si>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</si>
  <si>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</si>
  <si>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</si>
  <si>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</si>
  <si>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</si>
  <si>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</si>
  <si>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</si>
  <si>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</si>
  <si>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</si>
  <si>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</si>
  <si>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</si>
  <si>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</si>
  <si>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</si>
  <si>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</si>
  <si>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</si>
  <si>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</si>
  <si>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</si>
  <si>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</si>
  <si>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</si>
  <si>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</si>
  <si>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</si>
  <si>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</si>
  <si>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</si>
  <si>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</si>
  <si>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</si>
  <si>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</si>
  <si>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</si>
  <si>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</si>
  <si>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</si>
  <si>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</si>
  <si>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</si>
  <si>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</si>
  <si>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</si>
  <si>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</si>
  <si>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</si>
  <si>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</si>
  <si>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</si>
  <si>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</si>
  <si>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</si>
  <si>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</si>
  <si>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</si>
  <si>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</si>
  <si>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</si>
  <si>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</si>
  <si>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</si>
  <si>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</si>
  <si>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</si>
  <si>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</si>
  <si>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</si>
  <si>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</si>
  <si>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</si>
  <si>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</si>
  <si>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</si>
  <si>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</si>
  <si>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</si>
  <si>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</si>
  <si>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</si>
  <si>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</si>
  <si>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</si>
  <si>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</si>
  <si>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</si>
  <si>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</si>
  <si>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</si>
  <si>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</si>
  <si>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</si>
  <si>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</si>
  <si>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</si>
  <si>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</si>
  <si>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</si>
  <si>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</si>
  <si>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</si>
  <si>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</si>
  <si>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</si>
  <si>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</si>
  <si>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</si>
  <si>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</si>
  <si>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</si>
  <si>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</si>
  <si>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</si>
  <si>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</si>
  <si>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</si>
  <si>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</si>
  <si>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</si>
  <si>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</si>
  <si>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</si>
  <si>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</si>
  <si>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</si>
  <si>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</si>
  <si>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</si>
  <si>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</si>
  <si>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</si>
  <si>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</si>
  <si>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</si>
  <si>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</si>
  <si>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</si>
  <si>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</si>
  <si>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</si>
  <si>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</si>
  <si>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</si>
  <si>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</si>
  <si>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</si>
  <si>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</si>
  <si>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</si>
  <si>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</si>
  <si>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</si>
  <si>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</si>
  <si>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</si>
  <si>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</si>
  <si>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</si>
  <si>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</si>
  <si>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</si>
  <si>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</si>
  <si>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</si>
  <si>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</si>
  <si>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</si>
  <si>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</si>
  <si>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</si>
  <si>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</si>
  <si>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</si>
  <si>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</si>
  <si>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</si>
  <si>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</si>
  <si>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</si>
  <si>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</si>
  <si>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</si>
  <si>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</si>
  <si>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</si>
  <si>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</si>
  <si>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</si>
  <si>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</si>
  <si>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</si>
  <si>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</si>
  <si>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</si>
  <si>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</si>
  <si>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</si>
  <si>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</si>
  <si>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</si>
  <si>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</si>
  <si>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</si>
  <si>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</si>
  <si>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</si>
  <si>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</si>
  <si>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</si>
  <si>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</si>
  <si>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</si>
  <si>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</si>
  <si>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</si>
  <si>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</si>
  <si>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</si>
  <si>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</si>
  <si>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</si>
  <si>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</si>
  <si>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</si>
  <si>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</si>
  <si>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</si>
  <si>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</si>
  <si>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</si>
  <si>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</si>
  <si>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</si>
  <si>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</si>
  <si>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</si>
  <si>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</si>
  <si>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</si>
  <si>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</si>
  <si>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</si>
  <si>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</si>
  <si>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</si>
  <si>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</si>
  <si>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</si>
  <si>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</si>
  <si>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</si>
  <si>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</si>
  <si>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</si>
  <si>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</si>
  <si>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</si>
  <si>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</si>
  <si>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</si>
  <si>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</si>
  <si>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</si>
  <si>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</si>
  <si>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</si>
  <si>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</si>
  <si>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</si>
  <si>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</si>
  <si>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</si>
  <si>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</si>
  <si>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</si>
  <si>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</si>
  <si>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</si>
  <si>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</si>
  <si>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</si>
  <si>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</si>
  <si>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</si>
  <si>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</si>
  <si>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</si>
  <si>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</si>
  <si>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</si>
  <si>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</si>
  <si>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</si>
  <si>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</si>
  <si>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</si>
  <si>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</si>
  <si>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</si>
  <si>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</si>
  <si>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</si>
  <si>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</si>
  <si>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</si>
  <si>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</si>
  <si>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</si>
  <si>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</si>
  <si>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</si>
  <si>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</si>
  <si>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</si>
  <si>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</si>
  <si>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</si>
  <si>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</si>
  <si>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</si>
  <si>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</si>
  <si>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</si>
  <si>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</si>
  <si>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</si>
  <si>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</si>
  <si>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</si>
  <si>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</si>
  <si>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</si>
  <si>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</si>
  <si>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</si>
  <si>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</si>
  <si>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</si>
  <si>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</si>
  <si>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</si>
  <si>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</si>
  <si>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</si>
  <si>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</si>
  <si>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</si>
  <si>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</si>
  <si>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</si>
  <si>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</si>
  <si>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</si>
  <si>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</si>
  <si>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</si>
  <si>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</si>
  <si>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</si>
  <si>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</si>
  <si>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</si>
  <si>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</si>
  <si>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</si>
  <si>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</si>
  <si>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</si>
  <si>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</si>
  <si>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</si>
  <si>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</si>
  <si>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</si>
  <si>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</si>
  <si>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</si>
  <si>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</si>
  <si>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</si>
  <si>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</si>
  <si>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</si>
  <si>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</si>
  <si>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</si>
  <si>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</si>
  <si>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</si>
  <si>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</si>
  <si>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</si>
  <si>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</si>
  <si>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</si>
  <si>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</si>
  <si>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</si>
  <si>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</si>
  <si>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</si>
  <si>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</si>
  <si>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</si>
  <si>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</si>
  <si>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</si>
  <si>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</si>
  <si>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</si>
  <si>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</si>
  <si>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</si>
  <si>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</si>
  <si>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</si>
  <si>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</si>
  <si>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</si>
  <si>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</si>
  <si>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</si>
  <si>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</si>
  <si>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</si>
  <si>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</si>
  <si>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</si>
  <si>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</si>
  <si>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</si>
  <si>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</si>
  <si>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</si>
  <si>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</si>
  <si>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</si>
  <si>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</si>
  <si>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</si>
  <si>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</si>
  <si>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</si>
  <si>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</si>
  <si>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</si>
  <si>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</si>
  <si>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</si>
  <si>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</si>
  <si>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</si>
  <si>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</si>
  <si>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</si>
  <si>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</si>
  <si>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</si>
  <si>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</si>
  <si>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</si>
  <si>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</si>
  <si>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</si>
  <si>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</si>
  <si>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</si>
  <si>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</si>
  <si>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</si>
  <si>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</si>
  <si>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</si>
  <si>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</si>
  <si>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</si>
  <si>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</si>
  <si>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</si>
  <si>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</si>
  <si>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</si>
  <si>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</si>
  <si>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</si>
  <si>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</si>
  <si>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</si>
  <si>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</si>
  <si>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</si>
  <si>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</si>
  <si>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</si>
  <si>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</si>
  <si>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</si>
  <si>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</si>
  <si>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</si>
  <si>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</si>
  <si>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</si>
  <si>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</si>
  <si>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</si>
  <si>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</si>
  <si>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</si>
  <si>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</si>
  <si>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</si>
  <si>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</si>
  <si>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</si>
  <si>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</si>
  <si>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</si>
  <si>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</si>
  <si>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</si>
  <si>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</si>
  <si>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</si>
  <si>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</si>
  <si>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</si>
  <si>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</si>
  <si>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</si>
  <si>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</si>
  <si>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</si>
  <si>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</si>
  <si>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</si>
  <si>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</si>
  <si>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</si>
  <si>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</si>
  <si>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</si>
  <si>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</si>
  <si>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</si>
  <si>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</si>
  <si>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</si>
  <si>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</si>
  <si>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</si>
  <si>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</si>
  <si>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</si>
  <si>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</si>
  <si>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</si>
  <si>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</si>
  <si>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</si>
  <si>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</si>
  <si>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</si>
  <si>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</si>
  <si>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</si>
  <si>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</si>
  <si>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</si>
  <si>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</si>
  <si>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</si>
  <si>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</si>
  <si>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</si>
  <si>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</si>
  <si>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</si>
  <si>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</si>
  <si>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</si>
  <si>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</si>
  <si>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</si>
  <si>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</si>
  <si>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</si>
  <si>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</si>
  <si>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</si>
  <si>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</si>
  <si>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</si>
  <si>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</si>
  <si>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</si>
  <si>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</si>
  <si>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</si>
  <si>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</si>
  <si>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</si>
  <si>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</si>
  <si>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</si>
  <si>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</si>
  <si>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</si>
  <si>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</si>
  <si>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</si>
  <si>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</si>
  <si>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</si>
  <si>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</si>
  <si>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</si>
  <si>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</si>
  <si>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</si>
  <si>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</si>
  <si>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</si>
  <si>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</si>
  <si>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</si>
  <si>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</si>
  <si>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</si>
  <si>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</si>
  <si>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</si>
  <si>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</si>
  <si>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</si>
  <si>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</si>
  <si>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</si>
  <si>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</si>
  <si>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</si>
  <si>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</si>
  <si>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</si>
  <si>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</si>
  <si>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</si>
  <si>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</si>
  <si>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</si>
  <si>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</si>
  <si>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</si>
  <si>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</si>
  <si>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</si>
  <si>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</si>
  <si>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</si>
  <si>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</si>
  <si>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</si>
  <si>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</si>
  <si>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</si>
  <si>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</si>
  <si>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</si>
  <si>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</si>
  <si>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</si>
  <si>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</si>
  <si>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</si>
  <si>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</si>
  <si>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</si>
  <si>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</si>
  <si>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</si>
  <si>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</si>
  <si>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</si>
  <si>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</si>
  <si>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</si>
  <si>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</si>
  <si>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</si>
  <si>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</si>
  <si>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</si>
  <si>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</si>
  <si>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</si>
  <si>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</si>
  <si>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</si>
  <si>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</si>
  <si>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</si>
  <si>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</si>
  <si>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</si>
  <si>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</si>
  <si>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</si>
  <si>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</si>
  <si>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</si>
  <si>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</si>
  <si>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</si>
  <si>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</si>
  <si>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</si>
  <si>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</si>
  <si>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</si>
  <si>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</si>
  <si>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</si>
  <si>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</si>
  <si>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</si>
  <si>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</si>
  <si>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</si>
  <si>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</si>
  <si>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</si>
  <si>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</si>
  <si>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</si>
  <si>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</si>
  <si>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</si>
  <si>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</si>
  <si>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</si>
  <si>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</si>
  <si>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</si>
  <si>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</si>
  <si>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</si>
  <si>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</si>
  <si>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</si>
  <si>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</si>
  <si>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</si>
  <si>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</si>
  <si>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</si>
  <si>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</si>
  <si>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</si>
  <si>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</si>
  <si>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</si>
  <si>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</si>
  <si>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</si>
  <si>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</si>
  <si>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</si>
  <si>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</si>
  <si>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</si>
  <si>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</si>
  <si>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</si>
  <si>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</si>
  <si>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</si>
  <si>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</si>
  <si>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</si>
  <si>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</si>
  <si>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</si>
  <si>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</si>
  <si>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</si>
  <si>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</si>
  <si>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</si>
  <si>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</si>
  <si>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</si>
  <si>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</si>
  <si>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</si>
  <si>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</si>
  <si>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</si>
  <si>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</si>
  <si>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</si>
  <si>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</si>
  <si>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</si>
  <si>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</si>
  <si>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</si>
  <si>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</si>
  <si>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</si>
  <si>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</si>
  <si>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</si>
  <si>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</si>
  <si>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</si>
  <si>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</si>
  <si>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</si>
  <si>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</si>
  <si>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</si>
  <si>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</si>
  <si>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</si>
  <si>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</si>
  <si>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</si>
  <si>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</si>
  <si>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</si>
  <si>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</si>
  <si>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</si>
  <si>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</si>
  <si>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</si>
  <si>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</si>
  <si>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</si>
  <si>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</si>
  <si>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</si>
  <si>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</si>
  <si>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</si>
  <si>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</si>
  <si>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</si>
  <si>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</si>
  <si>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</si>
  <si>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</si>
  <si>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</si>
  <si>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</si>
  <si>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</si>
  <si>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</si>
  <si>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</si>
  <si>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</si>
  <si>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</si>
  <si>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</si>
  <si>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</si>
  <si>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</si>
  <si>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</si>
  <si>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</si>
  <si>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</si>
  <si>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</si>
  <si>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</si>
  <si>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</si>
  <si>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</si>
  <si>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</si>
  <si>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</si>
  <si>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</si>
  <si>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</si>
  <si>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</si>
  <si>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</si>
  <si>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</si>
  <si>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</si>
  <si>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</si>
  <si>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</si>
  <si>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</si>
  <si>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</si>
  <si>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</si>
  <si>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</si>
  <si>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</si>
  <si>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</si>
  <si>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</si>
  <si>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</si>
  <si>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</si>
  <si>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</si>
  <si>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</si>
  <si>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</si>
  <si>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</si>
  <si>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</si>
  <si>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</si>
  <si>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</si>
  <si>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</si>
  <si>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</si>
  <si>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</si>
  <si>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</si>
  <si>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</si>
  <si>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</si>
  <si>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</si>
  <si>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</si>
  <si>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</si>
  <si>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</si>
  <si>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</si>
  <si>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</si>
  <si>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</si>
  <si>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</si>
  <si>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</si>
  <si>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</si>
  <si>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</si>
  <si>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</si>
  <si>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</si>
  <si>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</si>
  <si>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</si>
  <si>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</si>
  <si>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</si>
  <si>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</si>
  <si>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</si>
  <si>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</si>
  <si>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</si>
  <si>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</si>
  <si>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</si>
  <si>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</si>
  <si>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</si>
  <si>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</si>
  <si>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</si>
  <si>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</si>
  <si>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</si>
  <si>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</si>
  <si>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</si>
  <si>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</si>
  <si>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</si>
  <si>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</si>
  <si>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</si>
  <si>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</si>
  <si>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</si>
  <si>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</si>
  <si>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</si>
  <si>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</si>
  <si>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</si>
  <si>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</si>
  <si>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</si>
  <si>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</si>
  <si>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</si>
  <si>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</si>
  <si>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</si>
  <si>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</si>
  <si>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</si>
  <si>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</si>
  <si>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</si>
  <si>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</si>
  <si>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</si>
  <si>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</si>
  <si>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</si>
  <si>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</si>
  <si>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</si>
  <si>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</si>
  <si>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</si>
  <si>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</si>
  <si>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</si>
  <si>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</si>
  <si>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</si>
  <si>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</si>
  <si>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</si>
  <si>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</si>
  <si>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</si>
  <si>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</si>
  <si>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</si>
  <si>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</si>
  <si>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</si>
  <si>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</si>
  <si>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</si>
  <si>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</si>
  <si>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</si>
  <si>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</si>
  <si>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</si>
  <si>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</si>
  <si>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</si>
  <si>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</si>
  <si>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</si>
  <si>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</si>
  <si>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</si>
  <si>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</si>
  <si>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</si>
  <si>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</si>
  <si>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</si>
  <si>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</si>
  <si>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</si>
  <si>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</si>
  <si>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</si>
  <si>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</si>
  <si>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</si>
  <si>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</si>
  <si>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</si>
  <si>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</si>
  <si>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</si>
  <si>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</si>
  <si>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</si>
  <si>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</si>
  <si>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</si>
  <si>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</si>
  <si>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</si>
  <si>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</si>
  <si>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</si>
  <si>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</si>
  <si>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</si>
  <si>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</si>
  <si>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</si>
  <si>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</si>
  <si>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</si>
  <si>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</si>
  <si>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</si>
  <si>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</si>
  <si>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</si>
  <si>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</si>
  <si>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</si>
  <si>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</si>
  <si>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</si>
  <si>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</si>
  <si>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</si>
  <si>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</si>
  <si>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</si>
  <si>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</si>
  <si>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</si>
  <si>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</si>
  <si>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</si>
  <si>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</si>
  <si>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</si>
  <si>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</si>
  <si>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</si>
  <si>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</si>
  <si>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</si>
  <si>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</si>
  <si>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</si>
  <si>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</si>
  <si>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</si>
  <si>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</si>
  <si>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</si>
  <si>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</si>
  <si>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</si>
  <si>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</si>
  <si>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</si>
  <si>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</si>
  <si>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</si>
  <si>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</si>
  <si>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</si>
  <si>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</si>
  <si>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</si>
  <si>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</si>
  <si>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</si>
  <si>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</si>
  <si>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</si>
  <si>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</si>
  <si>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</si>
  <si>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</si>
  <si>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</si>
  <si>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</si>
  <si>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</si>
  <si>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</si>
  <si>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</si>
  <si>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</si>
  <si>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</si>
  <si>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</si>
  <si>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</si>
  <si>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</si>
  <si>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</si>
  <si>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</si>
  <si>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</si>
  <si>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</si>
  <si>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</si>
  <si>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</si>
  <si>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</si>
  <si>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</si>
  <si>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</si>
  <si>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</si>
  <si>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</si>
  <si>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</si>
  <si>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</si>
  <si>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</si>
  <si>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</si>
  <si>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</si>
  <si>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</si>
  <si>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</si>
  <si>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</si>
  <si>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</si>
  <si>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</si>
  <si>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</si>
  <si>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</si>
  <si>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</si>
  <si>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</si>
  <si>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</si>
  <si>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</si>
  <si>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</si>
  <si>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</si>
  <si>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</si>
  <si>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</si>
  <si>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</si>
  <si>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</si>
  <si>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</si>
  <si>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</si>
  <si>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</si>
  <si>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</si>
  <si>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</si>
  <si>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</si>
  <si>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</si>
  <si>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</si>
  <si>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</si>
  <si>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</si>
  <si>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</si>
  <si>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</si>
  <si>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</si>
  <si>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</si>
  <si>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</si>
  <si>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</si>
  <si>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</si>
  <si>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</si>
  <si>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</si>
  <si>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</si>
  <si>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</si>
  <si>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</si>
  <si>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</si>
  <si>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</si>
  <si>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</si>
  <si>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</si>
  <si>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</si>
  <si>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</si>
  <si>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</si>
  <si>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</si>
  <si>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</si>
  <si>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</si>
  <si>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</si>
  <si>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</si>
  <si>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</si>
  <si>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</si>
  <si>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</si>
  <si>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</si>
  <si>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</si>
  <si>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</si>
  <si>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</si>
  <si>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</si>
  <si>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</si>
  <si>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</si>
  <si>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</si>
  <si>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</si>
  <si>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</si>
  <si>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</si>
  <si>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</si>
  <si>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</si>
  <si>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</si>
  <si>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</si>
  <si>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</si>
  <si>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</si>
  <si>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</si>
  <si>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</si>
  <si>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</si>
  <si>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</si>
  <si>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</si>
  <si>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</si>
  <si>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</si>
  <si>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</si>
  <si>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</si>
  <si>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</si>
  <si>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</si>
  <si>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</si>
  <si>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</si>
  <si>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</si>
  <si>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</si>
  <si>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</si>
  <si>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</si>
  <si>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</si>
  <si>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</si>
  <si>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</si>
  <si>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</si>
  <si>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</si>
  <si>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</si>
  <si>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</si>
  <si>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</si>
  <si>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</si>
  <si>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</si>
  <si>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</si>
  <si>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</si>
  <si>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</si>
  <si>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</si>
  <si>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</si>
  <si>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</si>
  <si>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</si>
  <si>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</si>
  <si>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</si>
  <si>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</si>
  <si>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</si>
  <si>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</si>
  <si>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</si>
  <si>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</si>
  <si>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</si>
  <si>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</si>
  <si>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</si>
  <si>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</si>
  <si>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</si>
  <si>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</si>
  <si>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</si>
  <si>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</si>
  <si>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</si>
  <si>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</si>
  <si>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</si>
  <si>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</si>
  <si>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</si>
  <si>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</si>
  <si>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</si>
  <si>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</si>
  <si>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</si>
  <si>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</si>
  <si>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</si>
  <si>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</si>
  <si>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</si>
  <si>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</si>
  <si>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</si>
  <si>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</si>
  <si>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</si>
  <si>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</si>
  <si>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</si>
  <si>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</si>
  <si>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</si>
  <si>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</si>
  <si>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</si>
  <si>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</si>
  <si>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</si>
  <si>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</si>
  <si>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</si>
  <si>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</si>
  <si>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</si>
  <si>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</si>
  <si>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</si>
  <si>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</si>
  <si>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</si>
  <si>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</si>
  <si>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</si>
  <si>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</si>
  <si>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</si>
  <si>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</si>
  <si>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</si>
  <si>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</si>
  <si>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</si>
  <si>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</si>
  <si>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</si>
  <si>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</si>
  <si>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</si>
  <si>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</si>
  <si>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</si>
  <si>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</si>
  <si>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</si>
  <si>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</si>
  <si>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</si>
  <si>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</si>
  <si>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</si>
  <si>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</si>
  <si>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</si>
  <si>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</si>
  <si>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</si>
  <si>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</si>
  <si>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</si>
  <si>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</si>
  <si>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</si>
  <si>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</si>
  <si>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</si>
  <si>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</si>
  <si>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</si>
  <si>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</si>
  <si>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</si>
  <si>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</si>
  <si>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</si>
  <si>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</si>
  <si>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</si>
  <si>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</si>
  <si>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</si>
  <si>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</si>
  <si>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</si>
  <si>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</si>
  <si>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</si>
  <si>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</si>
  <si>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</si>
  <si>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</si>
  <si>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</si>
  <si>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</si>
  <si>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</si>
  <si>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</si>
  <si>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</si>
  <si>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</si>
  <si>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</si>
  <si>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</si>
  <si>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</si>
  <si>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</si>
  <si>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</si>
  <si>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</si>
  <si>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</si>
  <si>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</si>
  <si>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</si>
  <si>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</si>
  <si>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</si>
  <si>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</si>
  <si>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</si>
  <si>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</si>
  <si>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</si>
  <si>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</si>
  <si>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</si>
  <si>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</si>
  <si>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</si>
  <si>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</si>
  <si>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</si>
  <si>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</si>
  <si>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</si>
  <si>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</si>
  <si>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</si>
  <si>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</si>
  <si>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</si>
  <si>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</si>
  <si>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</si>
  <si>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</si>
  <si>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</si>
  <si>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</si>
  <si>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</si>
  <si>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</si>
  <si>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</si>
  <si>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</si>
  <si>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</si>
  <si>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</si>
  <si>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</si>
  <si>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</si>
  <si>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</si>
  <si>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</si>
  <si>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</si>
  <si>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</si>
  <si>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</si>
  <si>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</si>
  <si>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</si>
  <si>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</si>
  <si>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</si>
  <si>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</si>
  <si>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</si>
  <si>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</si>
  <si>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</si>
  <si>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</si>
  <si>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</si>
  <si>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</si>
  <si>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</si>
  <si>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</si>
  <si>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</si>
  <si>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</si>
  <si>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</si>
  <si>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</si>
  <si>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</si>
  <si>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</si>
  <si>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</si>
  <si>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</si>
  <si>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</si>
  <si>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</si>
  <si>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</si>
  <si>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</si>
  <si>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</si>
  <si>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</si>
  <si>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</si>
  <si>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</si>
  <si>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</si>
  <si>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</si>
  <si>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</si>
  <si>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</si>
  <si>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</si>
  <si>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</si>
  <si>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</si>
  <si>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</si>
  <si>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</si>
  <si>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</si>
  <si>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</si>
  <si>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</si>
  <si>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</si>
  <si>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</si>
  <si>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</si>
  <si>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</si>
  <si>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</si>
  <si>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</si>
  <si>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</si>
  <si>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</si>
  <si>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</si>
  <si>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</si>
  <si>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</si>
  <si>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</si>
  <si>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</si>
  <si>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</si>
  <si>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</si>
  <si>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</si>
  <si>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</si>
  <si>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</si>
  <si>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</si>
  <si>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</si>
  <si>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</si>
  <si>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</si>
  <si>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</si>
  <si>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</si>
  <si>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</si>
  <si>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</si>
  <si>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</si>
  <si>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</si>
  <si>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</si>
  <si>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</si>
  <si>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</si>
  <si>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</si>
  <si>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</si>
  <si>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</si>
  <si>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</si>
  <si>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</si>
  <si>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</si>
  <si>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</si>
  <si>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</si>
  <si>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</si>
  <si>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</si>
  <si>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</si>
  <si>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</si>
  <si>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</si>
  <si>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</si>
  <si>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</si>
  <si>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</si>
  <si>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</si>
  <si>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</si>
  <si>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</si>
  <si>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</si>
  <si>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</si>
  <si>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</si>
  <si>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</si>
  <si>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</si>
  <si>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</si>
  <si>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</si>
  <si>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</si>
  <si>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</si>
  <si>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</si>
  <si>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</si>
  <si>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</si>
  <si>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</si>
  <si>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</si>
  <si>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</si>
  <si>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</si>
  <si>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</si>
  <si>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</si>
  <si>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</si>
  <si>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</si>
  <si>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</si>
  <si>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</si>
  <si>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</si>
  <si>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</si>
  <si>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</si>
  <si>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</si>
  <si>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</si>
  <si>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</si>
  <si>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</si>
  <si>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</si>
  <si>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</si>
  <si>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</si>
  <si>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</si>
  <si>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</si>
  <si>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</si>
  <si>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</si>
  <si>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</si>
  <si>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</si>
  <si>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</si>
  <si>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</si>
  <si>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</si>
  <si>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</si>
  <si>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</si>
  <si>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</si>
  <si>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</si>
  <si>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</si>
  <si>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</si>
  <si>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</si>
  <si>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</si>
  <si>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</si>
  <si>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</si>
  <si>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</si>
  <si>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</si>
  <si>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</si>
  <si>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</si>
  <si>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</si>
  <si>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</si>
  <si>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</si>
  <si>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</si>
  <si>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</si>
  <si>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</si>
  <si>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</si>
  <si>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</si>
  <si>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</si>
  <si>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</si>
  <si>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</si>
  <si>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</si>
  <si>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</si>
  <si>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</si>
  <si>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</si>
  <si>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</si>
  <si>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</si>
  <si>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</si>
  <si>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</si>
  <si>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</si>
  <si>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</si>
  <si>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</si>
  <si>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</si>
  <si>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</si>
  <si>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</si>
  <si>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</si>
  <si>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</si>
  <si>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</si>
  <si>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</si>
  <si>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</si>
  <si>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</si>
  <si>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</si>
  <si>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</si>
  <si>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</si>
  <si>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</si>
  <si>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</si>
  <si>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</si>
  <si>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</si>
  <si>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</si>
  <si>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</si>
  <si>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</si>
  <si>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</si>
  <si>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</si>
  <si>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</si>
  <si>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</si>
  <si>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</si>
  <si>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</si>
  <si>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</si>
  <si>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</si>
  <si>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</si>
  <si>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</si>
  <si>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</si>
  <si>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</si>
  <si>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</si>
  <si>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</si>
  <si>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</si>
  <si>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</si>
  <si>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</si>
  <si>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</si>
  <si>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</si>
  <si>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</si>
  <si>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</si>
  <si>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</si>
  <si>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</si>
  <si>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</si>
  <si>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</si>
  <si>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</si>
  <si>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</si>
  <si>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</si>
  <si>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</si>
  <si>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</si>
  <si>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</si>
  <si>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</si>
  <si>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</si>
  <si>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</si>
  <si>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</si>
  <si>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</si>
  <si>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</si>
  <si>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</si>
  <si>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</si>
  <si>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</si>
  <si>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</si>
  <si>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</si>
  <si>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</si>
  <si>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</si>
  <si>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</si>
  <si>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</si>
  <si>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</si>
  <si>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</si>
  <si>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</si>
  <si>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</si>
  <si>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</si>
  <si>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</si>
  <si>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</si>
  <si>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</si>
  <si>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</si>
  <si>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</si>
  <si>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</si>
  <si>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</si>
  <si>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</si>
  <si>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</si>
  <si>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</si>
  <si>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</si>
  <si>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</si>
  <si>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</si>
  <si>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</si>
  <si>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</si>
  <si>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</si>
  <si>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</si>
  <si>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</si>
  <si>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</si>
  <si>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</si>
  <si>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</si>
  <si>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</si>
  <si>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</si>
  <si>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</si>
  <si>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</si>
  <si>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</si>
  <si>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</si>
  <si>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</si>
  <si>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</si>
  <si>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</si>
  <si>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</si>
  <si>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</si>
  <si>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</si>
  <si>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</si>
  <si>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</si>
  <si>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</si>
  <si>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</si>
  <si>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</si>
  <si>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</si>
  <si>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</si>
  <si>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</si>
  <si>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</si>
  <si>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</si>
  <si>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</si>
  <si>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</si>
  <si>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</si>
  <si>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</si>
  <si>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</si>
  <si>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</si>
  <si>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</si>
  <si>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</si>
  <si>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</si>
  <si>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</si>
  <si>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</si>
  <si>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</si>
  <si>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</si>
  <si>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</si>
  <si>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</si>
  <si>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</si>
  <si>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</si>
  <si>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</si>
  <si>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</si>
  <si>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</si>
  <si>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</si>
  <si>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</si>
  <si>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</si>
  <si>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</si>
  <si>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</si>
  <si>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</si>
  <si>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</si>
  <si>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</si>
  <si>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</si>
  <si>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</si>
  <si>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</si>
  <si>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</si>
  <si>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</si>
  <si>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</si>
  <si>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</si>
  <si>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</si>
  <si>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</si>
  <si>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</si>
  <si>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</si>
  <si>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</si>
  <si>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</si>
  <si>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</si>
  <si>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</si>
  <si>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</si>
  <si>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</si>
  <si>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</si>
  <si>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</si>
  <si>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</si>
  <si>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</si>
  <si>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</si>
  <si>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</si>
  <si>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</si>
  <si>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</si>
  <si>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</si>
  <si>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</si>
  <si>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</si>
  <si>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</si>
  <si>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</si>
  <si>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</si>
  <si>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</si>
  <si>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</si>
  <si>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</si>
  <si>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</si>
  <si>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</si>
  <si>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</si>
  <si>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</si>
  <si>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</si>
  <si>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</si>
  <si>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</si>
  <si>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</si>
  <si>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</si>
  <si>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</si>
  <si>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</si>
  <si>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</si>
  <si>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</si>
  <si>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</si>
  <si>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</si>
  <si>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</si>
  <si>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</si>
  <si>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</si>
  <si>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</si>
  <si>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</si>
  <si>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</si>
  <si>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</si>
  <si>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</si>
  <si>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</si>
  <si>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</si>
  <si>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</si>
  <si>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</si>
  <si>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</si>
  <si>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</si>
  <si>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</si>
  <si>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</si>
  <si>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</si>
  <si>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</si>
  <si>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</si>
  <si>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</si>
  <si>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</si>
  <si>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</si>
  <si>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</si>
  <si>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</si>
  <si>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</si>
  <si>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</si>
  <si>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</si>
  <si>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</si>
  <si>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</si>
  <si>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</si>
  <si>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</si>
  <si>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</si>
  <si>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</si>
  <si>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</si>
  <si>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</si>
  <si>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</si>
  <si>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</si>
  <si>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</si>
  <si>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</si>
  <si>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</si>
  <si>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</si>
  <si>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</si>
  <si>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</si>
  <si>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</si>
  <si>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</si>
  <si>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</si>
  <si>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</si>
  <si>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</si>
  <si>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</si>
  <si>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</si>
  <si>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</si>
  <si>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</si>
  <si>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</si>
  <si>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</si>
  <si>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</si>
  <si>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</si>
  <si>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</si>
  <si>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</si>
  <si>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</si>
  <si>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</si>
  <si>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</si>
  <si>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</si>
  <si>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</si>
  <si>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</si>
  <si>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</si>
  <si>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</si>
  <si>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</si>
  <si>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</si>
  <si>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</si>
  <si>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</si>
  <si>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</si>
  <si>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</si>
  <si>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</si>
  <si>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</si>
  <si>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</si>
  <si>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</si>
  <si>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</si>
  <si>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</si>
  <si>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</si>
  <si>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</si>
  <si>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</si>
  <si>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</si>
  <si>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</si>
  <si>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</si>
  <si>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</si>
  <si>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</si>
  <si>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</si>
  <si>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</si>
  <si>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</si>
  <si>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</si>
  <si>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</si>
  <si>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</si>
  <si>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</si>
  <si>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</si>
  <si>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</si>
  <si>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</si>
  <si>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</si>
  <si>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</si>
  <si>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</si>
  <si>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</si>
  <si>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</si>
  <si>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</si>
  <si>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</si>
  <si>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</si>
  <si>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</si>
  <si>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</si>
  <si>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</si>
  <si>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</si>
  <si>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</si>
  <si>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</si>
  <si>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</si>
  <si>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</si>
  <si>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</si>
  <si>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</si>
  <si>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</si>
  <si>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</si>
  <si>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</si>
  <si>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</si>
  <si>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</si>
  <si>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</si>
  <si>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</si>
  <si>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</si>
  <si>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</si>
  <si>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</si>
  <si>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</si>
  <si>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</si>
  <si>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</si>
  <si>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</si>
  <si>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</si>
  <si>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</si>
  <si>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</si>
  <si>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</si>
  <si>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</si>
  <si>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</si>
  <si>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</si>
  <si>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</si>
  <si>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</si>
  <si>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</si>
  <si>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</si>
  <si>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</si>
  <si>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</si>
  <si>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</si>
  <si>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</si>
  <si>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</si>
  <si>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</si>
  <si>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</si>
  <si>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</si>
  <si>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</si>
  <si>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</si>
  <si>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</si>
  <si>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</si>
  <si>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</si>
  <si>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</si>
  <si>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</si>
  <si>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</si>
  <si>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</si>
  <si>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</si>
  <si>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</si>
  <si>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</si>
  <si>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</si>
  <si>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</si>
  <si>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</si>
  <si>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</si>
  <si>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</si>
  <si>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</si>
  <si>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</si>
  <si>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</si>
  <si>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</si>
  <si>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</si>
  <si>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</si>
  <si>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</si>
  <si>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</si>
  <si>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</si>
  <si>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</si>
  <si>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</si>
  <si>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</si>
  <si>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</si>
  <si>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</si>
  <si>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</si>
  <si>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</si>
  <si>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</si>
  <si>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</si>
  <si>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</si>
  <si>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</si>
  <si>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</si>
  <si>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</si>
  <si>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</si>
  <si>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</si>
  <si>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</si>
  <si>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</si>
  <si>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</si>
  <si>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</si>
  <si>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</si>
  <si>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</si>
  <si>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</si>
  <si>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</si>
  <si>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</si>
  <si>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</si>
  <si>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</si>
  <si>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</si>
  <si>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</si>
  <si>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</si>
  <si>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</si>
  <si>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</si>
  <si>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</si>
  <si>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</si>
  <si>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</si>
  <si>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</si>
  <si>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</si>
  <si>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</si>
  <si>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</si>
  <si>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</si>
  <si>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</si>
  <si>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</si>
  <si>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</si>
  <si>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</si>
  <si>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</si>
  <si>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</si>
  <si>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</si>
  <si>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</si>
  <si>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</si>
  <si>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</si>
  <si>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</si>
  <si>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</si>
  <si>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</si>
  <si>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</si>
  <si>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</si>
  <si>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</si>
  <si>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</si>
  <si>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</si>
  <si>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</si>
  <si>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</si>
  <si>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</si>
  <si>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</si>
  <si>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</si>
  <si>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</si>
  <si>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</si>
  <si>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</si>
  <si>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</si>
  <si>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</si>
  <si>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</si>
  <si>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</si>
  <si>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</si>
  <si>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</si>
  <si>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</si>
  <si>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</si>
  <si>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</si>
  <si>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</si>
  <si>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</si>
  <si>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</si>
  <si>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</si>
  <si>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</si>
  <si>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</si>
  <si>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</si>
  <si>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</si>
  <si>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</si>
  <si>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</si>
  <si>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</si>
  <si>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</si>
  <si>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</si>
  <si>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</si>
  <si>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</si>
  <si>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</si>
  <si>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</si>
  <si>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</si>
  <si>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</si>
  <si>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</si>
  <si>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</si>
  <si>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</si>
  <si>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</si>
  <si>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</si>
  <si>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</si>
  <si>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</si>
  <si>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</si>
  <si>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</si>
  <si>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</si>
  <si>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</si>
  <si>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</si>
  <si>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</si>
  <si>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</si>
  <si>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</si>
  <si>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</si>
  <si>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</si>
  <si>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</si>
  <si>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</si>
  <si>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</si>
  <si>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</si>
  <si>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</si>
  <si>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</si>
  <si>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</si>
  <si>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</si>
  <si>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</si>
  <si>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</si>
  <si>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</si>
  <si>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</si>
  <si>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</si>
  <si>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</si>
  <si>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</si>
  <si>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</si>
  <si>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</si>
  <si>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</si>
  <si>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</si>
  <si>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</si>
  <si>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</si>
  <si>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</si>
  <si>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</si>
  <si>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</si>
  <si>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</si>
  <si>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</si>
  <si>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</si>
  <si>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</si>
  <si>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</si>
  <si>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</si>
  <si>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</si>
  <si>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</si>
  <si>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</si>
  <si>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</si>
  <si>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</si>
  <si>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</si>
  <si>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</si>
  <si>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</si>
  <si>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</si>
  <si>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</si>
  <si>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</si>
  <si>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</si>
  <si>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</si>
  <si>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</si>
  <si>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</si>
  <si>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</si>
  <si>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</si>
  <si>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</si>
  <si>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</si>
  <si>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</si>
  <si>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</si>
  <si>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</si>
  <si>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</si>
  <si>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</si>
  <si>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</si>
  <si>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</si>
  <si>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</si>
  <si>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</si>
  <si>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</si>
  <si>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</si>
  <si>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</si>
  <si>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</si>
  <si>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</si>
  <si>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</si>
  <si>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</si>
  <si>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</si>
  <si>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</si>
  <si>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</si>
  <si>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</si>
  <si>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</si>
  <si>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</si>
  <si>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</si>
  <si>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</si>
  <si>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</si>
  <si>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</si>
  <si>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</si>
  <si>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</si>
  <si>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</si>
  <si>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</si>
  <si>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</si>
  <si>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</si>
  <si>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</si>
  <si>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</si>
  <si>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</si>
  <si>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</si>
  <si>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</si>
  <si>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</si>
  <si>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</si>
  <si>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</si>
  <si>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</si>
  <si>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</si>
  <si>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</si>
  <si>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</si>
  <si>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</si>
  <si>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</si>
  <si>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</si>
  <si>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</si>
  <si>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</si>
  <si>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</si>
  <si>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</si>
  <si>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</si>
  <si>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</si>
  <si>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</si>
  <si>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</si>
  <si>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</si>
  <si>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</si>
  <si>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</si>
  <si>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</si>
  <si>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</si>
  <si>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</si>
  <si>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</si>
  <si>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</si>
  <si>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</si>
  <si>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</si>
  <si>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</si>
  <si>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</si>
  <si>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</si>
  <si>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</si>
  <si>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</si>
  <si>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</si>
  <si>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</si>
  <si>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</si>
  <si>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</si>
  <si>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</si>
  <si>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</si>
  <si>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</si>
  <si>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</si>
  <si>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</si>
  <si>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</si>
  <si>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</si>
  <si>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</si>
  <si>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</si>
  <si>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</si>
  <si>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</si>
  <si>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</si>
  <si>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</si>
  <si>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</si>
  <si>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</si>
  <si>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</si>
  <si>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</si>
  <si>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</si>
  <si>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</si>
  <si>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</si>
  <si>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</si>
  <si>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</si>
  <si>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</si>
  <si>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</si>
  <si>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</si>
  <si>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</si>
  <si>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</si>
  <si>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</si>
  <si>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</si>
  <si>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</si>
  <si>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</si>
  <si>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</si>
  <si>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</si>
  <si>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</si>
  <si>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</si>
  <si>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</si>
  <si>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</si>
  <si>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</si>
  <si>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</si>
  <si>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</si>
  <si>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</si>
  <si>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</si>
  <si>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</si>
  <si>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</si>
  <si>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</si>
  <si>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</si>
  <si>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</si>
  <si>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</si>
  <si>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</si>
  <si>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</si>
  <si>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</si>
  <si>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</si>
  <si>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</si>
  <si>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</si>
  <si>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</si>
  <si>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</si>
  <si>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</si>
  <si>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</si>
  <si>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</si>
  <si>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</si>
  <si>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</si>
  <si>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</si>
  <si>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</si>
  <si>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</si>
  <si>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</si>
  <si>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</si>
  <si>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</si>
  <si>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</si>
  <si>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</si>
  <si>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</si>
  <si>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</si>
  <si>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</si>
  <si>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</si>
  <si>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</si>
  <si>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</si>
  <si>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</si>
  <si>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</si>
  <si>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</si>
  <si>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</si>
  <si>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</si>
  <si>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</si>
  <si>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</si>
  <si>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</si>
  <si>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</si>
  <si>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</si>
  <si>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</si>
  <si>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</si>
  <si>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</si>
  <si>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</si>
  <si>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</si>
  <si>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</si>
  <si>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</si>
  <si>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</si>
  <si>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</si>
  <si>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</si>
  <si>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</si>
  <si>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</si>
  <si>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</si>
  <si>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</si>
  <si>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</si>
  <si>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</si>
  <si>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</si>
  <si>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</si>
  <si>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</si>
  <si>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</si>
  <si>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</si>
  <si>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</si>
  <si>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</si>
  <si>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</si>
  <si>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</si>
  <si>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</si>
  <si>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</si>
  <si>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</si>
  <si>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</si>
  <si>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</si>
  <si>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</si>
  <si>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</si>
  <si>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</si>
  <si>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</si>
  <si>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</si>
  <si>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</si>
  <si>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</si>
  <si>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</si>
  <si>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</si>
  <si>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</si>
  <si>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</si>
  <si>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</si>
  <si>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</si>
  <si>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</si>
  <si>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</si>
  <si>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</si>
  <si>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</si>
  <si>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</si>
  <si>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</si>
  <si>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</si>
  <si>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</si>
  <si>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</si>
  <si>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</si>
  <si>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</si>
  <si>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</si>
  <si>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</si>
  <si>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</si>
  <si>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</si>
  <si>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</si>
  <si>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</si>
  <si>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</si>
  <si>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</si>
  <si>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</si>
  <si>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</si>
  <si>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</si>
  <si>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</si>
  <si>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</si>
  <si>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</si>
  <si>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</si>
  <si>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</si>
  <si>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</si>
  <si>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</si>
  <si>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</si>
  <si>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</si>
  <si>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</si>
  <si>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</si>
  <si>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</si>
  <si>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</si>
  <si>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</si>
  <si>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</si>
  <si>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</si>
  <si>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</si>
  <si>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</si>
  <si>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</si>
  <si>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</si>
  <si>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</si>
  <si>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</si>
  <si>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</si>
  <si>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</si>
  <si>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</si>
  <si>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</si>
  <si>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</si>
  <si>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</si>
  <si>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</si>
  <si>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</si>
  <si>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</si>
  <si>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</si>
  <si>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</si>
  <si>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</si>
  <si>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</si>
  <si>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</si>
  <si>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</si>
  <si>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</si>
  <si>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</si>
  <si>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</si>
  <si>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</si>
  <si>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</si>
  <si>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</si>
  <si>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</si>
  <si>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</si>
  <si>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</si>
  <si>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</si>
  <si>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</si>
  <si>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</si>
  <si>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</si>
  <si>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</si>
  <si>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</si>
  <si>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</si>
  <si>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</si>
  <si>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</si>
  <si>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</si>
  <si>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</si>
  <si>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</si>
  <si>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</si>
  <si>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</si>
  <si>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</si>
  <si>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</si>
  <si>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</si>
  <si>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</si>
  <si>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</si>
  <si>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</si>
  <si>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</si>
  <si>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</si>
  <si>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</si>
  <si>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</si>
  <si>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</si>
  <si>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</si>
  <si>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</si>
  <si>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</si>
  <si>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</si>
  <si>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</si>
  <si>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</si>
  <si>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</si>
  <si>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</si>
  <si>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</si>
  <si>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</si>
  <si>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</si>
  <si>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</si>
  <si>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</si>
  <si>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</si>
  <si>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</si>
  <si>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</si>
  <si>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</si>
  <si>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</si>
  <si>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</si>
  <si>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</si>
  <si>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</si>
  <si>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</si>
  <si>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</si>
  <si>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</si>
  <si>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</si>
  <si>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</si>
  <si>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</si>
  <si>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</si>
  <si>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</si>
  <si>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</si>
  <si>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</si>
  <si>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</si>
  <si>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</si>
  <si>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</si>
  <si>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</si>
  <si>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</si>
  <si>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</si>
  <si>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</si>
  <si>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</si>
  <si>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</si>
  <si>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</si>
  <si>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</si>
  <si>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</si>
  <si>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</si>
  <si>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</si>
  <si>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</si>
  <si>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</si>
  <si>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</si>
  <si>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</si>
  <si>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</si>
  <si>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</si>
  <si>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</si>
  <si>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</si>
  <si>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</si>
  <si>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</si>
  <si>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</si>
  <si>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</si>
  <si>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</si>
  <si>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</si>
  <si>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</si>
  <si>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</si>
  <si>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</si>
  <si>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</si>
  <si>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</si>
  <si>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</si>
  <si>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</si>
  <si>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</si>
  <si>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</si>
  <si>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</si>
  <si>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</si>
  <si>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</si>
  <si>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</si>
  <si>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</si>
  <si>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</si>
  <si>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</si>
  <si>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</si>
  <si>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</si>
  <si>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</si>
  <si>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</si>
  <si>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</si>
  <si>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</si>
  <si>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</si>
  <si>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</si>
  <si>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</si>
  <si>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</si>
  <si>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</si>
  <si>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</si>
  <si>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</si>
  <si>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</si>
  <si>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</si>
  <si>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</si>
  <si>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</si>
  <si>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</si>
  <si>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</si>
  <si>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</si>
  <si>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</si>
  <si>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</si>
  <si>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</si>
  <si>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</si>
  <si>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</si>
  <si>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</si>
  <si>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</si>
  <si>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</si>
  <si>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</si>
  <si>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</si>
  <si>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</si>
  <si>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</si>
  <si>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</si>
  <si>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</si>
  <si>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</si>
  <si>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</si>
  <si>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</si>
  <si>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</si>
  <si>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</si>
  <si>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</si>
  <si>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</si>
  <si>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</si>
  <si>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</si>
  <si>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</si>
  <si>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</si>
  <si>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</si>
  <si>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</si>
  <si>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</si>
  <si>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</si>
  <si>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</si>
  <si>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</si>
  <si>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</si>
  <si>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</si>
  <si>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</si>
  <si>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</si>
  <si>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</si>
  <si>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</si>
  <si>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</si>
  <si>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</si>
  <si>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</si>
  <si>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</si>
  <si>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</si>
  <si>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</si>
  <si>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</si>
  <si>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</si>
  <si>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</si>
  <si>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</si>
  <si>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</si>
  <si>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</si>
  <si>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</si>
  <si>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</si>
  <si>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</si>
  <si>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</si>
  <si>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</si>
  <si>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</si>
  <si>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</si>
  <si>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</si>
  <si>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</si>
  <si>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</si>
  <si>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</si>
  <si>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</si>
  <si>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</si>
  <si>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</si>
  <si>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</si>
  <si>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</si>
  <si>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</si>
  <si>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</si>
  <si>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</si>
  <si>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</si>
  <si>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</si>
  <si>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</si>
  <si>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</si>
  <si>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</si>
  <si>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</si>
  <si>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</si>
  <si>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</si>
  <si>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</si>
  <si>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</si>
  <si>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</si>
  <si>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</si>
  <si>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</si>
  <si>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</si>
  <si>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</si>
  <si>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</si>
  <si>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</si>
  <si>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</si>
  <si>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</si>
  <si>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</si>
  <si>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</si>
  <si>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</si>
  <si>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</si>
  <si>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</si>
  <si>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</si>
  <si>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</si>
  <si>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</si>
  <si>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</si>
  <si>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</si>
  <si>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</si>
  <si>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</si>
  <si>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</si>
  <si>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</si>
  <si>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</si>
  <si>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</si>
  <si>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</si>
  <si>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</si>
  <si>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</si>
  <si>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</si>
  <si>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</si>
  <si>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</si>
  <si>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</si>
  <si>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</si>
  <si>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</si>
  <si>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</si>
  <si>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</si>
  <si>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</si>
  <si>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</si>
  <si>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</si>
  <si>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</si>
  <si>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</si>
  <si>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</si>
  <si>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</si>
  <si>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</si>
  <si>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</si>
  <si>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</si>
  <si>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</si>
  <si>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</si>
  <si>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</si>
  <si>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</si>
  <si>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</si>
  <si>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</si>
  <si>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</si>
  <si>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</si>
  <si>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</si>
  <si>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</si>
  <si>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</si>
  <si>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</si>
  <si>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</si>
  <si>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</si>
  <si>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</si>
  <si>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</si>
  <si>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</si>
  <si>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</si>
  <si>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</si>
  <si>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</si>
  <si>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</si>
  <si>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</si>
  <si>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</si>
  <si>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</si>
  <si>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</si>
  <si>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</si>
  <si>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</si>
  <si>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</si>
  <si>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</si>
  <si>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</si>
  <si>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</si>
  <si>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</si>
  <si>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</si>
  <si>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</si>
  <si>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</si>
  <si>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</si>
  <si>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</si>
  <si>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</si>
  <si>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</si>
  <si>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</si>
  <si>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</si>
  <si>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</si>
  <si>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</si>
  <si>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</si>
  <si>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</si>
  <si>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</si>
  <si>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</si>
  <si>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</si>
  <si>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</si>
  <si>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</si>
  <si>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</si>
  <si>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</si>
  <si>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</si>
  <si>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</si>
  <si>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</si>
  <si>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</si>
  <si>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</si>
  <si>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</si>
  <si>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</si>
  <si>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</si>
  <si>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</si>
  <si>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</si>
  <si>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</si>
  <si>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</si>
  <si>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</si>
  <si>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</si>
  <si>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</si>
  <si>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</si>
  <si>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</si>
  <si>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</si>
  <si>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</si>
  <si>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</si>
  <si>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</si>
  <si>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</si>
  <si>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</si>
  <si>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</si>
  <si>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</si>
  <si>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</si>
  <si>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</si>
  <si>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</si>
  <si>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</si>
  <si>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</si>
  <si>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</si>
  <si>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</si>
  <si>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</si>
  <si>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</si>
  <si>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</si>
  <si>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</si>
  <si>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</si>
  <si>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</si>
  <si>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</si>
  <si>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</si>
  <si>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</si>
  <si>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</si>
  <si>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</si>
  <si>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</si>
  <si>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</si>
  <si>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</si>
  <si>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</si>
  <si>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</si>
  <si>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</si>
  <si>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</si>
  <si>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</si>
  <si>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</si>
  <si>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</si>
  <si>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</si>
  <si>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</si>
  <si>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</si>
  <si>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</si>
  <si>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</si>
  <si>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</si>
  <si>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</si>
  <si>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</si>
  <si>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</si>
  <si>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</si>
  <si>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</si>
  <si>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</si>
  <si>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</si>
  <si>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</si>
  <si>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</si>
  <si>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</si>
  <si>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</si>
  <si>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</si>
  <si>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</si>
  <si>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</si>
  <si>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</si>
  <si>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</si>
  <si>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</si>
  <si>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</si>
  <si>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</si>
  <si>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</si>
  <si>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</si>
  <si>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</si>
  <si>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</si>
  <si>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</si>
  <si>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</si>
  <si>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</si>
  <si>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</si>
  <si>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</si>
  <si>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</si>
  <si>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</si>
  <si>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</si>
  <si>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</si>
  <si>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</si>
  <si>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</si>
  <si>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</si>
  <si>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</si>
  <si>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</si>
  <si>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</si>
  <si>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</si>
  <si>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</si>
  <si>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</si>
  <si>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</si>
  <si>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</si>
  <si>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</si>
  <si>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</si>
  <si>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</si>
  <si>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</si>
  <si>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</si>
  <si>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</si>
  <si>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</si>
  <si>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</si>
  <si>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</si>
  <si>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</si>
  <si>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</si>
  <si>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</si>
  <si>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</si>
  <si>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</si>
  <si>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</si>
  <si>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</si>
  <si>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</si>
  <si>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</si>
  <si>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</si>
  <si>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</si>
  <si>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</si>
  <si>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</si>
  <si>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</si>
  <si>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</si>
  <si>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</si>
  <si>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</si>
  <si>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</si>
  <si>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</si>
  <si>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</si>
  <si>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</si>
  <si>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</si>
  <si>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</si>
  <si>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</si>
  <si>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</si>
  <si>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</si>
  <si>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</si>
  <si>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</si>
  <si>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</si>
  <si>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</si>
  <si>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</si>
  <si>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</si>
  <si>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</si>
  <si>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</si>
  <si>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</si>
  <si>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</si>
  <si>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</si>
  <si>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</si>
  <si>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</si>
  <si>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</si>
  <si>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</si>
  <si>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</si>
  <si>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</si>
  <si>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</si>
  <si>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</si>
  <si>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</si>
  <si>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</si>
  <si>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</si>
  <si>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</si>
  <si>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</si>
  <si>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</si>
  <si>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</si>
  <si>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</si>
  <si>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</si>
  <si>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</si>
  <si>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</si>
  <si>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</si>
  <si>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</si>
  <si>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</si>
  <si>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</si>
  <si>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</si>
  <si>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</si>
  <si>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</si>
  <si>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</si>
  <si>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</si>
  <si>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</si>
  <si>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</si>
  <si>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</si>
  <si>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</si>
  <si>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</si>
  <si>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</si>
  <si>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</si>
  <si>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</si>
  <si>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</si>
  <si>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</si>
  <si>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</si>
  <si>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</si>
  <si>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</si>
  <si>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</si>
  <si>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</si>
  <si>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</si>
  <si>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</si>
  <si>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</si>
  <si>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</si>
  <si>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</si>
  <si>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</si>
  <si>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</si>
  <si>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</si>
  <si>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</si>
  <si>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</si>
  <si>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</si>
  <si>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</si>
  <si>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</si>
  <si>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</si>
  <si>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</si>
  <si>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</si>
  <si>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</si>
  <si>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</si>
  <si>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</si>
  <si>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</si>
  <si>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</si>
  <si>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</si>
  <si>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</si>
  <si>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</si>
  <si>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</si>
  <si>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</si>
  <si>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</si>
  <si>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</si>
  <si>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</si>
  <si>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</si>
  <si>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</si>
  <si>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</si>
  <si>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</si>
  <si>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</si>
  <si>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</si>
  <si>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</si>
  <si>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</si>
  <si>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</si>
  <si>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</si>
  <si>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</si>
  <si>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</si>
  <si>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</si>
  <si>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</si>
  <si>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</si>
  <si>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</si>
  <si>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</si>
  <si>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</si>
  <si>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</si>
  <si>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</si>
  <si>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</si>
  <si>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</si>
  <si>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</si>
  <si>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</si>
  <si>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</si>
  <si>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</si>
  <si>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</si>
  <si>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</si>
  <si>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</si>
  <si>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</si>
  <si>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</si>
  <si>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</si>
  <si>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</si>
  <si>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</si>
  <si>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</si>
  <si>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</si>
  <si>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</si>
  <si>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</si>
  <si>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</si>
  <si>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</si>
  <si>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</si>
  <si>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</si>
  <si>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</si>
  <si>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</si>
  <si>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</si>
  <si>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</si>
  <si>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</si>
  <si>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</si>
  <si>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</si>
  <si>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</si>
  <si>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</si>
  <si>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</si>
  <si>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</si>
  <si>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</si>
  <si>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</si>
  <si>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</si>
  <si>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</si>
  <si>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</si>
  <si>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</si>
  <si>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</si>
  <si>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</si>
  <si>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</si>
  <si>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</si>
  <si>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</si>
  <si>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</si>
  <si>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</si>
  <si>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</si>
  <si>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</si>
  <si>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</si>
  <si>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</si>
  <si>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</si>
  <si>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</si>
  <si>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</si>
  <si>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</si>
  <si>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</si>
  <si>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</si>
  <si>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</si>
  <si>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</si>
  <si>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</si>
  <si>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</si>
  <si>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</si>
  <si>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</si>
  <si>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</si>
  <si>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</si>
  <si>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</si>
  <si>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</si>
  <si>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</si>
  <si>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</si>
  <si>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</si>
  <si>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</si>
  <si>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</si>
  <si>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</si>
  <si>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</si>
  <si>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</si>
  <si>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</si>
  <si>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</si>
  <si>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</si>
  <si>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</si>
  <si>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</si>
  <si>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</si>
  <si>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</si>
  <si>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</si>
  <si>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</si>
  <si>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</si>
  <si>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</si>
  <si>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</si>
  <si>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</si>
  <si>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</si>
  <si>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</si>
  <si>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</si>
  <si>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</si>
  <si>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</si>
  <si>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</si>
  <si>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</si>
  <si>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</si>
  <si>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</si>
  <si>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</si>
  <si>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</si>
  <si>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</si>
  <si>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</si>
  <si>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</si>
  <si>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</si>
  <si>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</si>
  <si>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</si>
  <si>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</si>
  <si>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</si>
  <si>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</si>
  <si>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</si>
  <si>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</si>
  <si>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</si>
  <si>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</si>
  <si>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</si>
  <si>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</si>
  <si>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</si>
  <si>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</si>
  <si>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</si>
  <si>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</si>
  <si>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</si>
  <si>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</si>
  <si>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</si>
  <si>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</si>
  <si>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</si>
  <si>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</si>
  <si>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</si>
  <si>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</si>
  <si>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</si>
  <si>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</si>
  <si>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</si>
  <si>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</si>
  <si>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</si>
  <si>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</si>
  <si>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</si>
  <si>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</si>
  <si>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</si>
  <si>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</si>
  <si>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</si>
  <si>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</si>
  <si>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</si>
  <si>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</si>
  <si>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</si>
  <si>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</si>
  <si>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</si>
  <si>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</si>
  <si>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</si>
  <si>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</si>
  <si>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</si>
  <si>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</si>
  <si>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</si>
  <si>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</si>
  <si>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</si>
  <si>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</si>
  <si>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</si>
  <si>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</si>
  <si>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</si>
  <si>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</si>
  <si>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</si>
  <si>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</si>
  <si>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</si>
  <si>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</si>
  <si>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</si>
  <si>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</si>
  <si>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</si>
  <si>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</si>
  <si>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</si>
  <si>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</si>
  <si>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</si>
  <si>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</si>
  <si>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</si>
  <si>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</si>
  <si>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</si>
  <si>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</si>
  <si>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</si>
  <si>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</si>
  <si>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</si>
  <si>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</si>
  <si>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</si>
  <si>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</si>
  <si>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</si>
  <si>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</si>
  <si>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</si>
  <si>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</si>
  <si>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</si>
  <si>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</si>
  <si>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</si>
  <si>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</si>
  <si>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</si>
  <si>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</si>
  <si>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</si>
  <si>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</si>
  <si>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</si>
  <si>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</si>
  <si>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</si>
  <si>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</si>
  <si>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</si>
  <si>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</si>
  <si>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</si>
  <si>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</si>
  <si>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</si>
  <si>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</si>
  <si>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</si>
  <si>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</si>
  <si>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</si>
  <si>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</si>
  <si>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</si>
  <si>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</si>
  <si>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</si>
  <si>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</si>
  <si>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</si>
  <si>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</si>
  <si>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</si>
  <si>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</si>
  <si>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</si>
  <si>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</si>
  <si>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</si>
  <si>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</si>
  <si>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</si>
  <si>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</si>
  <si>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</si>
  <si>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</si>
  <si>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</si>
  <si>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</si>
  <si>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</si>
  <si>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</si>
  <si>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</si>
  <si>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</si>
  <si>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</si>
  <si>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</si>
  <si>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</si>
  <si>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</si>
  <si>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</si>
  <si>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</si>
  <si>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</si>
  <si>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</si>
  <si>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</si>
  <si>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</si>
  <si>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</si>
  <si>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</si>
  <si>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</si>
  <si>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</si>
  <si>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</si>
  <si>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</si>
  <si>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</si>
  <si>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</si>
  <si>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</si>
  <si>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</si>
  <si>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</si>
  <si>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</si>
  <si>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</si>
  <si>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</si>
  <si>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</si>
  <si>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</si>
  <si>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</si>
  <si>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</si>
  <si>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</si>
  <si>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</si>
  <si>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</si>
  <si>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</si>
  <si>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</si>
  <si>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</si>
  <si>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</si>
  <si>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</si>
  <si>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</si>
  <si>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</si>
  <si>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</si>
  <si>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</si>
  <si>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</si>
  <si>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</si>
  <si>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</si>
  <si>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</si>
  <si>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</si>
  <si>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</si>
  <si>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</si>
  <si>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</si>
  <si>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</si>
  <si>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</si>
  <si>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</si>
  <si>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</si>
  <si>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</si>
  <si>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</si>
  <si>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</si>
  <si>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</si>
  <si>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</si>
  <si>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</si>
  <si>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</si>
  <si>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</si>
  <si>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</si>
  <si>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</si>
  <si>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</si>
  <si>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</si>
  <si>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</si>
  <si>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</si>
  <si>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</si>
  <si>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</si>
  <si>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</si>
  <si>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</si>
  <si>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</si>
  <si>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</si>
  <si>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</si>
  <si>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</si>
  <si>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</si>
  <si>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</si>
  <si>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</si>
  <si>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</si>
  <si>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</si>
  <si>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</si>
  <si>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</si>
  <si>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</si>
  <si>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</si>
  <si>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</si>
  <si>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</si>
  <si>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</si>
  <si>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</si>
  <si>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</si>
  <si>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</si>
  <si>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</si>
  <si>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</si>
  <si>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</si>
  <si>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</si>
  <si>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</si>
  <si>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</si>
  <si>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</si>
  <si>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</si>
  <si>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</si>
  <si>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</si>
  <si>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</si>
  <si>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</si>
  <si>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</si>
  <si>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</si>
  <si>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</si>
  <si>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</si>
  <si>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</si>
  <si>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</si>
  <si>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</si>
  <si>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</si>
  <si>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</si>
  <si>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</si>
  <si>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</si>
  <si>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</si>
  <si>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</si>
  <si>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</si>
  <si>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</si>
  <si>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</si>
  <si>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</si>
  <si>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</si>
  <si>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</si>
  <si>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</si>
  <si>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</si>
  <si>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</si>
  <si>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</si>
  <si>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</si>
  <si>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</si>
  <si>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</si>
  <si>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</si>
  <si>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</si>
  <si>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</si>
  <si>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</si>
  <si>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</si>
  <si>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</si>
  <si>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</si>
  <si>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</si>
  <si>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</si>
  <si>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</si>
  <si>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</si>
  <si>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</si>
  <si>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</si>
  <si>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</si>
  <si>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</si>
  <si>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</si>
  <si>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</si>
  <si>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</si>
  <si>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</si>
  <si>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</si>
  <si>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</si>
  <si>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</si>
  <si>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</si>
  <si>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</si>
  <si>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</si>
  <si>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</si>
  <si>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</si>
  <si>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</si>
  <si>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</si>
  <si>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</si>
  <si>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</si>
  <si>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</si>
  <si>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</si>
  <si>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</si>
  <si>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</si>
  <si>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</si>
  <si>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</si>
  <si>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</si>
  <si>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</si>
  <si>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</si>
  <si>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</si>
  <si>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</si>
  <si>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</si>
  <si>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</si>
  <si>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</si>
  <si>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</si>
  <si>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</si>
  <si>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</si>
  <si>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</si>
  <si>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</si>
  <si>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</si>
  <si>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</si>
  <si>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</si>
  <si>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</si>
  <si>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</si>
  <si>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</si>
  <si>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</si>
  <si>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</si>
  <si>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</si>
  <si>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</si>
  <si>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</si>
  <si>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</si>
  <si>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</si>
  <si>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</si>
  <si>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</si>
  <si>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</si>
  <si>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</si>
  <si>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</si>
  <si>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</si>
  <si>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</si>
  <si>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</si>
  <si>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</si>
  <si>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</si>
  <si>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</si>
  <si>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</si>
  <si>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</si>
  <si>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</si>
  <si>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</si>
  <si>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</si>
  <si>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</si>
  <si>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</si>
  <si>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</si>
  <si>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</si>
  <si>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</si>
  <si>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</si>
  <si>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</si>
  <si>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</si>
  <si>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</si>
  <si>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</si>
  <si>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</si>
  <si>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</si>
  <si>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</si>
  <si>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</si>
  <si>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</si>
  <si>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</si>
  <si>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</si>
  <si>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</si>
  <si>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</si>
  <si>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</si>
  <si>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</si>
  <si>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</si>
  <si>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</si>
  <si>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</si>
  <si>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</si>
  <si>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</si>
  <si>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</si>
  <si>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</si>
  <si>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</si>
  <si>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</si>
  <si>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</si>
  <si>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</si>
  <si>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</si>
  <si>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</si>
  <si>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</si>
  <si>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</si>
  <si>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</si>
  <si>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</si>
  <si>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</si>
  <si>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</si>
  <si>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</si>
  <si>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</si>
  <si>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</si>
  <si>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</si>
  <si>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</si>
  <si>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</si>
  <si>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</si>
  <si>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</si>
  <si>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</si>
  <si>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</si>
  <si>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</si>
  <si>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</si>
  <si>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</si>
  <si>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</si>
  <si>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</si>
  <si>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</si>
  <si>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</si>
  <si>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</si>
  <si>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</si>
  <si>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</si>
  <si>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</si>
  <si>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</si>
  <si>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</si>
  <si>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</si>
  <si>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</si>
  <si>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</si>
  <si>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</si>
  <si>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</si>
  <si>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</si>
  <si>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</si>
  <si>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</si>
  <si>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</si>
  <si>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</si>
  <si>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</si>
  <si>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</si>
  <si>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</si>
  <si>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</si>
  <si>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</si>
  <si>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</si>
  <si>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</si>
  <si>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</si>
  <si>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</si>
  <si>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</si>
  <si>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</si>
  <si>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</si>
  <si>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</si>
  <si>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</si>
  <si>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</si>
  <si>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</si>
  <si>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</si>
  <si>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</si>
  <si>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</si>
  <si>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</si>
  <si>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</si>
  <si>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</si>
  <si>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</si>
  <si>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</si>
  <si>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</si>
  <si>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</si>
  <si>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</si>
  <si>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</si>
  <si>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</si>
  <si>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</si>
  <si>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</si>
  <si>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</si>
  <si>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</si>
  <si>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</si>
  <si>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</si>
  <si>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</si>
  <si>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</si>
  <si>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</si>
  <si>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</si>
  <si>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</si>
  <si>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</si>
  <si>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</si>
  <si>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</si>
  <si>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</si>
  <si>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</si>
  <si>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</si>
  <si>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</si>
  <si>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</si>
  <si>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</si>
  <si>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</si>
  <si>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</si>
  <si>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</si>
  <si>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</si>
  <si>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</si>
  <si>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</si>
  <si>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</si>
  <si>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</si>
  <si>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</si>
  <si>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</si>
  <si>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</si>
  <si>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</si>
  <si>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</si>
  <si>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</si>
  <si>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</si>
  <si>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</si>
  <si>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</si>
  <si>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</si>
  <si>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</si>
  <si>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</si>
  <si>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</si>
  <si>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</si>
  <si>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</si>
  <si>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</si>
  <si>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</si>
  <si>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</si>
  <si>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</si>
  <si>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</si>
  <si>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</si>
  <si>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</si>
  <si>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</si>
  <si>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</si>
  <si>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</si>
  <si>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</si>
  <si>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</si>
  <si>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</si>
  <si>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</si>
  <si>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</si>
  <si>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</si>
  <si>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</si>
  <si>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</si>
  <si>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</si>
  <si>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</si>
  <si>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</si>
  <si>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</si>
  <si>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</si>
  <si>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</si>
  <si>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</si>
  <si>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</si>
  <si>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</si>
  <si>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</si>
  <si>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</si>
  <si>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</si>
  <si>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</si>
  <si>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</si>
  <si>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</si>
  <si>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</si>
  <si>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</si>
  <si>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</si>
  <si>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</si>
  <si>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</si>
  <si>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</si>
  <si>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</si>
  <si>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</si>
  <si>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</si>
  <si>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</si>
  <si>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</si>
  <si>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</si>
  <si>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</si>
  <si>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</si>
  <si>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</si>
  <si>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</si>
  <si>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</si>
  <si>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</si>
  <si>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</si>
  <si>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</si>
  <si>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</si>
  <si>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</si>
  <si>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</si>
  <si>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</si>
  <si>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</si>
  <si>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</si>
  <si>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</si>
  <si>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</si>
  <si>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</si>
  <si>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</si>
  <si>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</si>
  <si>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</si>
  <si>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</si>
  <si>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</si>
  <si>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</si>
  <si>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</si>
  <si>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</si>
  <si>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</si>
  <si>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</si>
  <si>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</si>
  <si>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</si>
  <si>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</si>
  <si>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</si>
  <si>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</si>
  <si>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</si>
  <si>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</si>
  <si>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</si>
  <si>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</si>
  <si>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</si>
  <si>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</si>
  <si>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</si>
  <si>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</si>
  <si>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</si>
  <si>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</si>
  <si>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</si>
  <si>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</si>
  <si>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</si>
  <si>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</si>
  <si>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</si>
  <si>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</si>
  <si>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</si>
  <si>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</si>
  <si>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</si>
  <si>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</si>
  <si>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</si>
  <si>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</si>
  <si>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</si>
  <si>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</si>
  <si>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</si>
  <si>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</si>
  <si>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</si>
  <si>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</si>
  <si>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</si>
  <si>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</si>
  <si>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</si>
  <si>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</si>
  <si>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</si>
  <si>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</si>
  <si>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</si>
  <si>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</si>
  <si>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</si>
  <si>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</si>
  <si>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</si>
  <si>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</si>
  <si>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</si>
  <si>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</si>
  <si>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</si>
  <si>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</si>
  <si>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</si>
  <si>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</si>
  <si>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</si>
  <si>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</si>
  <si>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</si>
  <si>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</si>
  <si>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</si>
  <si>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</si>
  <si>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</si>
  <si>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</si>
  <si>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</si>
  <si>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</si>
  <si>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</si>
  <si>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</si>
  <si>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</si>
  <si>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</si>
  <si>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</si>
  <si>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</si>
  <si>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</si>
  <si>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</si>
  <si>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</si>
  <si>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</si>
  <si>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</si>
  <si>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</si>
  <si>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</si>
  <si>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</si>
  <si>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</si>
  <si>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</si>
  <si>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</si>
  <si>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</si>
  <si>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</si>
  <si>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</si>
  <si>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</si>
  <si>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</si>
  <si>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</si>
  <si>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</si>
  <si>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</si>
  <si>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</si>
  <si>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</si>
  <si>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</si>
  <si>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</si>
  <si>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</si>
  <si>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</si>
  <si>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</si>
  <si>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</si>
  <si>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</si>
  <si>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</si>
  <si>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</si>
  <si>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</si>
  <si>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</si>
  <si>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</si>
  <si>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</si>
  <si>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</si>
  <si>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</si>
  <si>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</si>
  <si>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</si>
  <si>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</si>
  <si>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</si>
  <si>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</si>
  <si>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</si>
  <si>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</si>
  <si>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</si>
  <si>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</si>
  <si>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</si>
  <si>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</si>
  <si>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</si>
  <si>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</si>
  <si>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</si>
  <si>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</si>
  <si>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</si>
  <si>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</si>
  <si>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</si>
  <si>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</si>
  <si>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</si>
  <si>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</si>
  <si>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</si>
  <si>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</si>
  <si>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</si>
  <si>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</si>
  <si>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</si>
  <si>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</si>
  <si>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</si>
  <si>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</si>
  <si>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</si>
  <si>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</si>
  <si>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</si>
  <si>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</si>
  <si>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</si>
  <si>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</si>
  <si>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</si>
  <si>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</si>
  <si>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</si>
  <si>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</si>
  <si>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</si>
  <si>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</si>
  <si>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</si>
  <si>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</si>
  <si>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</si>
  <si>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</si>
  <si>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</si>
  <si>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</si>
  <si>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</si>
  <si>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</si>
  <si>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</si>
  <si>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</si>
  <si>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</si>
  <si>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</si>
  <si>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</si>
  <si>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</si>
  <si>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</si>
  <si>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</si>
  <si>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</si>
  <si>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</si>
  <si>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</si>
  <si>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</si>
  <si>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</si>
  <si>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</si>
  <si>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</si>
  <si>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</si>
  <si>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</si>
  <si>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</si>
  <si>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</si>
  <si>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</si>
  <si>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</si>
  <si>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</si>
  <si>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</si>
  <si>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</si>
  <si>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</si>
  <si>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</si>
  <si>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</si>
  <si>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</si>
  <si>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</si>
  <si>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</si>
  <si>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</si>
  <si>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</si>
  <si>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</si>
  <si>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</si>
  <si>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</si>
  <si>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</si>
  <si>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</si>
  <si>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</si>
  <si>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</si>
  <si>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</si>
  <si>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</si>
  <si>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</si>
  <si>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</si>
  <si>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</si>
  <si>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</si>
  <si>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</si>
  <si>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</si>
  <si>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</si>
  <si>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</si>
  <si>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</si>
  <si>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</si>
  <si>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</si>
  <si>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</si>
  <si>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</si>
  <si>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</si>
  <si>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</si>
  <si>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</si>
  <si>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</si>
  <si>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</si>
  <si>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</si>
  <si>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</si>
  <si>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</si>
  <si>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</si>
  <si>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</si>
  <si>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</si>
  <si>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</si>
  <si>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</si>
  <si>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</si>
  <si>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</si>
  <si>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</si>
  <si>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</si>
  <si>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</si>
  <si>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</si>
  <si>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</si>
  <si>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</si>
  <si>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</si>
  <si>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</si>
  <si>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</si>
  <si>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</si>
  <si>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</si>
  <si>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</si>
  <si>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</si>
  <si>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</si>
  <si>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</si>
  <si>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</si>
  <si>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</si>
  <si>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</si>
  <si>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</si>
  <si>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</si>
  <si>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</si>
  <si>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</si>
  <si>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</si>
  <si>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</si>
  <si>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</si>
  <si>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</si>
  <si>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</si>
  <si>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</si>
  <si>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</si>
  <si>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</si>
  <si>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</si>
  <si>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</si>
  <si>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</si>
  <si>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</si>
  <si>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</si>
  <si>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</si>
  <si>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</si>
  <si>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</si>
  <si>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</si>
  <si>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</si>
  <si>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</si>
  <si>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</si>
  <si>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</si>
  <si>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</si>
  <si>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</si>
  <si>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</si>
  <si>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</si>
  <si>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</si>
  <si>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</si>
  <si>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</si>
  <si>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</si>
  <si>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</si>
  <si>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</si>
  <si>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</si>
  <si>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</si>
  <si>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</si>
  <si>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</si>
  <si>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</si>
  <si>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</si>
  <si>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</si>
  <si>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</si>
  <si>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</si>
  <si>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</si>
  <si>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</si>
  <si>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</si>
  <si>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</si>
  <si>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</si>
  <si>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</si>
  <si>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</si>
  <si>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</si>
  <si>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</si>
  <si>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</si>
  <si>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</si>
  <si>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</si>
  <si>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</si>
  <si>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</si>
  <si>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</si>
  <si>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</si>
  <si>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</si>
  <si>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</si>
  <si>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</si>
  <si>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</si>
  <si>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</si>
  <si>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</si>
  <si>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</si>
  <si>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</si>
  <si>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</si>
  <si>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</si>
  <si>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</si>
  <si>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</si>
  <si>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</si>
  <si>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</si>
  <si>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</si>
  <si>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</si>
  <si>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</si>
  <si>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</si>
  <si>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</si>
  <si>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</si>
  <si>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</si>
  <si>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</si>
  <si>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</si>
  <si>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</si>
  <si>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</si>
  <si>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</si>
  <si>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</si>
  <si>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</si>
  <si>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</si>
  <si>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</si>
  <si>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</si>
  <si>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</si>
  <si>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</si>
  <si>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</si>
  <si>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</si>
  <si>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</si>
  <si>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</si>
  <si>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</si>
  <si>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</si>
  <si>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</si>
  <si>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</si>
  <si>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</si>
  <si>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</si>
  <si>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</si>
  <si>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</si>
  <si>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</si>
  <si>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</si>
  <si>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</si>
  <si>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</si>
  <si>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</si>
  <si>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</si>
  <si>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</si>
  <si>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</si>
  <si>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</si>
  <si>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</si>
  <si>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</si>
  <si>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</si>
  <si>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</si>
  <si>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</si>
  <si>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</si>
  <si>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</si>
  <si>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</si>
  <si>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</si>
  <si>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</si>
  <si>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</si>
  <si>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</si>
  <si>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</si>
  <si>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</si>
  <si>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</si>
  <si>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</si>
  <si>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</si>
  <si>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</si>
  <si>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</si>
  <si>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</si>
  <si>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</si>
  <si>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</si>
  <si>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</si>
  <si>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</si>
  <si>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</si>
  <si>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</si>
  <si>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</si>
  <si>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</si>
  <si>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</si>
  <si>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</si>
  <si>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</si>
  <si>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</si>
  <si>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</si>
  <si>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</si>
  <si>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</si>
  <si>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</si>
  <si>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</si>
  <si>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</si>
  <si>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</si>
  <si>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</si>
  <si>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</si>
  <si>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</si>
  <si>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</si>
  <si>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</si>
  <si>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</si>
  <si>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</si>
  <si>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</si>
  <si>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</si>
  <si>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</si>
  <si>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</si>
  <si>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</si>
  <si>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</si>
  <si>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</si>
  <si>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</si>
  <si>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</si>
  <si>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</si>
  <si>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</si>
  <si>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</si>
  <si>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</si>
  <si>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</si>
  <si>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</si>
  <si>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</si>
  <si>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</si>
  <si>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</si>
  <si>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</si>
  <si>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</si>
  <si>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</si>
  <si>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</si>
  <si>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</si>
  <si>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</si>
  <si>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</si>
  <si>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</si>
  <si>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</si>
  <si>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</si>
  <si>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</si>
  <si>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</si>
  <si>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</si>
  <si>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</si>
  <si>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</si>
  <si>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</si>
  <si>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</si>
  <si>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</si>
  <si>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</si>
  <si>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</si>
  <si>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</si>
  <si>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</si>
  <si>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</si>
  <si>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</si>
  <si>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</si>
  <si>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</si>
  <si>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</si>
  <si>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</si>
  <si>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</si>
  <si>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</si>
  <si>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</si>
  <si>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</si>
  <si>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</si>
  <si>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</si>
  <si>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</si>
  <si>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</si>
  <si>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</si>
  <si>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</si>
  <si>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</si>
  <si>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</si>
  <si>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</si>
  <si>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</si>
  <si>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</si>
  <si>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</si>
  <si>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</si>
  <si>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</si>
  <si>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</si>
  <si>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</si>
  <si>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</si>
  <si>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</si>
  <si>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</si>
  <si>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</si>
  <si>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</si>
  <si>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</si>
  <si>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</si>
  <si>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</si>
  <si>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</si>
  <si>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</si>
  <si>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</si>
  <si>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</si>
  <si>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</si>
  <si>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</si>
  <si>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</si>
  <si>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</si>
  <si>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</si>
  <si>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</si>
  <si>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</si>
  <si>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</si>
  <si>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</si>
  <si>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</si>
  <si>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</si>
  <si>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</si>
  <si>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</si>
  <si>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</si>
  <si>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</si>
  <si>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</si>
  <si>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</si>
  <si>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</si>
  <si>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</si>
  <si>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</si>
  <si>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</si>
  <si>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</si>
  <si>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</si>
  <si>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</si>
  <si>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</si>
  <si>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</si>
  <si>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</si>
  <si>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</si>
  <si>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</si>
  <si>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</si>
  <si>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</si>
  <si>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</si>
  <si>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</si>
  <si>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</si>
  <si>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</si>
  <si>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</si>
  <si>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</si>
  <si>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</si>
  <si>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</si>
  <si>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</si>
  <si>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</si>
  <si>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</si>
  <si>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</si>
  <si>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</si>
  <si>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</si>
  <si>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</si>
  <si>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</si>
  <si>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</si>
  <si>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</si>
  <si>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</si>
  <si>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</si>
  <si>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</si>
  <si>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</si>
  <si>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</si>
  <si>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</si>
  <si>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</si>
  <si>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</si>
  <si>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</si>
  <si>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</si>
  <si>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</si>
  <si>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</si>
  <si>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</si>
  <si>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</si>
  <si>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</si>
  <si>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</si>
  <si>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</si>
  <si>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</si>
  <si>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</si>
  <si>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</si>
  <si>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</si>
  <si>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</si>
  <si>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</si>
  <si>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</si>
  <si>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</si>
  <si>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</si>
  <si>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</si>
  <si>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</si>
  <si>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</si>
  <si>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</si>
  <si>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</si>
  <si>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</si>
  <si>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</si>
  <si>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</si>
  <si>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</si>
  <si>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</si>
  <si>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</si>
  <si>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</si>
  <si>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</si>
  <si>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</si>
  <si>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</si>
  <si>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</si>
  <si>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</si>
  <si>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</si>
  <si>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</si>
  <si>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</si>
  <si>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</si>
  <si>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</si>
  <si>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</si>
  <si>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</si>
  <si>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</si>
  <si>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</si>
  <si>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</si>
  <si>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</si>
  <si>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</si>
  <si>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</si>
  <si>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</si>
  <si>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</si>
  <si>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</si>
  <si>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</si>
  <si>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</si>
  <si>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</si>
  <si>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</si>
  <si>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</si>
  <si>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</si>
  <si>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</si>
  <si>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</si>
  <si>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</si>
  <si>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</si>
  <si>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</si>
  <si>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</si>
  <si>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</si>
  <si>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</si>
  <si>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</si>
  <si>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</si>
  <si>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</si>
  <si>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</si>
  <si>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</si>
  <si>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</si>
  <si>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</si>
  <si>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</si>
  <si>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</si>
  <si>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</si>
  <si>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</si>
  <si>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</si>
  <si>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</si>
  <si>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</si>
  <si>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</si>
  <si>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</si>
  <si>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</si>
  <si>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</si>
  <si>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</si>
  <si>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</si>
  <si>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</si>
  <si>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</si>
  <si>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</si>
  <si>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</si>
  <si>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</si>
  <si>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</si>
  <si>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</si>
  <si>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</si>
  <si>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</si>
  <si>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</si>
  <si>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</si>
  <si>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</si>
  <si>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</si>
  <si>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</si>
  <si>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</si>
  <si>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</si>
  <si>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</si>
  <si>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</si>
  <si>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</si>
  <si>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</si>
  <si>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</si>
  <si>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</si>
  <si>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</si>
  <si>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</si>
  <si>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</si>
  <si>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</si>
  <si>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</si>
  <si>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</si>
  <si>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</si>
  <si>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</si>
  <si>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</si>
  <si>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</si>
  <si>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</si>
  <si>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</si>
  <si>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</si>
  <si>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</si>
  <si>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</si>
  <si>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</si>
  <si>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</si>
  <si>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</si>
  <si>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</si>
  <si>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</si>
  <si>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</si>
  <si>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</si>
  <si>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</si>
  <si>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</si>
  <si>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</si>
  <si>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</si>
  <si>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</si>
  <si>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</si>
  <si>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</si>
  <si>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</si>
  <si>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</si>
  <si>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</si>
  <si>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</si>
  <si>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</si>
  <si>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</si>
  <si>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</si>
  <si>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</si>
  <si>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</si>
  <si>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</si>
  <si>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</si>
  <si>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</si>
  <si>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</si>
  <si>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</si>
  <si>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</si>
  <si>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</si>
  <si>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</si>
  <si>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</si>
  <si>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</si>
  <si>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</si>
  <si>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</si>
  <si>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</si>
  <si>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</si>
  <si>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</si>
  <si>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</si>
  <si>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</si>
  <si>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</si>
  <si>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</si>
  <si>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</si>
  <si>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</si>
  <si>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</si>
  <si>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</si>
  <si>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</si>
  <si>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</si>
  <si>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</si>
  <si>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</si>
  <si>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</si>
  <si>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</si>
  <si>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</si>
  <si>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</si>
  <si>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</si>
  <si>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</si>
  <si>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</si>
  <si>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</si>
  <si>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</si>
  <si>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</si>
  <si>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</si>
  <si>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</si>
  <si>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</si>
  <si>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</si>
  <si>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</si>
  <si>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</si>
  <si>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</si>
  <si>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</si>
  <si>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</si>
  <si>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</si>
  <si>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</si>
  <si>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</si>
  <si>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</si>
  <si>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</si>
  <si>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</si>
  <si>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</si>
  <si>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</si>
  <si>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</si>
  <si>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</si>
  <si>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</si>
  <si>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</si>
  <si>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</si>
  <si>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</si>
  <si>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</si>
  <si>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</si>
  <si>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</si>
  <si>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</si>
  <si>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</si>
  <si>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</si>
  <si>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</si>
  <si>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</si>
  <si>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</si>
  <si>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</si>
  <si>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</si>
  <si>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</si>
  <si>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</si>
  <si>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</si>
  <si>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</si>
  <si>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</si>
  <si>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</si>
  <si>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</si>
  <si>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</si>
  <si>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</si>
  <si>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</si>
  <si>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</si>
  <si>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</si>
  <si>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</si>
  <si>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</si>
  <si>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</si>
  <si>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</si>
  <si>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</si>
  <si>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</si>
  <si>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</si>
  <si>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</si>
  <si>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</si>
  <si>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</si>
  <si>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</si>
  <si>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</si>
  <si>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</si>
  <si>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</si>
  <si>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</si>
  <si>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</si>
  <si>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</si>
  <si>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</si>
  <si>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</si>
  <si>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</si>
  <si>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</si>
  <si>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</si>
  <si>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</si>
  <si>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</si>
  <si>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</si>
  <si>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</si>
  <si>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</si>
  <si>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</si>
  <si>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</si>
  <si>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</si>
  <si>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</si>
  <si>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</si>
  <si>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</si>
  <si>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</si>
  <si>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</si>
  <si>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</si>
  <si>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</si>
  <si>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</si>
  <si>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</si>
  <si>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</si>
  <si>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</si>
  <si>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</si>
  <si>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</si>
  <si>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</si>
  <si>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</si>
  <si>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</si>
  <si>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</si>
  <si>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</si>
  <si>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</si>
  <si>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</si>
  <si>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</si>
  <si>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</si>
  <si>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</si>
  <si>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</si>
  <si>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</si>
  <si>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</si>
  <si>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</si>
  <si>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</si>
  <si>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</si>
  <si>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</si>
  <si>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</si>
  <si>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</si>
  <si>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</si>
  <si>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</si>
  <si>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</si>
  <si>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</si>
  <si>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</si>
  <si>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</si>
  <si>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</si>
  <si>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</si>
  <si>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</si>
  <si>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</si>
  <si>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</si>
  <si>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</si>
  <si>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</si>
  <si>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</si>
  <si>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</si>
  <si>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</si>
  <si>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</si>
  <si>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</si>
  <si>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</si>
  <si>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</si>
  <si>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</si>
  <si>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</si>
  <si>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</si>
  <si>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</si>
  <si>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</si>
  <si>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</si>
  <si>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</si>
  <si>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</si>
  <si>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</si>
  <si>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</si>
  <si>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</si>
  <si>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</si>
  <si>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</si>
  <si>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</si>
  <si>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</si>
  <si>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</si>
  <si>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</si>
  <si>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</si>
  <si>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</si>
  <si>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</si>
  <si>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</si>
  <si>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</si>
  <si>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</si>
  <si>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</si>
  <si>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</si>
  <si>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</si>
  <si>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</si>
  <si>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</si>
  <si>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</si>
  <si>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</si>
  <si>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</si>
  <si>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</si>
  <si>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</si>
  <si>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</si>
  <si>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</si>
  <si>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</si>
  <si>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</si>
  <si>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</si>
  <si>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</si>
  <si>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</si>
  <si>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</si>
  <si>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</si>
  <si>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</si>
  <si>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</si>
  <si>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</si>
  <si>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</si>
  <si>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</si>
  <si>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</si>
  <si>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</si>
  <si>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</si>
  <si>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</si>
  <si>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</si>
  <si>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</si>
  <si>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</si>
  <si>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</si>
  <si>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</si>
  <si>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</si>
  <si>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</si>
  <si>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</si>
  <si>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</si>
  <si>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</si>
  <si>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</si>
  <si>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</si>
  <si>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</si>
  <si>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</si>
  <si>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</si>
  <si>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</si>
  <si>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</si>
  <si>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</si>
  <si>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</si>
  <si>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</si>
  <si>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</si>
  <si>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</si>
  <si>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</si>
  <si>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</si>
  <si>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</si>
  <si>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</si>
  <si>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</si>
  <si>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</si>
  <si>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</si>
  <si>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</si>
  <si>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</si>
  <si>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</si>
  <si>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</si>
  <si>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</si>
  <si>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</si>
  <si>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</si>
  <si>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</si>
  <si>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</si>
  <si>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</si>
  <si>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</si>
  <si>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</si>
  <si>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</si>
  <si>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</si>
  <si>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</si>
  <si>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</si>
  <si>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</si>
  <si>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</si>
  <si>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</si>
  <si>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</si>
  <si>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</si>
  <si>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</si>
  <si>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</si>
  <si>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</si>
  <si>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</si>
  <si>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</si>
  <si>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</si>
  <si>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</si>
  <si>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</si>
  <si>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</si>
  <si>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</si>
  <si>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</si>
  <si>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</si>
  <si>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</si>
  <si>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</si>
  <si>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</si>
  <si>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</si>
  <si>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</si>
  <si>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</si>
  <si>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</si>
  <si>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</si>
  <si>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</si>
  <si>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</si>
  <si>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</si>
  <si>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</si>
  <si>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</si>
  <si>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</si>
  <si>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</si>
  <si>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</si>
  <si>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</si>
  <si>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</si>
  <si>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</si>
  <si>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</si>
  <si>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</si>
  <si>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</si>
  <si>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</si>
  <si>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</si>
  <si>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</si>
  <si>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</si>
  <si>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</si>
  <si>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</si>
  <si>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</si>
  <si>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</si>
  <si>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</si>
  <si>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</si>
  <si>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</si>
  <si>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</si>
  <si>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</si>
  <si>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</si>
  <si>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</si>
  <si>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</si>
  <si>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</si>
  <si>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</si>
  <si>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</si>
  <si>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</si>
  <si>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</si>
  <si>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</si>
  <si>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</si>
  <si>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</si>
  <si>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</si>
  <si>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</si>
  <si>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</si>
  <si>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</si>
  <si>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</si>
  <si>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</si>
  <si>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</si>
  <si>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</si>
  <si>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</si>
  <si>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</si>
  <si>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</si>
  <si>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</si>
  <si>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</si>
  <si>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</si>
  <si>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</si>
  <si>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</si>
  <si>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</si>
  <si>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</si>
  <si>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</si>
  <si>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</si>
  <si>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</si>
  <si>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</si>
  <si>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</si>
  <si>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</si>
  <si>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</si>
  <si>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</si>
  <si>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</si>
  <si>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</si>
  <si>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</si>
  <si>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</si>
  <si>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</si>
  <si>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</si>
  <si>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</si>
  <si>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</si>
  <si>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</si>
  <si>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</si>
  <si>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</si>
  <si>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</si>
  <si>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</si>
  <si>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</si>
  <si>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</si>
  <si>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</si>
  <si>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</si>
  <si>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</si>
  <si>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</si>
  <si>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</si>
  <si>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</si>
  <si>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</si>
  <si>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</si>
  <si>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</si>
  <si>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</si>
  <si>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</si>
  <si>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</si>
  <si>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</si>
  <si>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</si>
  <si>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</si>
  <si>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</si>
  <si>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</si>
  <si>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</si>
  <si>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</si>
  <si>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</si>
  <si>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</si>
  <si>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</si>
  <si>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</si>
  <si>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</si>
  <si>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</si>
  <si>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</si>
  <si>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</si>
  <si>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</si>
  <si>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</si>
  <si>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</si>
  <si>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</si>
  <si>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</si>
  <si>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</si>
  <si>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</si>
  <si>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</si>
  <si>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</si>
  <si>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</si>
  <si>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</si>
  <si>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</si>
  <si>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</si>
  <si>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</si>
  <si>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</si>
  <si>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</si>
  <si>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</si>
  <si>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</si>
  <si>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</si>
  <si>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</si>
  <si>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</si>
  <si>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</si>
  <si>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</si>
  <si>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</si>
  <si>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</si>
  <si>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</si>
  <si>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</si>
  <si>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</si>
  <si>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</si>
  <si>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</si>
  <si>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</si>
  <si>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</si>
  <si>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</si>
  <si>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</si>
  <si>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</si>
  <si>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</si>
  <si>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</si>
  <si>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</si>
  <si>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</si>
  <si>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</si>
  <si>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</si>
  <si>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</si>
  <si>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</si>
  <si>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</si>
  <si>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</si>
  <si>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</si>
  <si>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</si>
  <si>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</si>
  <si>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</si>
  <si>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</si>
  <si>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</si>
  <si>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</si>
  <si>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</si>
  <si>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</si>
  <si>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</si>
  <si>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</si>
  <si>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</si>
  <si>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</si>
  <si>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</si>
  <si>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</si>
  <si>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</si>
  <si>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</si>
  <si>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</si>
  <si>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</si>
  <si>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</si>
  <si>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</si>
  <si>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</si>
  <si>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</si>
  <si>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</si>
  <si>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</si>
  <si>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</si>
  <si>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</si>
  <si>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</si>
  <si>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</si>
  <si>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</si>
  <si>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</si>
  <si>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</si>
  <si>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</si>
  <si>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</si>
  <si>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</si>
  <si>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</si>
  <si>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</si>
  <si>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</si>
  <si>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</si>
  <si>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</si>
  <si>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</si>
  <si>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</si>
  <si>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</si>
  <si>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</si>
  <si>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</si>
  <si>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</si>
  <si>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</si>
  <si>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</si>
  <si>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</si>
  <si>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</si>
  <si>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</si>
  <si>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</si>
  <si>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</si>
  <si>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</si>
  <si>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</si>
  <si>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</si>
  <si>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</si>
  <si>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</si>
  <si>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</si>
  <si>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</si>
  <si>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</si>
  <si>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</si>
  <si>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</si>
  <si>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</si>
  <si>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</si>
  <si>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</si>
  <si>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</si>
  <si>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</si>
  <si>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</si>
  <si>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</si>
  <si>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</si>
  <si>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</si>
  <si>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</si>
  <si>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</si>
  <si>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</si>
  <si>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</si>
  <si>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</si>
  <si>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</si>
  <si>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</si>
  <si>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</si>
  <si>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</si>
  <si>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</si>
  <si>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</si>
  <si>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</si>
  <si>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</si>
  <si>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</si>
  <si>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</si>
  <si>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</si>
  <si>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</si>
  <si>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</si>
  <si>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</si>
  <si>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</si>
  <si>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</si>
  <si>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</si>
  <si>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</si>
  <si>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</si>
  <si>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</si>
  <si>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</si>
  <si>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</si>
  <si>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</si>
  <si>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</si>
  <si>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</si>
  <si>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</si>
  <si>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</si>
  <si>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</si>
  <si>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</si>
  <si>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</si>
  <si>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</si>
  <si>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</si>
  <si>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</si>
  <si>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</si>
  <si>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</si>
  <si>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</si>
  <si>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</si>
  <si>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</si>
  <si>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</si>
  <si>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</si>
  <si>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</si>
  <si>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</si>
  <si>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</si>
  <si>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</si>
  <si>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</si>
  <si>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</si>
  <si>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</si>
  <si>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</si>
  <si>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</si>
  <si>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</si>
  <si>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</si>
  <si>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</si>
  <si>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</si>
  <si>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</si>
  <si>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</si>
  <si>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</si>
  <si>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</si>
  <si>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</si>
  <si>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</si>
  <si>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</si>
  <si>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</si>
  <si>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</si>
  <si>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</si>
  <si>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</si>
  <si>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</si>
  <si>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</si>
  <si>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</si>
  <si>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</si>
  <si>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</si>
  <si>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</si>
  <si>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</si>
  <si>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</si>
  <si>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</si>
  <si>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</si>
  <si>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</si>
  <si>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</si>
  <si>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</si>
  <si>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</si>
  <si>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</si>
  <si>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</si>
  <si>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</si>
  <si>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</si>
  <si>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</si>
  <si>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</si>
  <si>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</si>
  <si>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</si>
  <si>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</si>
  <si>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</si>
  <si>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</si>
  <si>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</si>
  <si>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</si>
  <si>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</si>
  <si>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</si>
  <si>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</si>
  <si>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</si>
  <si>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</si>
  <si>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</si>
  <si>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</si>
  <si>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</si>
  <si>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</si>
  <si>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</si>
  <si>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</si>
  <si>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</si>
  <si>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</si>
  <si>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</si>
  <si>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</si>
  <si>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</si>
  <si>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</si>
  <si>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</si>
  <si>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</si>
  <si>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</si>
  <si>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</si>
  <si>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</si>
  <si>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</si>
  <si>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</si>
  <si>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</si>
  <si>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</si>
  <si>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</si>
  <si>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</si>
  <si>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</si>
  <si>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</si>
  <si>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</si>
  <si>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</si>
  <si>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</si>
  <si>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</si>
  <si>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</si>
  <si>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</si>
  <si>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</si>
  <si>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</si>
  <si>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</si>
  <si>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</si>
  <si>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</si>
  <si>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</si>
  <si>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</si>
  <si>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</si>
  <si>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</si>
  <si>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</si>
  <si>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</si>
  <si>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</si>
  <si>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</si>
  <si>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</si>
  <si>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</si>
  <si>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</si>
  <si>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</si>
  <si>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</si>
  <si>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</si>
  <si>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</si>
  <si>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</si>
  <si>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</si>
  <si>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</si>
  <si>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</si>
  <si>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</si>
  <si>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</si>
  <si>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</si>
  <si>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</si>
  <si>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</si>
  <si>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</si>
  <si>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</si>
  <si>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</si>
  <si>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</si>
  <si>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</si>
  <si>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</si>
  <si>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</si>
  <si>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</si>
  <si>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</si>
  <si>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</si>
  <si>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</si>
  <si>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</si>
  <si>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</si>
  <si>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</si>
  <si>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</si>
  <si>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</si>
  <si>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</si>
  <si>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</si>
  <si>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</si>
  <si>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</si>
  <si>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</si>
  <si>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</si>
  <si>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</si>
  <si>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</si>
  <si>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</si>
  <si>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</si>
  <si>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</si>
  <si>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</si>
  <si>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</si>
  <si>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</si>
  <si>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</si>
  <si>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</si>
  <si>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</si>
  <si>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</si>
  <si>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</si>
  <si>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</si>
  <si>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</si>
  <si>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</si>
  <si>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</si>
  <si>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</si>
  <si>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</si>
  <si>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</si>
  <si>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</si>
  <si>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</si>
  <si>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</si>
  <si>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</si>
  <si>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</si>
  <si>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</si>
  <si>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</si>
  <si>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</si>
  <si>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</si>
  <si>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</si>
  <si>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</si>
  <si>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</si>
  <si>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</si>
  <si>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</si>
  <si>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</si>
  <si>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</si>
  <si>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</si>
  <si>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</si>
  <si>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</si>
  <si>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</si>
  <si>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</si>
  <si>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</si>
  <si>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</si>
  <si>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</si>
  <si>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</si>
  <si>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</si>
  <si>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</si>
  <si>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</si>
  <si>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</si>
  <si>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</si>
  <si>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</si>
  <si>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</si>
  <si>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</si>
  <si>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</si>
  <si>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</si>
  <si>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</si>
  <si>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</si>
  <si>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</si>
  <si>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</si>
  <si>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</si>
  <si>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</si>
  <si>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</si>
  <si>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</si>
  <si>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</si>
  <si>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</si>
  <si>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</si>
  <si>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</si>
  <si>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</si>
  <si>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</si>
  <si>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</si>
  <si>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</si>
  <si>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</si>
  <si>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</si>
  <si>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</si>
  <si>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</si>
  <si>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</si>
  <si>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</si>
  <si>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</si>
  <si>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</si>
  <si>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</si>
  <si>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</si>
  <si>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</si>
  <si>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</si>
  <si>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</si>
  <si>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</si>
  <si>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</si>
  <si>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</si>
  <si>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</si>
  <si>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</si>
  <si>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</si>
  <si>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</si>
  <si>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</si>
  <si>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</si>
  <si>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</si>
  <si>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</si>
  <si>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</si>
  <si>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</si>
  <si>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</si>
  <si>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</si>
  <si>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</si>
  <si>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</si>
  <si>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</si>
  <si>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</si>
  <si>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</si>
  <si>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</si>
  <si>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</si>
  <si>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</si>
  <si>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</si>
  <si>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</si>
  <si>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</si>
  <si>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</si>
  <si>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</si>
  <si>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</si>
  <si>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</si>
  <si>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</si>
  <si>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</si>
  <si>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</si>
  <si>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</si>
  <si>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</si>
  <si>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</si>
  <si>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</si>
  <si>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</si>
  <si>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</si>
  <si>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</si>
  <si>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</si>
  <si>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</si>
  <si>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</si>
  <si>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</si>
  <si>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</si>
  <si>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</si>
  <si>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</si>
  <si>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</si>
  <si>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</si>
  <si>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</si>
  <si>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</si>
  <si>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</si>
  <si>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</si>
  <si>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</si>
  <si>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</si>
  <si>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</si>
  <si>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</si>
  <si>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</si>
  <si>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</si>
  <si>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</si>
  <si>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</si>
  <si>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</si>
  <si>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</si>
  <si>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</si>
  <si>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</si>
  <si>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</si>
  <si>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</si>
  <si>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</si>
  <si>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</si>
  <si>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</si>
  <si>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</si>
  <si>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</si>
  <si>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</si>
  <si>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</si>
  <si>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</si>
  <si>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</si>
  <si>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</si>
  <si>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</si>
  <si>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</si>
  <si>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</si>
  <si>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</si>
  <si>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</si>
  <si>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</si>
  <si>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</si>
  <si>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</si>
  <si>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</si>
  <si>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</si>
  <si>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</si>
  <si>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</si>
  <si>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</si>
  <si>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</si>
  <si>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</si>
  <si>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</si>
  <si>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</si>
  <si>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</si>
  <si>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</si>
  <si>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</si>
  <si>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</si>
  <si>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</si>
  <si>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</si>
  <si>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</si>
  <si>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</si>
  <si>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</si>
  <si>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</si>
  <si>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</si>
  <si>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</si>
  <si>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</si>
  <si>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</si>
  <si>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</si>
  <si>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</si>
  <si>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</si>
  <si>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</si>
  <si>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</si>
  <si>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</si>
  <si>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</si>
  <si>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</si>
  <si>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</si>
  <si>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</si>
  <si>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</si>
  <si>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</si>
  <si>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</si>
  <si>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</si>
  <si>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</si>
  <si>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</si>
  <si>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</si>
  <si>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</si>
  <si>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</si>
  <si>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</si>
  <si>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</si>
  <si>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</si>
  <si>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</si>
  <si>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</si>
  <si>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</si>
  <si>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</si>
  <si>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</si>
  <si>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</si>
  <si>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</si>
  <si>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</si>
  <si>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</si>
  <si>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</si>
  <si>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</si>
  <si>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</si>
  <si>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</si>
  <si>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</si>
  <si>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</si>
  <si>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</si>
  <si>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</si>
  <si>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</si>
  <si>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</si>
  <si>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</si>
  <si>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</si>
  <si>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</si>
  <si>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</si>
  <si>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</si>
  <si>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</si>
  <si>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</si>
  <si>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</si>
  <si>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</si>
  <si>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</si>
  <si>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</si>
  <si>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</si>
  <si>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</si>
  <si>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</si>
  <si>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</si>
  <si>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</si>
  <si>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</si>
  <si>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</si>
  <si>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</si>
  <si>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</si>
  <si>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</si>
  <si>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</si>
  <si>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</si>
  <si>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</si>
  <si>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</si>
  <si>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</si>
  <si>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</si>
  <si>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</si>
  <si>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</si>
  <si>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</si>
  <si>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</si>
  <si>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</si>
  <si>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</si>
  <si>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</si>
  <si>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</si>
  <si>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</si>
  <si>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</si>
  <si>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</si>
  <si>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</si>
  <si>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</si>
  <si>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</si>
  <si>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</si>
  <si>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</si>
  <si>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</si>
  <si>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</si>
  <si>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</si>
  <si>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</si>
  <si>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</si>
  <si>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</si>
  <si>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</si>
  <si>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</si>
  <si>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</si>
  <si>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</si>
  <si>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</si>
  <si>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Row Labels</t>
  </si>
  <si>
    <t>Grand Total</t>
  </si>
  <si>
    <t>Count of Patient_ID</t>
  </si>
  <si>
    <t>Average of Treatment_Cost</t>
  </si>
  <si>
    <t>Count of Doctor</t>
  </si>
  <si>
    <t>0-17</t>
  </si>
  <si>
    <t>18-35</t>
  </si>
  <si>
    <t>36-53</t>
  </si>
  <si>
    <t>54-71</t>
  </si>
  <si>
    <t>72-89</t>
  </si>
  <si>
    <t>90-107</t>
  </si>
  <si>
    <t>KPI Name</t>
  </si>
  <si>
    <t>Value</t>
  </si>
  <si>
    <t>Function Applied</t>
  </si>
  <si>
    <t>COUNTA</t>
  </si>
  <si>
    <t>AVERAGE</t>
  </si>
  <si>
    <t>SUM(</t>
  </si>
  <si>
    <t>COUNTIF</t>
  </si>
  <si>
    <t>Total Patients?                                   =COUNTA(Sheet1!A2:A5001)</t>
  </si>
  <si>
    <t>Total Treatment Cost ?                    =SUM(Sheet1!H2:H5001)</t>
  </si>
  <si>
    <t>Average Treatment Cost ?               =AVERAGE(Sheet1!H2:H5001)</t>
  </si>
  <si>
    <t>Average Length of Stay  ?                 =AVERAGE(Sheet1!G2:G5001)</t>
  </si>
  <si>
    <t>Insurance Coverage % ?                    =COUNTIF(Sheet1!I:I,"Yes")/COUNTA(Sheet1!A2:A5001)</t>
  </si>
  <si>
    <t>Avg Satisfaction Score  ?                    =AVERAGE(Sheet1!J2:J5001)</t>
  </si>
  <si>
    <t>Analysis Point</t>
  </si>
  <si>
    <t>Total Gastroenterology Patients</t>
  </si>
  <si>
    <t>Total Cardiology Patients</t>
  </si>
  <si>
    <t>Total Gynecology Patients</t>
  </si>
  <si>
    <t>Total Pediatrics Patients</t>
  </si>
  <si>
    <t>Total ENT Patients</t>
  </si>
  <si>
    <t>Total Dermatology Patients</t>
  </si>
  <si>
    <t>Total Oncology Patients</t>
  </si>
  <si>
    <t>Total General Medicine Patients</t>
  </si>
  <si>
    <t>Total Neurology Patients</t>
  </si>
  <si>
    <t>Insurance - Yes</t>
  </si>
  <si>
    <t>Insurance - No</t>
  </si>
  <si>
    <t>Avg Cost - Gastroenterology</t>
  </si>
  <si>
    <t>Avg Cost - Orthopedics</t>
  </si>
  <si>
    <t>Avg Cost - Cardiology</t>
  </si>
  <si>
    <t>Highest Treatment Cost</t>
  </si>
  <si>
    <t>Lowest Treatment Cost</t>
  </si>
  <si>
    <t>Sum of Treatment_Cost</t>
  </si>
  <si>
    <t>Sum of Treatment_Cost2</t>
  </si>
  <si>
    <t xml:space="preserve">                    Hospital Performance &amp; Patient Insights Dashboard</t>
  </si>
  <si>
    <t>TOTAL PATIENTS</t>
  </si>
  <si>
    <t>TOTAL TREATMENT COST</t>
  </si>
  <si>
    <t>26547K</t>
  </si>
  <si>
    <t>AVERAGE LENGTH OF STAY</t>
  </si>
  <si>
    <t>8 DAYS</t>
  </si>
  <si>
    <t>INSURANCE COVERAGE</t>
  </si>
  <si>
    <t xml:space="preserve">AVERAGE TREATMENT COST </t>
  </si>
  <si>
    <t>53K</t>
  </si>
  <si>
    <t xml:space="preserve">      1.Department-wise Patient Count</t>
  </si>
  <si>
    <t>2.Revenue by Department</t>
  </si>
  <si>
    <t>3.Doctor Count by Department</t>
  </si>
  <si>
    <t>4.Gender Distribution</t>
  </si>
  <si>
    <t>5.Admission type Distribution</t>
  </si>
  <si>
    <t>6.Patients Distribution by Age Group</t>
  </si>
  <si>
    <t>7.Average Treatment Cost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</si>
</sst>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6" x14ac:knownFonts="1">
    <font>
      <sz val="11"/>
      <color theme="1"/>
      <name val="Calibri"/>
      <family val="2"/>
      <scheme val="minor"/>
    </font>
    <font>
      <b/>
      <sz val="11"/>
      <color theme="1"/>
      <name val="Calibri"/>
      <family val="2"/>
      <scheme val="minor"/>
    </font>
    <font>
      <b/>
      <sz val="28"/>
      <color theme="1"/>
      <name val="Calibri"/>
      <family val="2"/>
      <scheme val="minor"/>
    </font>
    <font>
      <b/>
      <sz val="20"/>
      <color theme="1"/>
      <name val="Calibri"/>
      <family val="2"/>
      <scheme val="minor"/>
    </font>
    <font>
      <b/>
      <sz val="18"/>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9">
    <xf numFmtId="0" fontId="0" fillId="0" borderId="0" xfId="0"/>
    <xf numFmtId="8" fontId="0" fillId="0" borderId="0" xfId="0" applyNumberFormat="1"/>
    <xf numFmtId="2" fontId="0" fillId="0" borderId="0" xfId="0" applyNumberFormat="1"/>
    <xf numFmtId="3" fontId="0" fillId="0" borderId="0" xfId="0" applyNumberFormat="1"/>
    <xf numFmtId="1" fontId="0" fillId="0" borderId="0" xfId="0" applyNumberFormat="1"/>
    <xf numFmtId="0" fontId="0" fillId="0" borderId="0" xfId="0" pivotButton="1"/>
    <xf numFmtId="0" fontId="0" fillId="0" borderId="0" xfId="0" applyAlignment="1">
      <alignment horizontal="left"/>
    </xf>
    <xf numFmtId="6" fontId="0" fillId="0" borderId="0" xfId="0" applyNumberFormat="1"/>
    <xf numFmtId="1" fontId="0" fillId="0" borderId="0" xfId="0" applyNumberFormat="1" applyAlignment="1">
      <alignment horizontal="left"/>
    </xf>
    <xf numFmtId="0" fontId="1" fillId="0" borderId="0" xfId="0" applyFont="1"/>
    <xf numFmtId="10" fontId="0" fillId="0" borderId="0" xfId="0" applyNumberFormat="1"/>
    <xf numFmtId="0" fontId="3" fillId="2" borderId="0" xfId="0" applyFont="1" applyFill="1"/>
    <xf numFmtId="0" fontId="0" fillId="2" borderId="0" xfId="0" applyFill="1"/>
    <xf numFmtId="0" fontId="0" fillId="0" borderId="0" xfId="0" applyNumberFormat="1"/>
    <xf numFmtId="0" fontId="2" fillId="2" borderId="0" xfId="0" applyFont="1" applyFill="1"/>
    <xf numFmtId="0" fontId="0" fillId="2" borderId="0" xfId="0" applyFill="1"/>
    <xf numFmtId="10" fontId="0" fillId="2" borderId="0" xfId="0" applyNumberFormat="1" applyFill="1"/>
    <xf numFmtId="0" fontId="5" fillId="2" borderId="0" xfId="0" applyFont="1" applyFill="1"/>
    <xf numFmtId="0" fontId="4" fillId="2" borderId="0" xfId="0" applyFont="1" applyFill="1"/>
  </cellXfs>
  <cellStyles count="1">
    <cellStyle name="Normal" xfId="0" builtinId="0"/>
  </cellStyles>
  <dxfs count="6">
    <dxf>
      <numFmt numFmtId="1" formatCode="0"/>
    </dxf>
    <dxf>
      <numFmt numFmtId="3" formatCode="#,##0"/>
    </dxf>
    <dxf>
      <numFmt numFmtId="12" formatCode="&quot;₹&quot;\ #,##0.00;[Red]&quot;₹&quot;\ \-#,##0.00"/>
    </dxf>
    <dxf>
      <numFmt numFmtId="1" formatCode="0"/>
    </dxf>
    <dxf>
      <numFmt numFmtId="1" formatCode="0"/>
    </dxf>
    <dxf>
      <numFmt numFmtId="2" formatCode="0.00"/>
    </dxf>
  </dxfs>
  <tableStyles count="0" defaultTableStyle="TableStyleMedium2" defaultPivotStyle="PivotStyleLight16"/>
  <colors>
    <mruColors>
      <color rgb="FFFF66FF"/>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calcChain" Target="calcChain.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 pivot!PivotTable28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3016950288943"/>
          <c:y val="0.20822101094384679"/>
          <c:w val="0.77378937007874016"/>
          <c:h val="0.33995042286380867"/>
        </c:manualLayout>
      </c:layout>
      <c:barChart>
        <c:barDir val="col"/>
        <c:grouping val="clustered"/>
        <c:varyColors val="0"/>
        <c:ser>
          <c:idx val="0"/>
          <c:order val="0"/>
          <c:tx>
            <c:strRef>
              <c:f>' pivot'!$B$3</c:f>
              <c:strCache>
                <c:ptCount val="1"/>
                <c:pt idx="0">
                  <c:v>Total</c:v>
                </c:pt>
              </c:strCache>
            </c:strRef>
          </c:tx>
          <c:spPr>
            <a:solidFill>
              <a:schemeClr val="accent4"/>
            </a:solidFill>
            <a:ln>
              <a:noFill/>
            </a:ln>
            <a:effectLst/>
          </c:spPr>
          <c:invertIfNegative val="0"/>
          <c:cat>
            <c:strRef>
              <c:f>' pivot'!$A$4:$A$14</c:f>
              <c:strCache>
                <c:ptCount val="10"/>
                <c:pt idx="0">
                  <c:v>Cardiology</c:v>
                </c:pt>
                <c:pt idx="1">
                  <c:v>Dermatology</c:v>
                </c:pt>
                <c:pt idx="2">
                  <c:v>ENT</c:v>
                </c:pt>
                <c:pt idx="3">
                  <c:v>Gastroenterology</c:v>
                </c:pt>
                <c:pt idx="4">
                  <c:v>General Medicine</c:v>
                </c:pt>
                <c:pt idx="5">
                  <c:v>Gynecology</c:v>
                </c:pt>
                <c:pt idx="6">
                  <c:v>Neurology</c:v>
                </c:pt>
                <c:pt idx="7">
                  <c:v>Oncology</c:v>
                </c:pt>
                <c:pt idx="8">
                  <c:v>Orthopedics</c:v>
                </c:pt>
                <c:pt idx="9">
                  <c:v>Pediatrics</c:v>
                </c:pt>
              </c:strCache>
            </c:strRef>
          </c:cat>
          <c:val>
            <c:numRef>
              <c:f>' pivot'!$B$4:$B$14</c:f>
              <c:numCache>
                <c:formatCode>General</c:formatCode>
                <c:ptCount val="10"/>
                <c:pt idx="0">
                  <c:v>519</c:v>
                </c:pt>
                <c:pt idx="1">
                  <c:v>493</c:v>
                </c:pt>
                <c:pt idx="2">
                  <c:v>485</c:v>
                </c:pt>
                <c:pt idx="3">
                  <c:v>485</c:v>
                </c:pt>
                <c:pt idx="4">
                  <c:v>483</c:v>
                </c:pt>
                <c:pt idx="5">
                  <c:v>528</c:v>
                </c:pt>
                <c:pt idx="6">
                  <c:v>487</c:v>
                </c:pt>
                <c:pt idx="7">
                  <c:v>509</c:v>
                </c:pt>
                <c:pt idx="8">
                  <c:v>510</c:v>
                </c:pt>
                <c:pt idx="9">
                  <c:v>501</c:v>
                </c:pt>
              </c:numCache>
            </c:numRef>
          </c:val>
          <c:extLst>
            <c:ext xmlns:c16="http://schemas.microsoft.com/office/drawing/2014/chart" uri="{C3380CC4-5D6E-409C-BE32-E72D297353CC}">
              <c16:uniqueId val="{00000000-3073-49DD-93CA-A018E7F04459}"/>
            </c:ext>
          </c:extLst>
        </c:ser>
        <c:dLbls>
          <c:showLegendKey val="0"/>
          <c:showVal val="0"/>
          <c:showCatName val="0"/>
          <c:showSerName val="0"/>
          <c:showPercent val="0"/>
          <c:showBubbleSize val="0"/>
        </c:dLbls>
        <c:gapWidth val="267"/>
        <c:overlap val="-43"/>
        <c:axId val="648476080"/>
        <c:axId val="648475120"/>
      </c:barChart>
      <c:catAx>
        <c:axId val="6484760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48475120"/>
        <c:crosses val="autoZero"/>
        <c:auto val="1"/>
        <c:lblAlgn val="ctr"/>
        <c:lblOffset val="100"/>
        <c:noMultiLvlLbl val="0"/>
      </c:catAx>
      <c:valAx>
        <c:axId val="6484751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4847608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 pivot!PivotTable1</c:name>
    <c:fmtId val="20"/>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2"/>
        <c:spPr>
          <a:solidFill>
            <a:schemeClr val="accent4"/>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3"/>
        <c:spPr>
          <a:solidFill>
            <a:schemeClr val="accent4">
              <a:shade val="42000"/>
            </a:schemeClr>
          </a:solidFill>
          <a:ln w="25400">
            <a:solidFill>
              <a:schemeClr val="lt1"/>
            </a:solidFill>
          </a:ln>
          <a:effectLst/>
          <a:sp3d contourW="25400">
            <a:contourClr>
              <a:schemeClr val="lt1"/>
            </a:contourClr>
          </a:sp3d>
        </c:spPr>
      </c:pivotFmt>
      <c:pivotFmt>
        <c:idx val="134"/>
        <c:spPr>
          <a:solidFill>
            <a:schemeClr val="accent4">
              <a:shade val="55000"/>
            </a:schemeClr>
          </a:solidFill>
          <a:ln w="25400">
            <a:solidFill>
              <a:schemeClr val="lt1"/>
            </a:solidFill>
          </a:ln>
          <a:effectLst/>
          <a:sp3d contourW="25400">
            <a:contourClr>
              <a:schemeClr val="lt1"/>
            </a:contourClr>
          </a:sp3d>
        </c:spPr>
      </c:pivotFmt>
      <c:pivotFmt>
        <c:idx val="135"/>
        <c:spPr>
          <a:solidFill>
            <a:schemeClr val="accent4">
              <a:shade val="68000"/>
            </a:schemeClr>
          </a:solidFill>
          <a:ln w="25400">
            <a:solidFill>
              <a:schemeClr val="lt1"/>
            </a:solidFill>
          </a:ln>
          <a:effectLst/>
          <a:sp3d contourW="25400">
            <a:contourClr>
              <a:schemeClr val="lt1"/>
            </a:contourClr>
          </a:sp3d>
        </c:spPr>
      </c:pivotFmt>
      <c:pivotFmt>
        <c:idx val="136"/>
        <c:spPr>
          <a:solidFill>
            <a:schemeClr val="accent4">
              <a:shade val="80000"/>
            </a:schemeClr>
          </a:solidFill>
          <a:ln w="25400">
            <a:solidFill>
              <a:schemeClr val="lt1"/>
            </a:solidFill>
          </a:ln>
          <a:effectLst/>
          <a:sp3d contourW="25400">
            <a:contourClr>
              <a:schemeClr val="lt1"/>
            </a:contourClr>
          </a:sp3d>
        </c:spPr>
      </c:pivotFmt>
      <c:pivotFmt>
        <c:idx val="137"/>
        <c:spPr>
          <a:solidFill>
            <a:schemeClr val="accent4">
              <a:shade val="93000"/>
            </a:schemeClr>
          </a:solidFill>
          <a:ln w="25400">
            <a:solidFill>
              <a:schemeClr val="lt1"/>
            </a:solidFill>
          </a:ln>
          <a:effectLst/>
          <a:sp3d contourW="25400">
            <a:contourClr>
              <a:schemeClr val="lt1"/>
            </a:contourClr>
          </a:sp3d>
        </c:spPr>
      </c:pivotFmt>
      <c:pivotFmt>
        <c:idx val="138"/>
        <c:spPr>
          <a:solidFill>
            <a:schemeClr val="accent4">
              <a:tint val="94000"/>
            </a:schemeClr>
          </a:solidFill>
          <a:ln w="25400">
            <a:solidFill>
              <a:schemeClr val="lt1"/>
            </a:solidFill>
          </a:ln>
          <a:effectLst/>
          <a:sp3d contourW="25400">
            <a:contourClr>
              <a:schemeClr val="lt1"/>
            </a:contourClr>
          </a:sp3d>
        </c:spPr>
      </c:pivotFmt>
      <c:pivotFmt>
        <c:idx val="139"/>
        <c:spPr>
          <a:solidFill>
            <a:schemeClr val="accent4">
              <a:tint val="81000"/>
            </a:schemeClr>
          </a:solidFill>
          <a:ln w="25400">
            <a:solidFill>
              <a:schemeClr val="lt1"/>
            </a:solidFill>
          </a:ln>
          <a:effectLst/>
          <a:sp3d contourW="25400">
            <a:contourClr>
              <a:schemeClr val="lt1"/>
            </a:contourClr>
          </a:sp3d>
        </c:spPr>
      </c:pivotFmt>
      <c:pivotFmt>
        <c:idx val="140"/>
        <c:spPr>
          <a:solidFill>
            <a:schemeClr val="accent4">
              <a:tint val="69000"/>
            </a:schemeClr>
          </a:solidFill>
          <a:ln w="25400">
            <a:solidFill>
              <a:schemeClr val="lt1"/>
            </a:solidFill>
          </a:ln>
          <a:effectLst/>
          <a:sp3d contourW="25400">
            <a:contourClr>
              <a:schemeClr val="lt1"/>
            </a:contourClr>
          </a:sp3d>
        </c:spPr>
      </c:pivotFmt>
      <c:pivotFmt>
        <c:idx val="141"/>
        <c:spPr>
          <a:solidFill>
            <a:schemeClr val="accent4">
              <a:tint val="56000"/>
            </a:schemeClr>
          </a:solidFill>
          <a:ln w="25400">
            <a:solidFill>
              <a:schemeClr val="lt1"/>
            </a:solidFill>
          </a:ln>
          <a:effectLst/>
          <a:sp3d contourW="25400">
            <a:contourClr>
              <a:schemeClr val="lt1"/>
            </a:contourClr>
          </a:sp3d>
        </c:spPr>
      </c:pivotFmt>
      <c:pivotFmt>
        <c:idx val="142"/>
        <c:spPr>
          <a:solidFill>
            <a:schemeClr val="accent4">
              <a:tint val="43000"/>
            </a:schemeClr>
          </a:solidFill>
          <a:ln w="25400">
            <a:solidFill>
              <a:schemeClr val="lt1"/>
            </a:solidFill>
          </a:ln>
          <a:effectLst/>
          <a:sp3d contourW="25400">
            <a:contourClr>
              <a:schemeClr val="lt1"/>
            </a:contourClr>
          </a:sp3d>
        </c:spPr>
      </c:pivotFmt>
      <c:pivotFmt>
        <c:idx val="143"/>
        <c:spPr>
          <a:solidFill>
            <a:schemeClr val="accent4"/>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4"/>
        <c:spPr>
          <a:solidFill>
            <a:schemeClr val="accent4">
              <a:shade val="42000"/>
            </a:schemeClr>
          </a:solidFill>
          <a:ln w="25400">
            <a:solidFill>
              <a:schemeClr val="lt1"/>
            </a:solidFill>
          </a:ln>
          <a:effectLst/>
          <a:sp3d contourW="25400">
            <a:contourClr>
              <a:schemeClr val="lt1"/>
            </a:contourClr>
          </a:sp3d>
        </c:spPr>
      </c:pivotFmt>
      <c:pivotFmt>
        <c:idx val="145"/>
        <c:spPr>
          <a:solidFill>
            <a:schemeClr val="accent4">
              <a:shade val="55000"/>
            </a:schemeClr>
          </a:solidFill>
          <a:ln w="25400">
            <a:solidFill>
              <a:schemeClr val="lt1"/>
            </a:solidFill>
          </a:ln>
          <a:effectLst/>
          <a:sp3d contourW="25400">
            <a:contourClr>
              <a:schemeClr val="lt1"/>
            </a:contourClr>
          </a:sp3d>
        </c:spPr>
      </c:pivotFmt>
      <c:pivotFmt>
        <c:idx val="146"/>
        <c:spPr>
          <a:solidFill>
            <a:schemeClr val="accent4">
              <a:shade val="68000"/>
            </a:schemeClr>
          </a:solidFill>
          <a:ln w="25400">
            <a:solidFill>
              <a:schemeClr val="lt1"/>
            </a:solidFill>
          </a:ln>
          <a:effectLst/>
          <a:sp3d contourW="25400">
            <a:contourClr>
              <a:schemeClr val="lt1"/>
            </a:contourClr>
          </a:sp3d>
        </c:spPr>
      </c:pivotFmt>
      <c:pivotFmt>
        <c:idx val="147"/>
        <c:spPr>
          <a:solidFill>
            <a:schemeClr val="accent4">
              <a:shade val="80000"/>
            </a:schemeClr>
          </a:solidFill>
          <a:ln w="25400">
            <a:solidFill>
              <a:schemeClr val="lt1"/>
            </a:solidFill>
          </a:ln>
          <a:effectLst/>
          <a:sp3d contourW="25400">
            <a:contourClr>
              <a:schemeClr val="lt1"/>
            </a:contourClr>
          </a:sp3d>
        </c:spPr>
      </c:pivotFmt>
      <c:pivotFmt>
        <c:idx val="148"/>
        <c:spPr>
          <a:solidFill>
            <a:schemeClr val="accent4">
              <a:shade val="93000"/>
            </a:schemeClr>
          </a:solidFill>
          <a:ln w="25400">
            <a:solidFill>
              <a:schemeClr val="lt1"/>
            </a:solidFill>
          </a:ln>
          <a:effectLst/>
          <a:sp3d contourW="25400">
            <a:contourClr>
              <a:schemeClr val="lt1"/>
            </a:contourClr>
          </a:sp3d>
        </c:spPr>
      </c:pivotFmt>
      <c:pivotFmt>
        <c:idx val="149"/>
        <c:spPr>
          <a:solidFill>
            <a:schemeClr val="accent4">
              <a:tint val="94000"/>
            </a:schemeClr>
          </a:solidFill>
          <a:ln w="25400">
            <a:solidFill>
              <a:schemeClr val="lt1"/>
            </a:solidFill>
          </a:ln>
          <a:effectLst/>
          <a:sp3d contourW="25400">
            <a:contourClr>
              <a:schemeClr val="lt1"/>
            </a:contourClr>
          </a:sp3d>
        </c:spPr>
      </c:pivotFmt>
      <c:pivotFmt>
        <c:idx val="150"/>
        <c:spPr>
          <a:solidFill>
            <a:schemeClr val="accent4">
              <a:tint val="81000"/>
            </a:schemeClr>
          </a:solidFill>
          <a:ln w="25400">
            <a:solidFill>
              <a:schemeClr val="lt1"/>
            </a:solidFill>
          </a:ln>
          <a:effectLst/>
          <a:sp3d contourW="25400">
            <a:contourClr>
              <a:schemeClr val="lt1"/>
            </a:contourClr>
          </a:sp3d>
        </c:spPr>
      </c:pivotFmt>
      <c:pivotFmt>
        <c:idx val="151"/>
        <c:spPr>
          <a:solidFill>
            <a:schemeClr val="accent4">
              <a:tint val="69000"/>
            </a:schemeClr>
          </a:solidFill>
          <a:ln w="25400">
            <a:solidFill>
              <a:schemeClr val="lt1"/>
            </a:solidFill>
          </a:ln>
          <a:effectLst/>
          <a:sp3d contourW="25400">
            <a:contourClr>
              <a:schemeClr val="lt1"/>
            </a:contourClr>
          </a:sp3d>
        </c:spPr>
      </c:pivotFmt>
      <c:pivotFmt>
        <c:idx val="152"/>
        <c:spPr>
          <a:solidFill>
            <a:schemeClr val="accent4">
              <a:tint val="56000"/>
            </a:schemeClr>
          </a:solidFill>
          <a:ln w="25400">
            <a:solidFill>
              <a:schemeClr val="lt1"/>
            </a:solidFill>
          </a:ln>
          <a:effectLst/>
          <a:sp3d contourW="25400">
            <a:contourClr>
              <a:schemeClr val="lt1"/>
            </a:contourClr>
          </a:sp3d>
        </c:spPr>
      </c:pivotFmt>
      <c:pivotFmt>
        <c:idx val="153"/>
        <c:spPr>
          <a:solidFill>
            <a:schemeClr val="accent4">
              <a:tint val="43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99999999999994E-2"/>
          <c:y val="0.30812007874015745"/>
          <c:w val="0.81388888888888888"/>
          <c:h val="0.49732465733449988"/>
        </c:manualLayout>
      </c:layout>
      <c:pie3DChart>
        <c:varyColors val="1"/>
        <c:ser>
          <c:idx val="0"/>
          <c:order val="0"/>
          <c:tx>
            <c:strRef>
              <c:f>' pivot'!$B$48</c:f>
              <c:strCache>
                <c:ptCount val="1"/>
                <c:pt idx="0">
                  <c:v>Sum of Treatment_Cost</c:v>
                </c:pt>
              </c:strCache>
            </c:strRef>
          </c:tx>
          <c:dPt>
            <c:idx val="0"/>
            <c:bubble3D val="0"/>
            <c:spPr>
              <a:solidFill>
                <a:schemeClr val="accent4">
                  <a:shade val="4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CC-487B-BED2-3CD0E65BD106}"/>
              </c:ext>
            </c:extLst>
          </c:dPt>
          <c:dPt>
            <c:idx val="1"/>
            <c:bubble3D val="0"/>
            <c:spPr>
              <a:solidFill>
                <a:schemeClr val="accent4">
                  <a:shade val="5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CC-487B-BED2-3CD0E65BD106}"/>
              </c:ext>
            </c:extLst>
          </c:dPt>
          <c:dPt>
            <c:idx val="2"/>
            <c:bubble3D val="0"/>
            <c:spPr>
              <a:solidFill>
                <a:schemeClr val="accent4">
                  <a:shade val="6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CC-487B-BED2-3CD0E65BD106}"/>
              </c:ext>
            </c:extLst>
          </c:dPt>
          <c:dPt>
            <c:idx val="3"/>
            <c:bubble3D val="0"/>
            <c:spPr>
              <a:solidFill>
                <a:schemeClr val="accent4">
                  <a:shade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CC-487B-BED2-3CD0E65BD106}"/>
              </c:ext>
            </c:extLst>
          </c:dPt>
          <c:dPt>
            <c:idx val="4"/>
            <c:bubble3D val="0"/>
            <c:spPr>
              <a:solidFill>
                <a:schemeClr val="accent4">
                  <a:shade val="9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CC-487B-BED2-3CD0E65BD106}"/>
              </c:ext>
            </c:extLst>
          </c:dPt>
          <c:dPt>
            <c:idx val="5"/>
            <c:bubble3D val="0"/>
            <c:spPr>
              <a:solidFill>
                <a:schemeClr val="accent4">
                  <a:tint val="9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ADCC-487B-BED2-3CD0E65BD106}"/>
              </c:ext>
            </c:extLst>
          </c:dPt>
          <c:dPt>
            <c:idx val="6"/>
            <c:bubble3D val="0"/>
            <c:spPr>
              <a:solidFill>
                <a:schemeClr val="accent4">
                  <a:tint val="8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DCC-487B-BED2-3CD0E65BD106}"/>
              </c:ext>
            </c:extLst>
          </c:dPt>
          <c:dPt>
            <c:idx val="7"/>
            <c:bubble3D val="0"/>
            <c:spPr>
              <a:solidFill>
                <a:schemeClr val="accent4">
                  <a:tint val="6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DCC-487B-BED2-3CD0E65BD106}"/>
              </c:ext>
            </c:extLst>
          </c:dPt>
          <c:dPt>
            <c:idx val="8"/>
            <c:bubble3D val="0"/>
            <c:spPr>
              <a:solidFill>
                <a:schemeClr val="accent4">
                  <a:tint val="5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DCC-487B-BED2-3CD0E65BD106}"/>
              </c:ext>
            </c:extLst>
          </c:dPt>
          <c:dPt>
            <c:idx val="9"/>
            <c:bubble3D val="0"/>
            <c:spPr>
              <a:solidFill>
                <a:schemeClr val="accent4">
                  <a:tint val="4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DCC-487B-BED2-3CD0E65BD1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pivot'!$A$49:$A$59</c:f>
              <c:strCache>
                <c:ptCount val="10"/>
                <c:pt idx="0">
                  <c:v>Cardiology</c:v>
                </c:pt>
                <c:pt idx="1">
                  <c:v>Dermatology</c:v>
                </c:pt>
                <c:pt idx="2">
                  <c:v>ENT</c:v>
                </c:pt>
                <c:pt idx="3">
                  <c:v>Gastroenterology</c:v>
                </c:pt>
                <c:pt idx="4">
                  <c:v>General Medicine</c:v>
                </c:pt>
                <c:pt idx="5">
                  <c:v>Gynecology</c:v>
                </c:pt>
                <c:pt idx="6">
                  <c:v>Neurology</c:v>
                </c:pt>
                <c:pt idx="7">
                  <c:v>Oncology</c:v>
                </c:pt>
                <c:pt idx="8">
                  <c:v>Orthopedics</c:v>
                </c:pt>
                <c:pt idx="9">
                  <c:v>Pediatrics</c:v>
                </c:pt>
              </c:strCache>
            </c:strRef>
          </c:cat>
          <c:val>
            <c:numRef>
              <c:f>' pivot'!$B$49:$B$59</c:f>
              <c:numCache>
                <c:formatCode>"₹"#,##0.00_);[Red]\("₹"#,##0.00\)</c:formatCode>
                <c:ptCount val="10"/>
                <c:pt idx="0">
                  <c:v>28070469</c:v>
                </c:pt>
                <c:pt idx="1">
                  <c:v>25249784</c:v>
                </c:pt>
                <c:pt idx="2">
                  <c:v>25173016</c:v>
                </c:pt>
                <c:pt idx="3">
                  <c:v>26111554</c:v>
                </c:pt>
                <c:pt idx="4">
                  <c:v>25044838</c:v>
                </c:pt>
                <c:pt idx="5">
                  <c:v>28178124</c:v>
                </c:pt>
                <c:pt idx="6">
                  <c:v>26875670</c:v>
                </c:pt>
                <c:pt idx="7">
                  <c:v>26936351</c:v>
                </c:pt>
                <c:pt idx="8">
                  <c:v>27365902</c:v>
                </c:pt>
                <c:pt idx="9">
                  <c:v>26465350</c:v>
                </c:pt>
              </c:numCache>
            </c:numRef>
          </c:val>
          <c:extLst>
            <c:ext xmlns:c16="http://schemas.microsoft.com/office/drawing/2014/chart" uri="{C3380CC4-5D6E-409C-BE32-E72D297353CC}">
              <c16:uniqueId val="{00000014-ADCC-487B-BED2-3CD0E65BD106}"/>
            </c:ext>
          </c:extLst>
        </c:ser>
        <c:ser>
          <c:idx val="1"/>
          <c:order val="1"/>
          <c:tx>
            <c:strRef>
              <c:f>' pivot'!$C$48</c:f>
              <c:strCache>
                <c:ptCount val="1"/>
                <c:pt idx="0">
                  <c:v>Sum of Treatment_Cost2</c:v>
                </c:pt>
              </c:strCache>
            </c:strRef>
          </c:tx>
          <c:dPt>
            <c:idx val="0"/>
            <c:bubble3D val="0"/>
            <c:spPr>
              <a:solidFill>
                <a:schemeClr val="accent4">
                  <a:shade val="4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6-ADCC-487B-BED2-3CD0E65BD106}"/>
              </c:ext>
            </c:extLst>
          </c:dPt>
          <c:dPt>
            <c:idx val="1"/>
            <c:bubble3D val="0"/>
            <c:spPr>
              <a:solidFill>
                <a:schemeClr val="accent4">
                  <a:shade val="5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8-ADCC-487B-BED2-3CD0E65BD106}"/>
              </c:ext>
            </c:extLst>
          </c:dPt>
          <c:dPt>
            <c:idx val="2"/>
            <c:bubble3D val="0"/>
            <c:spPr>
              <a:solidFill>
                <a:schemeClr val="accent4">
                  <a:shade val="6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A-ADCC-487B-BED2-3CD0E65BD106}"/>
              </c:ext>
            </c:extLst>
          </c:dPt>
          <c:dPt>
            <c:idx val="3"/>
            <c:bubble3D val="0"/>
            <c:spPr>
              <a:solidFill>
                <a:schemeClr val="accent4">
                  <a:shade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C-ADCC-487B-BED2-3CD0E65BD106}"/>
              </c:ext>
            </c:extLst>
          </c:dPt>
          <c:dPt>
            <c:idx val="4"/>
            <c:bubble3D val="0"/>
            <c:spPr>
              <a:solidFill>
                <a:schemeClr val="accent4">
                  <a:shade val="9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E-ADCC-487B-BED2-3CD0E65BD106}"/>
              </c:ext>
            </c:extLst>
          </c:dPt>
          <c:dPt>
            <c:idx val="5"/>
            <c:bubble3D val="0"/>
            <c:spPr>
              <a:solidFill>
                <a:schemeClr val="accent4">
                  <a:tint val="9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0-ADCC-487B-BED2-3CD0E65BD106}"/>
              </c:ext>
            </c:extLst>
          </c:dPt>
          <c:dPt>
            <c:idx val="6"/>
            <c:bubble3D val="0"/>
            <c:spPr>
              <a:solidFill>
                <a:schemeClr val="accent4">
                  <a:tint val="8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2-ADCC-487B-BED2-3CD0E65BD106}"/>
              </c:ext>
            </c:extLst>
          </c:dPt>
          <c:dPt>
            <c:idx val="7"/>
            <c:bubble3D val="0"/>
            <c:spPr>
              <a:solidFill>
                <a:schemeClr val="accent4">
                  <a:tint val="6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4-ADCC-487B-BED2-3CD0E65BD106}"/>
              </c:ext>
            </c:extLst>
          </c:dPt>
          <c:dPt>
            <c:idx val="8"/>
            <c:bubble3D val="0"/>
            <c:spPr>
              <a:solidFill>
                <a:schemeClr val="accent4">
                  <a:tint val="5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ADCC-487B-BED2-3CD0E65BD106}"/>
              </c:ext>
            </c:extLst>
          </c:dPt>
          <c:dPt>
            <c:idx val="9"/>
            <c:bubble3D val="0"/>
            <c:spPr>
              <a:solidFill>
                <a:schemeClr val="accent4">
                  <a:tint val="4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ADCC-487B-BED2-3CD0E65BD1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pivot'!$A$49:$A$59</c:f>
              <c:strCache>
                <c:ptCount val="10"/>
                <c:pt idx="0">
                  <c:v>Cardiology</c:v>
                </c:pt>
                <c:pt idx="1">
                  <c:v>Dermatology</c:v>
                </c:pt>
                <c:pt idx="2">
                  <c:v>ENT</c:v>
                </c:pt>
                <c:pt idx="3">
                  <c:v>Gastroenterology</c:v>
                </c:pt>
                <c:pt idx="4">
                  <c:v>General Medicine</c:v>
                </c:pt>
                <c:pt idx="5">
                  <c:v>Gynecology</c:v>
                </c:pt>
                <c:pt idx="6">
                  <c:v>Neurology</c:v>
                </c:pt>
                <c:pt idx="7">
                  <c:v>Oncology</c:v>
                </c:pt>
                <c:pt idx="8">
                  <c:v>Orthopedics</c:v>
                </c:pt>
                <c:pt idx="9">
                  <c:v>Pediatrics</c:v>
                </c:pt>
              </c:strCache>
            </c:strRef>
          </c:cat>
          <c:val>
            <c:numRef>
              <c:f>' pivot'!$C$49:$C$59</c:f>
              <c:numCache>
                <c:formatCode>"₹"#,##0.00_);[Red]\("₹"#,##0.00\)</c:formatCode>
                <c:ptCount val="10"/>
                <c:pt idx="0">
                  <c:v>28070469</c:v>
                </c:pt>
                <c:pt idx="1">
                  <c:v>25249784</c:v>
                </c:pt>
                <c:pt idx="2">
                  <c:v>25173016</c:v>
                </c:pt>
                <c:pt idx="3">
                  <c:v>26111554</c:v>
                </c:pt>
                <c:pt idx="4">
                  <c:v>25044838</c:v>
                </c:pt>
                <c:pt idx="5">
                  <c:v>28178124</c:v>
                </c:pt>
                <c:pt idx="6">
                  <c:v>26875670</c:v>
                </c:pt>
                <c:pt idx="7">
                  <c:v>26936351</c:v>
                </c:pt>
                <c:pt idx="8">
                  <c:v>27365902</c:v>
                </c:pt>
                <c:pt idx="9">
                  <c:v>26465350</c:v>
                </c:pt>
              </c:numCache>
            </c:numRef>
          </c:val>
          <c:extLst>
            <c:ext xmlns:c16="http://schemas.microsoft.com/office/drawing/2014/chart" uri="{C3380CC4-5D6E-409C-BE32-E72D297353CC}">
              <c16:uniqueId val="{00000029-ADCC-487B-BED2-3CD0E65BD106}"/>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 pivot!PivotTable32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pivot'!$N$20</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pivot'!$M$21:$M$31</c:f>
              <c:strCache>
                <c:ptCount val="10"/>
                <c:pt idx="0">
                  <c:v>Cardiology</c:v>
                </c:pt>
                <c:pt idx="1">
                  <c:v>Dermatology</c:v>
                </c:pt>
                <c:pt idx="2">
                  <c:v>ENT</c:v>
                </c:pt>
                <c:pt idx="3">
                  <c:v>Gastroenterology</c:v>
                </c:pt>
                <c:pt idx="4">
                  <c:v>General Medicine</c:v>
                </c:pt>
                <c:pt idx="5">
                  <c:v>Gynecology</c:v>
                </c:pt>
                <c:pt idx="6">
                  <c:v>Neurology</c:v>
                </c:pt>
                <c:pt idx="7">
                  <c:v>Oncology</c:v>
                </c:pt>
                <c:pt idx="8">
                  <c:v>Orthopedics</c:v>
                </c:pt>
                <c:pt idx="9">
                  <c:v>Pediatrics</c:v>
                </c:pt>
              </c:strCache>
            </c:strRef>
          </c:cat>
          <c:val>
            <c:numRef>
              <c:f>' pivot'!$N$21:$N$31</c:f>
              <c:numCache>
                <c:formatCode>General</c:formatCode>
                <c:ptCount val="10"/>
                <c:pt idx="0">
                  <c:v>519</c:v>
                </c:pt>
                <c:pt idx="1">
                  <c:v>493</c:v>
                </c:pt>
                <c:pt idx="2">
                  <c:v>485</c:v>
                </c:pt>
                <c:pt idx="3">
                  <c:v>485</c:v>
                </c:pt>
                <c:pt idx="4">
                  <c:v>483</c:v>
                </c:pt>
                <c:pt idx="5">
                  <c:v>528</c:v>
                </c:pt>
                <c:pt idx="6">
                  <c:v>487</c:v>
                </c:pt>
                <c:pt idx="7">
                  <c:v>509</c:v>
                </c:pt>
                <c:pt idx="8">
                  <c:v>510</c:v>
                </c:pt>
                <c:pt idx="9">
                  <c:v>501</c:v>
                </c:pt>
              </c:numCache>
            </c:numRef>
          </c:val>
          <c:extLst>
            <c:ext xmlns:c16="http://schemas.microsoft.com/office/drawing/2014/chart" uri="{C3380CC4-5D6E-409C-BE32-E72D297353CC}">
              <c16:uniqueId val="{00000000-5FDC-407E-8485-FC046FFE6B04}"/>
            </c:ext>
          </c:extLst>
        </c:ser>
        <c:dLbls>
          <c:dLblPos val="outEnd"/>
          <c:showLegendKey val="0"/>
          <c:showVal val="1"/>
          <c:showCatName val="0"/>
          <c:showSerName val="0"/>
          <c:showPercent val="0"/>
          <c:showBubbleSize val="0"/>
        </c:dLbls>
        <c:gapWidth val="355"/>
        <c:overlap val="-70"/>
        <c:axId val="561141552"/>
        <c:axId val="561142032"/>
      </c:barChart>
      <c:catAx>
        <c:axId val="5611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42032"/>
        <c:crosses val="autoZero"/>
        <c:auto val="1"/>
        <c:lblAlgn val="ctr"/>
        <c:lblOffset val="100"/>
        <c:noMultiLvlLbl val="0"/>
      </c:catAx>
      <c:valAx>
        <c:axId val="5611420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[Hospital_Dashboard.xlsx] pivot!PivotTable2</c:name>
    <c:fmtId val="2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20000"/>
              <a:lumOff val="80000"/>
            </a:schemeClr>
          </a:solidFill>
          <a:ln>
            <a:noFill/>
          </a:ln>
          <a:effectLst/>
          <a:sp3d/>
        </c:spPr>
        <c:marker>
          <c:symbol val="circle"/>
          <c:size val="5"/>
          <c:spPr>
            <a:solidFill>
              <a:schemeClr val="accent3"/>
            </a:solidFill>
            <a:ln w="22225">
              <a:solidFill>
                <a:schemeClr val="lt1"/>
              </a:solidFill>
              <a:round/>
            </a:ln>
            <a:effectLst/>
          </c:spPr>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3">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075417706932974"/>
          <c:y val="0.29118536862844879"/>
          <c:w val="0.59381486460533894"/>
          <c:h val="0.5683990509697453"/>
        </c:manualLayout>
      </c:layout>
      <c:bar3DChart>
        <c:barDir val="bar"/>
        <c:grouping val="clustered"/>
        <c:varyColors val="0"/>
        <c:ser>
          <c:idx val="0"/>
          <c:order val="0"/>
          <c:tx>
            <c:strRef>
              <c:f>' pivot'!$B$64</c:f>
              <c:strCache>
                <c:ptCount val="1"/>
                <c:pt idx="0">
                  <c:v>Total</c:v>
                </c:pt>
              </c:strCache>
            </c:strRef>
          </c:tx>
          <c:spPr>
            <a:solidFill>
              <a:schemeClr val="accent3">
                <a:lumMod val="20000"/>
                <a:lumOff val="80000"/>
              </a:schemeClr>
            </a:solidFill>
            <a:ln>
              <a:noFill/>
            </a:ln>
            <a:effectLst/>
            <a:sp3d/>
          </c:spPr>
          <c:invertIfNegative val="0"/>
          <c:dLbls>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 pivot'!$A$65:$A$67</c:f>
              <c:strCache>
                <c:ptCount val="2"/>
                <c:pt idx="0">
                  <c:v>Female</c:v>
                </c:pt>
                <c:pt idx="1">
                  <c:v>Male</c:v>
                </c:pt>
              </c:strCache>
            </c:strRef>
          </c:cat>
          <c:val>
            <c:numRef>
              <c:f>' pivot'!$B$65:$B$67</c:f>
              <c:numCache>
                <c:formatCode>General</c:formatCode>
                <c:ptCount val="2"/>
                <c:pt idx="0">
                  <c:v>2415</c:v>
                </c:pt>
                <c:pt idx="1">
                  <c:v>2585</c:v>
                </c:pt>
              </c:numCache>
            </c:numRef>
          </c:val>
          <c:extLst>
            <c:ext xmlns:c16="http://schemas.microsoft.com/office/drawing/2014/chart" uri="{C3380CC4-5D6E-409C-BE32-E72D297353CC}">
              <c16:uniqueId val="{00000000-EB3A-4580-976F-8455BFC40F48}"/>
            </c:ext>
          </c:extLst>
        </c:ser>
        <c:dLbls>
          <c:showLegendKey val="0"/>
          <c:showVal val="1"/>
          <c:showCatName val="0"/>
          <c:showSerName val="0"/>
          <c:showPercent val="0"/>
          <c:showBubbleSize val="0"/>
        </c:dLbls>
        <c:gapWidth val="154"/>
        <c:gapDepth val="0"/>
        <c:shape val="box"/>
        <c:axId val="228255200"/>
        <c:axId val="228238880"/>
        <c:axId val="0"/>
      </c:bar3DChart>
      <c:catAx>
        <c:axId val="228255200"/>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228238880"/>
        <c:crosses val="autoZero"/>
        <c:auto val="1"/>
        <c:lblAlgn val="ctr"/>
        <c:lblOffset val="100"/>
        <c:noMultiLvlLbl val="0"/>
      </c:catAx>
      <c:valAx>
        <c:axId val="22823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25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[Hospital_Dashboard.xlsx] pivot!PivotTable30</c:name>
    <c:fmtId val="11"/>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spPr>
          <a:solidFill>
            <a:schemeClr val="lt1"/>
          </a:solidFill>
          <a:ln w="19050">
            <a:solidFill>
              <a:schemeClr val="accent3"/>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lt1"/>
          </a:solidFill>
          <a:ln w="19050">
            <a:solidFill>
              <a:schemeClr val="accent3"/>
            </a:solidFill>
          </a:ln>
          <a:effectLst/>
        </c:spPr>
      </c:pivotFmt>
      <c:pivotFmt>
        <c:idx val="23"/>
        <c:spPr>
          <a:solidFill>
            <a:schemeClr val="lt1"/>
          </a:solidFill>
          <a:ln w="19050">
            <a:solidFill>
              <a:schemeClr val="accent3"/>
            </a:solidFill>
          </a:ln>
          <a:effectLst/>
        </c:spPr>
      </c:pivotFmt>
      <c:pivotFmt>
        <c:idx val="24"/>
        <c:spPr>
          <a:solidFill>
            <a:schemeClr val="lt1"/>
          </a:solidFill>
          <a:ln w="19050">
            <a:solidFill>
              <a:schemeClr val="accent3"/>
            </a:solidFill>
          </a:ln>
          <a:effectLst/>
        </c:spPr>
      </c:pivotFmt>
    </c:pivotFmts>
    <c:plotArea>
      <c:layout/>
      <c:pieChart>
        <c:varyColors val="1"/>
        <c:ser>
          <c:idx val="0"/>
          <c:order val="0"/>
          <c:tx>
            <c:strRef>
              <c:f>' pivot'!$B$19</c:f>
              <c:strCache>
                <c:ptCount val="1"/>
                <c:pt idx="0">
                  <c:v>Total</c:v>
                </c:pt>
              </c:strCache>
            </c:strRef>
          </c:tx>
          <c:spPr>
            <a:solidFill>
              <a:schemeClr val="lt1"/>
            </a:solidFill>
            <a:ln w="19050">
              <a:solidFill>
                <a:schemeClr val="accent3"/>
              </a:solidFill>
            </a:ln>
            <a:effectLst/>
          </c:spPr>
          <c:dPt>
            <c:idx val="0"/>
            <c:bubble3D val="0"/>
            <c:spPr>
              <a:solidFill>
                <a:schemeClr val="lt1"/>
              </a:solidFill>
              <a:ln w="19050">
                <a:solidFill>
                  <a:schemeClr val="accent3"/>
                </a:solidFill>
              </a:ln>
              <a:effectLst/>
            </c:spPr>
            <c:extLst>
              <c:ext xmlns:c16="http://schemas.microsoft.com/office/drawing/2014/chart" uri="{C3380CC4-5D6E-409C-BE32-E72D297353CC}">
                <c16:uniqueId val="{00000001-CB08-43F4-8FF6-B5CA73C949A5}"/>
              </c:ext>
            </c:extLst>
          </c:dPt>
          <c:dPt>
            <c:idx val="1"/>
            <c:bubble3D val="0"/>
            <c:spPr>
              <a:solidFill>
                <a:schemeClr val="lt1"/>
              </a:solidFill>
              <a:ln w="19050">
                <a:solidFill>
                  <a:schemeClr val="accent3"/>
                </a:solidFill>
              </a:ln>
              <a:effectLst/>
            </c:spPr>
            <c:extLst>
              <c:ext xmlns:c16="http://schemas.microsoft.com/office/drawing/2014/chart" uri="{C3380CC4-5D6E-409C-BE32-E72D297353CC}">
                <c16:uniqueId val="{00000003-CB08-43F4-8FF6-B5CA73C949A5}"/>
              </c:ext>
            </c:extLst>
          </c:dPt>
          <c:dPt>
            <c:idx val="2"/>
            <c:bubble3D val="0"/>
            <c:spPr>
              <a:solidFill>
                <a:schemeClr val="lt1"/>
              </a:solidFill>
              <a:ln w="19050">
                <a:solidFill>
                  <a:schemeClr val="accent3"/>
                </a:solidFill>
              </a:ln>
              <a:effectLst/>
            </c:spPr>
            <c:extLst>
              <c:ext xmlns:c16="http://schemas.microsoft.com/office/drawing/2014/chart" uri="{C3380CC4-5D6E-409C-BE32-E72D297353CC}">
                <c16:uniqueId val="{00000005-CB08-43F4-8FF6-B5CA73C949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 pivot'!$A$20:$A$23</c:f>
              <c:strCache>
                <c:ptCount val="3"/>
                <c:pt idx="0">
                  <c:v>Emergency</c:v>
                </c:pt>
                <c:pt idx="1">
                  <c:v>Referral</c:v>
                </c:pt>
                <c:pt idx="2">
                  <c:v>Scheduled</c:v>
                </c:pt>
              </c:strCache>
            </c:strRef>
          </c:cat>
          <c:val>
            <c:numRef>
              <c:f>' pivot'!$B$20:$B$23</c:f>
              <c:numCache>
                <c:formatCode>General</c:formatCode>
                <c:ptCount val="3"/>
                <c:pt idx="0">
                  <c:v>1709</c:v>
                </c:pt>
                <c:pt idx="1">
                  <c:v>1674</c:v>
                </c:pt>
                <c:pt idx="2">
                  <c:v>1617</c:v>
                </c:pt>
              </c:numCache>
            </c:numRef>
          </c:val>
          <c:extLst>
            <c:ext xmlns:c16="http://schemas.microsoft.com/office/drawing/2014/chart" uri="{C3380CC4-5D6E-409C-BE32-E72D297353CC}">
              <c16:uniqueId val="{00000006-CB08-43F4-8FF6-B5CA73C949A5}"/>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 pivot!PivotTable35</c:name>
    <c:fmtId val="12"/>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4">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4">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4">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4">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4">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4">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147450721092928E-2"/>
          <c:y val="0.31009022369821948"/>
          <c:w val="0.81370509855781414"/>
          <c:h val="0.50133842398501949"/>
        </c:manualLayout>
      </c:layout>
      <c:pie3DChart>
        <c:varyColors val="1"/>
        <c:ser>
          <c:idx val="0"/>
          <c:order val="0"/>
          <c:tx>
            <c:strRef>
              <c:f>' pivot'!$B$38</c:f>
              <c:strCache>
                <c:ptCount val="1"/>
                <c:pt idx="0">
                  <c:v>Total</c:v>
                </c:pt>
              </c:strCache>
            </c:strRef>
          </c:tx>
          <c:dPt>
            <c:idx val="0"/>
            <c:bubble3D val="0"/>
            <c:spPr>
              <a:solidFill>
                <a:schemeClr val="accent4">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A10-492E-93C3-EC87CC84D60C}"/>
              </c:ext>
            </c:extLst>
          </c:dPt>
          <c:dPt>
            <c:idx val="1"/>
            <c:bubble3D val="0"/>
            <c:spPr>
              <a:solidFill>
                <a:schemeClr val="accent4">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A10-492E-93C3-EC87CC84D60C}"/>
              </c:ext>
            </c:extLst>
          </c:dPt>
          <c:dPt>
            <c:idx val="2"/>
            <c:bubble3D val="0"/>
            <c:spPr>
              <a:solidFill>
                <a:schemeClr val="accent4">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A10-492E-93C3-EC87CC84D60C}"/>
              </c:ext>
            </c:extLst>
          </c:dPt>
          <c:dPt>
            <c:idx val="3"/>
            <c:bubble3D val="0"/>
            <c:spPr>
              <a:solidFill>
                <a:schemeClr val="accent4">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A10-492E-93C3-EC87CC84D60C}"/>
              </c:ext>
            </c:extLst>
          </c:dPt>
          <c:dPt>
            <c:idx val="4"/>
            <c:bubble3D val="0"/>
            <c:spPr>
              <a:solidFill>
                <a:schemeClr val="accent4">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A10-492E-93C3-EC87CC84D60C}"/>
              </c:ext>
            </c:extLst>
          </c:dPt>
          <c:dPt>
            <c:idx val="5"/>
            <c:bubble3D val="0"/>
            <c:spPr>
              <a:solidFill>
                <a:schemeClr val="accent4">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A10-492E-93C3-EC87CC84D60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pivot'!$A$39:$A$45</c:f>
              <c:strCache>
                <c:ptCount val="6"/>
                <c:pt idx="0">
                  <c:v>0-17</c:v>
                </c:pt>
                <c:pt idx="1">
                  <c:v>18-35</c:v>
                </c:pt>
                <c:pt idx="2">
                  <c:v>36-53</c:v>
                </c:pt>
                <c:pt idx="3">
                  <c:v>54-71</c:v>
                </c:pt>
                <c:pt idx="4">
                  <c:v>72-89</c:v>
                </c:pt>
                <c:pt idx="5">
                  <c:v>90-107</c:v>
                </c:pt>
              </c:strCache>
            </c:strRef>
          </c:cat>
          <c:val>
            <c:numRef>
              <c:f>' pivot'!$B$39:$B$45</c:f>
              <c:numCache>
                <c:formatCode>General</c:formatCode>
                <c:ptCount val="6"/>
                <c:pt idx="0">
                  <c:v>960</c:v>
                </c:pt>
                <c:pt idx="1">
                  <c:v>928</c:v>
                </c:pt>
                <c:pt idx="2">
                  <c:v>1018</c:v>
                </c:pt>
                <c:pt idx="3">
                  <c:v>1040</c:v>
                </c:pt>
                <c:pt idx="4">
                  <c:v>988</c:v>
                </c:pt>
                <c:pt idx="5">
                  <c:v>66</c:v>
                </c:pt>
              </c:numCache>
            </c:numRef>
          </c:val>
          <c:extLst>
            <c:ext xmlns:c16="http://schemas.microsoft.com/office/drawing/2014/chart" uri="{C3380CC4-5D6E-409C-BE32-E72D297353CC}">
              <c16:uniqueId val="{0000000C-6A10-492E-93C3-EC87CC84D60C}"/>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 pivot!PivotTable31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4"/>
            </a:fgClr>
            <a:bgClr>
              <a:schemeClr val="accent4">
                <a:lumMod val="20000"/>
                <a:lumOff val="80000"/>
              </a:schemeClr>
            </a:bgClr>
          </a:pattFill>
          <a:ln>
            <a:noFill/>
          </a:ln>
          <a:effectLst>
            <a:innerShdw blurRad="114300">
              <a:schemeClr val="accent4"/>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5228763567179"/>
          <c:y val="0.34643477723306976"/>
          <c:w val="0.62183669412344311"/>
          <c:h val="0.4085994459025955"/>
        </c:manualLayout>
      </c:layout>
      <c:barChart>
        <c:barDir val="col"/>
        <c:grouping val="clustered"/>
        <c:varyColors val="0"/>
        <c:ser>
          <c:idx val="0"/>
          <c:order val="0"/>
          <c:tx>
            <c:strRef>
              <c:f>' pivot'!$N$1</c:f>
              <c:strCache>
                <c:ptCount val="1"/>
                <c:pt idx="0">
                  <c:v>Total</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trendline>
            <c:spPr>
              <a:ln w="19050" cap="rnd">
                <a:solidFill>
                  <a:schemeClr val="accent4"/>
                </a:solidFill>
              </a:ln>
              <a:effectLst/>
            </c:spPr>
            <c:trendlineType val="linear"/>
            <c:dispRSqr val="0"/>
            <c:dispEq val="0"/>
          </c:trendline>
          <c:cat>
            <c:strRef>
              <c:f>' pivot'!$M$2:$M$12</c:f>
              <c:strCache>
                <c:ptCount val="10"/>
                <c:pt idx="0">
                  <c:v>Cardiology</c:v>
                </c:pt>
                <c:pt idx="1">
                  <c:v>Dermatology</c:v>
                </c:pt>
                <c:pt idx="2">
                  <c:v>ENT</c:v>
                </c:pt>
                <c:pt idx="3">
                  <c:v>Gastroenterology</c:v>
                </c:pt>
                <c:pt idx="4">
                  <c:v>General Medicine</c:v>
                </c:pt>
                <c:pt idx="5">
                  <c:v>Gynecology</c:v>
                </c:pt>
                <c:pt idx="6">
                  <c:v>Neurology</c:v>
                </c:pt>
                <c:pt idx="7">
                  <c:v>Oncology</c:v>
                </c:pt>
                <c:pt idx="8">
                  <c:v>Orthopedics</c:v>
                </c:pt>
                <c:pt idx="9">
                  <c:v>Pediatrics</c:v>
                </c:pt>
              </c:strCache>
            </c:strRef>
          </c:cat>
          <c:val>
            <c:numRef>
              <c:f>' pivot'!$N$2:$N$12</c:f>
              <c:numCache>
                <c:formatCode>"₹"#,##0_);[Red]\("₹"#,##0\)</c:formatCode>
                <c:ptCount val="10"/>
                <c:pt idx="0">
                  <c:v>54085.682080924853</c:v>
                </c:pt>
                <c:pt idx="1">
                  <c:v>51216.600405679514</c:v>
                </c:pt>
                <c:pt idx="2">
                  <c:v>51903.125773195876</c:v>
                </c:pt>
                <c:pt idx="3">
                  <c:v>53838.255670103092</c:v>
                </c:pt>
                <c:pt idx="4">
                  <c:v>51852.666666666664</c:v>
                </c:pt>
                <c:pt idx="5">
                  <c:v>53367.659090909088</c:v>
                </c:pt>
                <c:pt idx="6">
                  <c:v>55186.180698151948</c:v>
                </c:pt>
                <c:pt idx="7">
                  <c:v>52920.139489194502</c:v>
                </c:pt>
                <c:pt idx="8">
                  <c:v>53658.631372549018</c:v>
                </c:pt>
                <c:pt idx="9">
                  <c:v>52825.0499001996</c:v>
                </c:pt>
              </c:numCache>
            </c:numRef>
          </c:val>
          <c:extLst>
            <c:ext xmlns:c16="http://schemas.microsoft.com/office/drawing/2014/chart" uri="{C3380CC4-5D6E-409C-BE32-E72D297353CC}">
              <c16:uniqueId val="{00000000-D07D-4467-9A7A-53CBE8DD1829}"/>
            </c:ext>
          </c:extLst>
        </c:ser>
        <c:dLbls>
          <c:dLblPos val="outEnd"/>
          <c:showLegendKey val="0"/>
          <c:showVal val="0"/>
          <c:showCatName val="0"/>
          <c:showSerName val="0"/>
          <c:showPercent val="0"/>
          <c:showBubbleSize val="0"/>
        </c:dLbls>
        <c:gapWidth val="164"/>
        <c:overlap val="-22"/>
        <c:axId val="479277856"/>
        <c:axId val="479278336"/>
      </c:barChart>
      <c:catAx>
        <c:axId val="4792778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78336"/>
        <c:crosses val="autoZero"/>
        <c:auto val="1"/>
        <c:lblAlgn val="ctr"/>
        <c:lblOffset val="100"/>
        <c:noMultiLvlLbl val="0"/>
      </c:catAx>
      <c:valAx>
        <c:axId val="479278336"/>
        <c:scaling>
          <c:orientation val="minMax"/>
          <c:max val="56000"/>
          <c:min val="50000"/>
        </c:scaling>
        <c:delete val="0"/>
        <c:axPos val="l"/>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565484</xdr:colOff>
      <xdr:row>41</xdr:row>
      <xdr:rowOff>73526</xdr:rowOff>
    </xdr:from>
    <xdr:to>
      <xdr:col>7</xdr:col>
      <xdr:colOff>569495</xdr:colOff>
      <xdr:row>54</xdr:row>
      <xdr:rowOff>164599</xdr:rowOff>
    </xdr:to>
    <mc:AlternateContent xmlns:mc="http://schemas.openxmlformats.org/markup-compatibility/2006" xmlns:a14="http://schemas.microsoft.com/office/drawing/2010/main">
      <mc:Choice Requires="a14">
        <xdr:graphicFrame macro="">
          <xdr:nvGraphicFramePr>
            <xdr:cNvPr id="5" name="Department 2">
              <a:extLst>
                <a:ext uri="{FF2B5EF4-FFF2-40B4-BE49-F238E27FC236}">
                  <a16:creationId xmlns:a16="http://schemas.microsoft.com/office/drawing/2014/main" id="{4F8247CD-B20A-0CB2-7200-024A94912635}"/>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5164221" y="774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433471</xdr:colOff>
      <xdr:row>43</xdr:row>
      <xdr:rowOff>175461</xdr:rowOff>
    </xdr:from>
    <xdr:to>
      <xdr:col>8</xdr:col>
      <xdr:colOff>437482</xdr:colOff>
      <xdr:row>57</xdr:row>
      <xdr:rowOff>79375</xdr:rowOff>
    </xdr:to>
    <mc:AlternateContent xmlns:mc="http://schemas.openxmlformats.org/markup-compatibility/2006" xmlns:a14="http://schemas.microsoft.com/office/drawing/2010/main">
      <mc:Choice Requires="a14">
        <xdr:graphicFrame macro="">
          <xdr:nvGraphicFramePr>
            <xdr:cNvPr id="6" name="Insurance 2">
              <a:extLst>
                <a:ext uri="{FF2B5EF4-FFF2-40B4-BE49-F238E27FC236}">
                  <a16:creationId xmlns:a16="http://schemas.microsoft.com/office/drawing/2014/main" id="{9ED38233-ED61-134C-B2AE-4F00CD7E8026}"/>
                </a:ext>
              </a:extLst>
            </xdr:cNvPr>
            <xdr:cNvGraphicFramePr/>
          </xdr:nvGraphicFramePr>
          <xdr:xfrm>
            <a:off x="0" y="0"/>
            <a:ext cx="0" cy="0"/>
          </xdr:xfrm>
          <a:graphic>
            <a:graphicData uri="http://schemas.microsoft.com/office/drawing/2010/slicer">
              <sle:slicer xmlns:sle="http://schemas.microsoft.com/office/drawing/2010/slicer" name="Insurance 2"/>
            </a:graphicData>
          </a:graphic>
        </xdr:graphicFrame>
      </mc:Choice>
      <mc:Fallback xmlns="">
        <xdr:sp macro="" textlink="">
          <xdr:nvSpPr>
            <xdr:cNvPr id="0" name=""/>
            <xdr:cNvSpPr>
              <a:spLocks noTextEdit="1"/>
            </xdr:cNvSpPr>
          </xdr:nvSpPr>
          <xdr:spPr>
            <a:xfrm>
              <a:off x="5640471" y="8223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533735</xdr:colOff>
      <xdr:row>61</xdr:row>
      <xdr:rowOff>177466</xdr:rowOff>
    </xdr:from>
    <xdr:to>
      <xdr:col>11</xdr:col>
      <xdr:colOff>537745</xdr:colOff>
      <xdr:row>75</xdr:row>
      <xdr:rowOff>81381</xdr:rowOff>
    </xdr:to>
    <mc:AlternateContent xmlns:mc="http://schemas.openxmlformats.org/markup-compatibility/2006" xmlns:a14="http://schemas.microsoft.com/office/drawing/2010/main">
      <mc:Choice Requires="a14">
        <xdr:graphicFrame macro="">
          <xdr:nvGraphicFramePr>
            <xdr:cNvPr id="8" name="Patient_ID">
              <a:extLst>
                <a:ext uri="{FF2B5EF4-FFF2-40B4-BE49-F238E27FC236}">
                  <a16:creationId xmlns:a16="http://schemas.microsoft.com/office/drawing/2014/main" id="{46954537-DB90-A80C-6AE0-DE0427C7F313}"/>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7565524" y="1159409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501985</xdr:colOff>
      <xdr:row>65</xdr:row>
      <xdr:rowOff>85558</xdr:rowOff>
    </xdr:from>
    <xdr:to>
      <xdr:col>11</xdr:col>
      <xdr:colOff>505995</xdr:colOff>
      <xdr:row>78</xdr:row>
      <xdr:rowOff>176630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A43B0AEB-85FA-DF85-FCEE-7D837B89C2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33774" y="1225082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819484</xdr:colOff>
      <xdr:row>0</xdr:row>
      <xdr:rowOff>141037</xdr:rowOff>
    </xdr:from>
    <xdr:to>
      <xdr:col>4</xdr:col>
      <xdr:colOff>347580</xdr:colOff>
      <xdr:row>16</xdr:row>
      <xdr:rowOff>66842</xdr:rowOff>
    </xdr:to>
    <mc:AlternateContent xmlns:mc="http://schemas.openxmlformats.org/markup-compatibility/2006">
      <mc:Choice xmlns:a14="http://schemas.microsoft.com/office/drawing/2010/main" Requires="a14">
        <xdr:graphicFrame macro="">
          <xdr:nvGraphicFramePr>
            <xdr:cNvPr id="16" name="Patient_ID 1">
              <a:extLst>
                <a:ext uri="{FF2B5EF4-FFF2-40B4-BE49-F238E27FC236}">
                  <a16:creationId xmlns:a16="http://schemas.microsoft.com/office/drawing/2014/main" id="{290E49E2-9F57-D494-9975-E6ED19D8A4E7}"/>
                </a:ext>
              </a:extLst>
            </xdr:cNvPr>
            <xdr:cNvGraphicFramePr/>
          </xdr:nvGraphicFramePr>
          <xdr:xfrm>
            <a:off x="0" y="0"/>
            <a:ext cx="0" cy="0"/>
          </xdr:xfrm>
          <a:graphic>
            <a:graphicData uri="http://schemas.microsoft.com/office/drawing/2010/slicer">
              <sle:slicer xmlns:sle="http://schemas.microsoft.com/office/drawing/2010/slicer" name="Patient_ID 1"/>
            </a:graphicData>
          </a:graphic>
        </xdr:graphicFrame>
      </mc:Choice>
      <mc:Fallback>
        <xdr:sp macro="" textlink="">
          <xdr:nvSpPr>
            <xdr:cNvPr id="0" name=""/>
            <xdr:cNvSpPr>
              <a:spLocks noTextEdit="1"/>
            </xdr:cNvSpPr>
          </xdr:nvSpPr>
          <xdr:spPr>
            <a:xfrm>
              <a:off x="3272589" y="141037"/>
              <a:ext cx="1673728" cy="2920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1375945</xdr:colOff>
      <xdr:row>3</xdr:row>
      <xdr:rowOff>29076</xdr:rowOff>
    </xdr:from>
    <xdr:to>
      <xdr:col>5</xdr:col>
      <xdr:colOff>450850</xdr:colOff>
      <xdr:row>16</xdr:row>
      <xdr:rowOff>120149</xdr:rowOff>
    </xdr:to>
    <mc:AlternateContent xmlns:mc="http://schemas.openxmlformats.org/markup-compatibility/2006">
      <mc:Choice xmlns:a14="http://schemas.microsoft.com/office/drawing/2010/main" Requires="a14">
        <xdr:graphicFrame macro="">
          <xdr:nvGraphicFramePr>
            <xdr:cNvPr id="17" name="Age">
              <a:extLst>
                <a:ext uri="{FF2B5EF4-FFF2-40B4-BE49-F238E27FC236}">
                  <a16:creationId xmlns:a16="http://schemas.microsoft.com/office/drawing/2014/main" id="{0F4EA90D-DFDC-32A4-D075-E7B7FE010BF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829050"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314826</xdr:colOff>
      <xdr:row>5</xdr:row>
      <xdr:rowOff>131011</xdr:rowOff>
    </xdr:from>
    <xdr:to>
      <xdr:col>6</xdr:col>
      <xdr:colOff>318837</xdr:colOff>
      <xdr:row>19</xdr:row>
      <xdr:rowOff>34925</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D1028DE3-8A8A-E2E1-AD97-BF880CA7D4C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305300"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182813</xdr:colOff>
      <xdr:row>8</xdr:row>
      <xdr:rowOff>45787</xdr:rowOff>
    </xdr:from>
    <xdr:to>
      <xdr:col>7</xdr:col>
      <xdr:colOff>186824</xdr:colOff>
      <xdr:row>21</xdr:row>
      <xdr:rowOff>136859</xdr:rowOff>
    </xdr:to>
    <mc:AlternateContent xmlns:mc="http://schemas.openxmlformats.org/markup-compatibility/2006">
      <mc:Choice xmlns:a14="http://schemas.microsoft.com/office/drawing/2010/main" Requires="a14">
        <xdr:graphicFrame macro="">
          <xdr:nvGraphicFramePr>
            <xdr:cNvPr id="19" name="Department 3">
              <a:extLst>
                <a:ext uri="{FF2B5EF4-FFF2-40B4-BE49-F238E27FC236}">
                  <a16:creationId xmlns:a16="http://schemas.microsoft.com/office/drawing/2014/main" id="{5F45E07E-3E95-9810-5657-2BD58D103EB1}"/>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4781550"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50800</xdr:colOff>
      <xdr:row>10</xdr:row>
      <xdr:rowOff>147721</xdr:rowOff>
    </xdr:from>
    <xdr:to>
      <xdr:col>8</xdr:col>
      <xdr:colOff>54811</xdr:colOff>
      <xdr:row>24</xdr:row>
      <xdr:rowOff>51636</xdr:rowOff>
    </xdr:to>
    <mc:AlternateContent xmlns:mc="http://schemas.openxmlformats.org/markup-compatibility/2006">
      <mc:Choice xmlns:a14="http://schemas.microsoft.com/office/drawing/2010/main" Requires="a14">
        <xdr:graphicFrame macro="">
          <xdr:nvGraphicFramePr>
            <xdr:cNvPr id="20" name="Doctor">
              <a:extLst>
                <a:ext uri="{FF2B5EF4-FFF2-40B4-BE49-F238E27FC236}">
                  <a16:creationId xmlns:a16="http://schemas.microsoft.com/office/drawing/2014/main" id="{31460A4B-0093-90E8-2A7F-D907B4F623FA}"/>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5257800" y="201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527050</xdr:colOff>
      <xdr:row>13</xdr:row>
      <xdr:rowOff>62497</xdr:rowOff>
    </xdr:from>
    <xdr:to>
      <xdr:col>8</xdr:col>
      <xdr:colOff>531061</xdr:colOff>
      <xdr:row>26</xdr:row>
      <xdr:rowOff>153570</xdr:rowOff>
    </xdr:to>
    <mc:AlternateContent xmlns:mc="http://schemas.openxmlformats.org/markup-compatibility/2006">
      <mc:Choice xmlns:a14="http://schemas.microsoft.com/office/drawing/2010/main" Requires="a14">
        <xdr:graphicFrame macro="">
          <xdr:nvGraphicFramePr>
            <xdr:cNvPr id="21" name="Admission_Type">
              <a:extLst>
                <a:ext uri="{FF2B5EF4-FFF2-40B4-BE49-F238E27FC236}">
                  <a16:creationId xmlns:a16="http://schemas.microsoft.com/office/drawing/2014/main" id="{93113C26-AEDE-C769-E602-C39A2498B8B8}"/>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dr:sp macro="" textlink="">
          <xdr:nvSpPr>
            <xdr:cNvPr id="0" name=""/>
            <xdr:cNvSpPr>
              <a:spLocks noTextEdit="1"/>
            </xdr:cNvSpPr>
          </xdr:nvSpPr>
          <xdr:spPr>
            <a:xfrm>
              <a:off x="5734050" y="249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395037</xdr:colOff>
      <xdr:row>15</xdr:row>
      <xdr:rowOff>164432</xdr:rowOff>
    </xdr:from>
    <xdr:to>
      <xdr:col>9</xdr:col>
      <xdr:colOff>399047</xdr:colOff>
      <xdr:row>29</xdr:row>
      <xdr:rowOff>68346</xdr:rowOff>
    </xdr:to>
    <mc:AlternateContent xmlns:mc="http://schemas.openxmlformats.org/markup-compatibility/2006">
      <mc:Choice xmlns:a14="http://schemas.microsoft.com/office/drawing/2010/main" Requires="a14">
        <xdr:graphicFrame macro="">
          <xdr:nvGraphicFramePr>
            <xdr:cNvPr id="22" name="Length_of_Stay">
              <a:extLst>
                <a:ext uri="{FF2B5EF4-FFF2-40B4-BE49-F238E27FC236}">
                  <a16:creationId xmlns:a16="http://schemas.microsoft.com/office/drawing/2014/main" id="{A0B65528-9449-F9E0-65F4-88A2181295C1}"/>
                </a:ext>
              </a:extLst>
            </xdr:cNvPr>
            <xdr:cNvGraphicFramePr/>
          </xdr:nvGraphicFramePr>
          <xdr:xfrm>
            <a:off x="0" y="0"/>
            <a:ext cx="0" cy="0"/>
          </xdr:xfrm>
          <a:graphic>
            <a:graphicData uri="http://schemas.microsoft.com/office/drawing/2010/slicer">
              <sle:slicer xmlns:sle="http://schemas.microsoft.com/office/drawing/2010/slicer" name="Length_of_Stay"/>
            </a:graphicData>
          </a:graphic>
        </xdr:graphicFrame>
      </mc:Choice>
      <mc:Fallback>
        <xdr:sp macro="" textlink="">
          <xdr:nvSpPr>
            <xdr:cNvPr id="0" name=""/>
            <xdr:cNvSpPr>
              <a:spLocks noTextEdit="1"/>
            </xdr:cNvSpPr>
          </xdr:nvSpPr>
          <xdr:spPr>
            <a:xfrm>
              <a:off x="6210300" y="2971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263024</xdr:colOff>
      <xdr:row>18</xdr:row>
      <xdr:rowOff>79208</xdr:rowOff>
    </xdr:from>
    <xdr:to>
      <xdr:col>10</xdr:col>
      <xdr:colOff>267034</xdr:colOff>
      <xdr:row>31</xdr:row>
      <xdr:rowOff>170280</xdr:rowOff>
    </xdr:to>
    <mc:AlternateContent xmlns:mc="http://schemas.openxmlformats.org/markup-compatibility/2006">
      <mc:Choice xmlns:a14="http://schemas.microsoft.com/office/drawing/2010/main" Requires="a14">
        <xdr:graphicFrame macro="">
          <xdr:nvGraphicFramePr>
            <xdr:cNvPr id="23" name="Treatment_Cost">
              <a:extLst>
                <a:ext uri="{FF2B5EF4-FFF2-40B4-BE49-F238E27FC236}">
                  <a16:creationId xmlns:a16="http://schemas.microsoft.com/office/drawing/2014/main" id="{815F92CF-DE13-6E19-10F4-1614E90AA124}"/>
                </a:ext>
              </a:extLst>
            </xdr:cNvPr>
            <xdr:cNvGraphicFramePr/>
          </xdr:nvGraphicFramePr>
          <xdr:xfrm>
            <a:off x="0" y="0"/>
            <a:ext cx="0" cy="0"/>
          </xdr:xfrm>
          <a:graphic>
            <a:graphicData uri="http://schemas.microsoft.com/office/drawing/2010/slicer">
              <sle:slicer xmlns:sle="http://schemas.microsoft.com/office/drawing/2010/slicer" name="Treatment_Cost"/>
            </a:graphicData>
          </a:graphic>
        </xdr:graphicFrame>
      </mc:Choice>
      <mc:Fallback>
        <xdr:sp macro="" textlink="">
          <xdr:nvSpPr>
            <xdr:cNvPr id="0" name=""/>
            <xdr:cNvSpPr>
              <a:spLocks noTextEdit="1"/>
            </xdr:cNvSpPr>
          </xdr:nvSpPr>
          <xdr:spPr>
            <a:xfrm>
              <a:off x="6686550" y="344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131011</xdr:colOff>
      <xdr:row>20</xdr:row>
      <xdr:rowOff>181142</xdr:rowOff>
    </xdr:from>
    <xdr:to>
      <xdr:col>11</xdr:col>
      <xdr:colOff>135021</xdr:colOff>
      <xdr:row>34</xdr:row>
      <xdr:rowOff>85057</xdr:rowOff>
    </xdr:to>
    <mc:AlternateContent xmlns:mc="http://schemas.openxmlformats.org/markup-compatibility/2006">
      <mc:Choice xmlns:a14="http://schemas.microsoft.com/office/drawing/2010/main" Requires="a14">
        <xdr:graphicFrame macro="">
          <xdr:nvGraphicFramePr>
            <xdr:cNvPr id="24" name="Insurance 3">
              <a:extLst>
                <a:ext uri="{FF2B5EF4-FFF2-40B4-BE49-F238E27FC236}">
                  <a16:creationId xmlns:a16="http://schemas.microsoft.com/office/drawing/2014/main" id="{AD2298A5-6DC4-F0BB-CDA2-D2AC97DC30DB}"/>
                </a:ext>
              </a:extLst>
            </xdr:cNvPr>
            <xdr:cNvGraphicFramePr/>
          </xdr:nvGraphicFramePr>
          <xdr:xfrm>
            <a:off x="0" y="0"/>
            <a:ext cx="0" cy="0"/>
          </xdr:xfrm>
          <a:graphic>
            <a:graphicData uri="http://schemas.microsoft.com/office/drawing/2010/slicer">
              <sle:slicer xmlns:sle="http://schemas.microsoft.com/office/drawing/2010/slicer" name="Insurance 3"/>
            </a:graphicData>
          </a:graphic>
        </xdr:graphicFrame>
      </mc:Choice>
      <mc:Fallback>
        <xdr:sp macro="" textlink="">
          <xdr:nvSpPr>
            <xdr:cNvPr id="0" name=""/>
            <xdr:cNvSpPr>
              <a:spLocks noTextEdit="1"/>
            </xdr:cNvSpPr>
          </xdr:nvSpPr>
          <xdr:spPr>
            <a:xfrm>
              <a:off x="7162800" y="392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607261</xdr:colOff>
      <xdr:row>23</xdr:row>
      <xdr:rowOff>95918</xdr:rowOff>
    </xdr:from>
    <xdr:to>
      <xdr:col>12</xdr:col>
      <xdr:colOff>3008</xdr:colOff>
      <xdr:row>36</xdr:row>
      <xdr:rowOff>186991</xdr:rowOff>
    </xdr:to>
    <mc:AlternateContent xmlns:mc="http://schemas.openxmlformats.org/markup-compatibility/2006">
      <mc:Choice xmlns:a14="http://schemas.microsoft.com/office/drawing/2010/main" Requires="a14">
        <xdr:graphicFrame macro="">
          <xdr:nvGraphicFramePr>
            <xdr:cNvPr id="25" name="Satisfaction_Score">
              <a:extLst>
                <a:ext uri="{FF2B5EF4-FFF2-40B4-BE49-F238E27FC236}">
                  <a16:creationId xmlns:a16="http://schemas.microsoft.com/office/drawing/2014/main" id="{26BACD22-A9C2-D8F8-496A-7E4B1202D8DE}"/>
                </a:ext>
              </a:extLst>
            </xdr:cNvPr>
            <xdr:cNvGraphicFramePr/>
          </xdr:nvGraphicFramePr>
          <xdr:xfrm>
            <a:off x="0" y="0"/>
            <a:ext cx="0" cy="0"/>
          </xdr:xfrm>
          <a:graphic>
            <a:graphicData uri="http://schemas.microsoft.com/office/drawing/2010/slicer">
              <sle:slicer xmlns:sle="http://schemas.microsoft.com/office/drawing/2010/slicer" name="Satisfaction_Score"/>
            </a:graphicData>
          </a:graphic>
        </xdr:graphicFrame>
      </mc:Choice>
      <mc:Fallback>
        <xdr:sp macro="" textlink="">
          <xdr:nvSpPr>
            <xdr:cNvPr id="0" name=""/>
            <xdr:cNvSpPr>
              <a:spLocks noTextEdit="1"/>
            </xdr:cNvSpPr>
          </xdr:nvSpPr>
          <xdr:spPr>
            <a:xfrm>
              <a:off x="7639050" y="440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596900</xdr:colOff>
      <xdr:row>3</xdr:row>
      <xdr:rowOff>6350</xdr:rowOff>
    </xdr:from>
    <xdr:to>
      <xdr:col>3</xdr:col>
      <xdr:colOff>0</xdr:colOff>
      <xdr:row>6</xdr:row>
      <xdr:rowOff>6350</xdr:rowOff>
    </xdr:to>
    <xdr:sp macro="" textlink="">
      <xdr:nvSpPr>
        <xdr:cNvPr id="2" name="TextBox 1">
          <a:extLst>
            <a:ext uri="{FF2B5EF4-FFF2-40B4-BE49-F238E27FC236}">
              <a16:creationId xmlns:a16="http://schemas.microsoft.com/office/drawing/2014/main" id="{401CB187-181F-324B-1D97-4404512E4049}"/>
            </a:ext>
          </a:extLst>
        </xdr:cNvPr>
        <xdr:cNvSpPr txBox="1"/>
      </xdr:nvSpPr>
      <xdr:spPr>
        <a:xfrm>
          <a:off x="596900" y="558800"/>
          <a:ext cx="1231900" cy="55245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PATIENTS</a:t>
          </a:r>
        </a:p>
        <a:p>
          <a:r>
            <a:rPr lang="en-IN" sz="1100" baseline="0"/>
            <a:t>        </a:t>
          </a:r>
          <a:r>
            <a:rPr lang="en-IN" sz="1600" b="1" baseline="0">
              <a:solidFill>
                <a:schemeClr val="bg1"/>
              </a:solidFill>
            </a:rPr>
            <a:t>5000</a:t>
          </a:r>
          <a:endParaRPr lang="en-IN" sz="1100" b="1">
            <a:solidFill>
              <a:schemeClr val="bg1"/>
            </a:solidFill>
          </a:endParaRPr>
        </a:p>
      </xdr:txBody>
    </xdr:sp>
    <xdr:clientData/>
  </xdr:twoCellAnchor>
  <xdr:twoCellAnchor>
    <xdr:from>
      <xdr:col>4</xdr:col>
      <xdr:colOff>6350</xdr:colOff>
      <xdr:row>3</xdr:row>
      <xdr:rowOff>0</xdr:rowOff>
    </xdr:from>
    <xdr:to>
      <xdr:col>7</xdr:col>
      <xdr:colOff>19050</xdr:colOff>
      <xdr:row>6</xdr:row>
      <xdr:rowOff>6350</xdr:rowOff>
    </xdr:to>
    <xdr:sp macro="" textlink="">
      <xdr:nvSpPr>
        <xdr:cNvPr id="3" name="TextBox 2">
          <a:extLst>
            <a:ext uri="{FF2B5EF4-FFF2-40B4-BE49-F238E27FC236}">
              <a16:creationId xmlns:a16="http://schemas.microsoft.com/office/drawing/2014/main" id="{B8CA1B60-2191-4266-FA72-D72390CFE4D9}"/>
            </a:ext>
          </a:extLst>
        </xdr:cNvPr>
        <xdr:cNvSpPr txBox="1"/>
      </xdr:nvSpPr>
      <xdr:spPr>
        <a:xfrm>
          <a:off x="2444750" y="552450"/>
          <a:ext cx="1841500" cy="558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TREATMENT</a:t>
          </a:r>
          <a:r>
            <a:rPr lang="en-IN" sz="1200" baseline="0"/>
            <a:t> COST</a:t>
          </a:r>
        </a:p>
        <a:p>
          <a:r>
            <a:rPr lang="en-IN" sz="1100" baseline="0">
              <a:solidFill>
                <a:schemeClr val="accent4"/>
              </a:solidFill>
            </a:rPr>
            <a:t>           </a:t>
          </a:r>
          <a:r>
            <a:rPr lang="en-IN" sz="1400" b="1" baseline="0">
              <a:solidFill>
                <a:schemeClr val="bg1"/>
              </a:solidFill>
            </a:rPr>
            <a:t>26547K</a:t>
          </a:r>
          <a:endParaRPr lang="en-IN" sz="1100" b="1">
            <a:solidFill>
              <a:schemeClr val="bg1"/>
            </a:solidFill>
          </a:endParaRPr>
        </a:p>
      </xdr:txBody>
    </xdr:sp>
    <xdr:clientData/>
  </xdr:twoCellAnchor>
  <xdr:twoCellAnchor>
    <xdr:from>
      <xdr:col>8</xdr:col>
      <xdr:colOff>0</xdr:colOff>
      <xdr:row>2</xdr:row>
      <xdr:rowOff>171450</xdr:rowOff>
    </xdr:from>
    <xdr:to>
      <xdr:col>11</xdr:col>
      <xdr:colOff>0</xdr:colOff>
      <xdr:row>6</xdr:row>
      <xdr:rowOff>0</xdr:rowOff>
    </xdr:to>
    <xdr:sp macro="" textlink="">
      <xdr:nvSpPr>
        <xdr:cNvPr id="4" name="TextBox 3">
          <a:extLst>
            <a:ext uri="{FF2B5EF4-FFF2-40B4-BE49-F238E27FC236}">
              <a16:creationId xmlns:a16="http://schemas.microsoft.com/office/drawing/2014/main" id="{35618617-0327-2268-6356-324B4C083C03}"/>
            </a:ext>
          </a:extLst>
        </xdr:cNvPr>
        <xdr:cNvSpPr txBox="1"/>
      </xdr:nvSpPr>
      <xdr:spPr>
        <a:xfrm>
          <a:off x="4876800" y="539750"/>
          <a:ext cx="1828800" cy="56515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LENGTH OF STAY</a:t>
          </a:r>
        </a:p>
        <a:p>
          <a:r>
            <a:rPr lang="en-IN" sz="1100"/>
            <a:t>               </a:t>
          </a:r>
          <a:r>
            <a:rPr lang="en-IN" sz="1400" b="1">
              <a:solidFill>
                <a:schemeClr val="bg1"/>
              </a:solidFill>
            </a:rPr>
            <a:t>8-</a:t>
          </a:r>
          <a:r>
            <a:rPr lang="en-IN" sz="1400" b="1" baseline="0">
              <a:solidFill>
                <a:schemeClr val="bg1"/>
              </a:solidFill>
            </a:rPr>
            <a:t> DAYS</a:t>
          </a:r>
          <a:endParaRPr lang="en-IN" sz="1100" b="1">
            <a:solidFill>
              <a:schemeClr val="bg1"/>
            </a:solidFill>
          </a:endParaRPr>
        </a:p>
      </xdr:txBody>
    </xdr:sp>
    <xdr:clientData/>
  </xdr:twoCellAnchor>
  <xdr:twoCellAnchor>
    <xdr:from>
      <xdr:col>12</xdr:col>
      <xdr:colOff>0</xdr:colOff>
      <xdr:row>2</xdr:row>
      <xdr:rowOff>177800</xdr:rowOff>
    </xdr:from>
    <xdr:to>
      <xdr:col>15</xdr:col>
      <xdr:colOff>6350</xdr:colOff>
      <xdr:row>5</xdr:row>
      <xdr:rowOff>177800</xdr:rowOff>
    </xdr:to>
    <xdr:sp macro="" textlink="">
      <xdr:nvSpPr>
        <xdr:cNvPr id="5" name="TextBox 4">
          <a:extLst>
            <a:ext uri="{FF2B5EF4-FFF2-40B4-BE49-F238E27FC236}">
              <a16:creationId xmlns:a16="http://schemas.microsoft.com/office/drawing/2014/main" id="{23D28BFA-049B-8DA0-7E4D-94968F7B9B4C}"/>
            </a:ext>
          </a:extLst>
        </xdr:cNvPr>
        <xdr:cNvSpPr txBox="1"/>
      </xdr:nvSpPr>
      <xdr:spPr>
        <a:xfrm>
          <a:off x="7315200" y="546100"/>
          <a:ext cx="1835150" cy="55245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INSURANCE</a:t>
          </a:r>
          <a:r>
            <a:rPr lang="en-IN" sz="1200" baseline="0"/>
            <a:t> COVERAGE</a:t>
          </a:r>
        </a:p>
        <a:p>
          <a:r>
            <a:rPr lang="en-IN" sz="1100" baseline="0"/>
            <a:t>     </a:t>
          </a:r>
          <a:r>
            <a:rPr lang="en-IN" sz="1400" b="1" baseline="0">
              <a:solidFill>
                <a:schemeClr val="bg1"/>
              </a:solidFill>
            </a:rPr>
            <a:t>49.60%</a:t>
          </a:r>
          <a:endParaRPr lang="en-IN" sz="1100" b="1">
            <a:solidFill>
              <a:schemeClr val="bg1"/>
            </a:solidFill>
          </a:endParaRPr>
        </a:p>
      </xdr:txBody>
    </xdr:sp>
    <xdr:clientData/>
  </xdr:twoCellAnchor>
  <xdr:twoCellAnchor>
    <xdr:from>
      <xdr:col>16</xdr:col>
      <xdr:colOff>6350</xdr:colOff>
      <xdr:row>2</xdr:row>
      <xdr:rowOff>171450</xdr:rowOff>
    </xdr:from>
    <xdr:to>
      <xdr:col>18</xdr:col>
      <xdr:colOff>603250</xdr:colOff>
      <xdr:row>6</xdr:row>
      <xdr:rowOff>12700</xdr:rowOff>
    </xdr:to>
    <xdr:sp macro="" textlink="">
      <xdr:nvSpPr>
        <xdr:cNvPr id="6" name="TextBox 5">
          <a:extLst>
            <a:ext uri="{FF2B5EF4-FFF2-40B4-BE49-F238E27FC236}">
              <a16:creationId xmlns:a16="http://schemas.microsoft.com/office/drawing/2014/main" id="{E7BB4BCC-9694-374D-FD0C-ABAF67177E90}"/>
            </a:ext>
          </a:extLst>
        </xdr:cNvPr>
        <xdr:cNvSpPr txBox="1"/>
      </xdr:nvSpPr>
      <xdr:spPr>
        <a:xfrm>
          <a:off x="9759950" y="539750"/>
          <a:ext cx="1816100" cy="57785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TREATMENT COST</a:t>
          </a:r>
        </a:p>
        <a:p>
          <a:r>
            <a:rPr lang="en-IN" sz="1100"/>
            <a:t>                    </a:t>
          </a:r>
          <a:r>
            <a:rPr lang="en-IN" sz="1600" b="1">
              <a:solidFill>
                <a:schemeClr val="bg1"/>
              </a:solidFill>
            </a:rPr>
            <a:t>53K</a:t>
          </a:r>
          <a:endParaRPr lang="en-IN" sz="1100" b="1">
            <a:solidFill>
              <a:schemeClr val="bg1"/>
            </a:solidFill>
          </a:endParaRPr>
        </a:p>
      </xdr:txBody>
    </xdr:sp>
    <xdr:clientData/>
  </xdr:twoCellAnchor>
  <xdr:twoCellAnchor>
    <xdr:from>
      <xdr:col>0</xdr:col>
      <xdr:colOff>127000</xdr:colOff>
      <xdr:row>9</xdr:row>
      <xdr:rowOff>19050</xdr:rowOff>
    </xdr:from>
    <xdr:to>
      <xdr:col>7</xdr:col>
      <xdr:colOff>12700</xdr:colOff>
      <xdr:row>22</xdr:row>
      <xdr:rowOff>177800</xdr:rowOff>
    </xdr:to>
    <xdr:graphicFrame macro="">
      <xdr:nvGraphicFramePr>
        <xdr:cNvPr id="7" name="Chart 6">
          <a:extLst>
            <a:ext uri="{FF2B5EF4-FFF2-40B4-BE49-F238E27FC236}">
              <a16:creationId xmlns:a16="http://schemas.microsoft.com/office/drawing/2014/main" id="{755A76CE-42C3-4178-B471-44C9781E2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1</xdr:rowOff>
    </xdr:from>
    <xdr:to>
      <xdr:col>15</xdr:col>
      <xdr:colOff>0</xdr:colOff>
      <xdr:row>23</xdr:row>
      <xdr:rowOff>1</xdr:rowOff>
    </xdr:to>
    <xdr:graphicFrame macro="">
      <xdr:nvGraphicFramePr>
        <xdr:cNvPr id="8" name="Chart 7">
          <a:extLst>
            <a:ext uri="{FF2B5EF4-FFF2-40B4-BE49-F238E27FC236}">
              <a16:creationId xmlns:a16="http://schemas.microsoft.com/office/drawing/2014/main" id="{FA833D44-2855-4441-97B4-99223727A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76201</xdr:colOff>
      <xdr:row>28</xdr:row>
      <xdr:rowOff>19050</xdr:rowOff>
    </xdr:from>
    <xdr:to>
      <xdr:col>6</xdr:col>
      <xdr:colOff>603250</xdr:colOff>
      <xdr:row>43</xdr:row>
      <xdr:rowOff>171450</xdr:rowOff>
    </xdr:to>
    <xdr:graphicFrame macro="">
      <xdr:nvGraphicFramePr>
        <xdr:cNvPr id="9" name="Chart 8">
          <a:extLst>
            <a:ext uri="{FF2B5EF4-FFF2-40B4-BE49-F238E27FC236}">
              <a16:creationId xmlns:a16="http://schemas.microsoft.com/office/drawing/2014/main" id="{9607254D-2C11-49C1-94E3-BBB06ABED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603250</xdr:colOff>
      <xdr:row>28</xdr:row>
      <xdr:rowOff>6350</xdr:rowOff>
    </xdr:from>
    <xdr:to>
      <xdr:col>14</xdr:col>
      <xdr:colOff>596900</xdr:colOff>
      <xdr:row>44</xdr:row>
      <xdr:rowOff>12700</xdr:rowOff>
    </xdr:to>
    <xdr:graphicFrame macro="">
      <xdr:nvGraphicFramePr>
        <xdr:cNvPr id="10" name="Chart 9">
          <a:extLst>
            <a:ext uri="{FF2B5EF4-FFF2-40B4-BE49-F238E27FC236}">
              <a16:creationId xmlns:a16="http://schemas.microsoft.com/office/drawing/2014/main" id="{9AF0B073-A74A-485C-92C7-FBE6CAA46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76201</xdr:colOff>
      <xdr:row>49</xdr:row>
      <xdr:rowOff>12700</xdr:rowOff>
    </xdr:from>
    <xdr:to>
      <xdr:col>7</xdr:col>
      <xdr:colOff>1</xdr:colOff>
      <xdr:row>63</xdr:row>
      <xdr:rowOff>117929</xdr:rowOff>
    </xdr:to>
    <xdr:graphicFrame macro="">
      <xdr:nvGraphicFramePr>
        <xdr:cNvPr id="11" name="Chart 10">
          <a:extLst>
            <a:ext uri="{FF2B5EF4-FFF2-40B4-BE49-F238E27FC236}">
              <a16:creationId xmlns:a16="http://schemas.microsoft.com/office/drawing/2014/main" id="{8A6D1C31-D602-41F6-8D76-20DFA45EC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69</xdr:row>
      <xdr:rowOff>25400</xdr:rowOff>
    </xdr:from>
    <xdr:to>
      <xdr:col>7</xdr:col>
      <xdr:colOff>6350</xdr:colOff>
      <xdr:row>84</xdr:row>
      <xdr:rowOff>141510</xdr:rowOff>
    </xdr:to>
    <xdr:graphicFrame macro="">
      <xdr:nvGraphicFramePr>
        <xdr:cNvPr id="12" name="Chart 11">
          <a:extLst>
            <a:ext uri="{FF2B5EF4-FFF2-40B4-BE49-F238E27FC236}">
              <a16:creationId xmlns:a16="http://schemas.microsoft.com/office/drawing/2014/main" id="{80B0CE57-472B-48CD-AD5F-27D15DF7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152400</xdr:colOff>
      <xdr:row>90</xdr:row>
      <xdr:rowOff>165100</xdr:rowOff>
    </xdr:from>
    <xdr:to>
      <xdr:col>7</xdr:col>
      <xdr:colOff>19050</xdr:colOff>
      <xdr:row>107</xdr:row>
      <xdr:rowOff>0</xdr:rowOff>
    </xdr:to>
    <xdr:graphicFrame macro="">
      <xdr:nvGraphicFramePr>
        <xdr:cNvPr id="13" name="Chart 12">
          <a:extLst>
            <a:ext uri="{FF2B5EF4-FFF2-40B4-BE49-F238E27FC236}">
              <a16:creationId xmlns:a16="http://schemas.microsoft.com/office/drawing/2014/main" id="{36515174-1A57-4951-ABD1-217E6286A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603250</xdr:colOff>
      <xdr:row>47</xdr:row>
      <xdr:rowOff>12700</xdr:rowOff>
    </xdr:from>
    <xdr:to>
      <xdr:col>14</xdr:col>
      <xdr:colOff>603250</xdr:colOff>
      <xdr:row>67</xdr:row>
      <xdr:rowOff>63500</xdr:rowOff>
    </xdr:to>
    <xdr:sp macro="" textlink="">
      <xdr:nvSpPr>
        <xdr:cNvPr id="14" name="TextBox 13">
          <a:extLst>
            <a:ext uri="{FF2B5EF4-FFF2-40B4-BE49-F238E27FC236}">
              <a16:creationId xmlns:a16="http://schemas.microsoft.com/office/drawing/2014/main" id="{0B5E1592-FE66-7FC8-167A-4DA89E3DAA6A}"/>
            </a:ext>
          </a:extLst>
        </xdr:cNvPr>
        <xdr:cNvSpPr txBox="1"/>
      </xdr:nvSpPr>
      <xdr:spPr>
        <a:xfrm>
          <a:off x="4870450" y="8667750"/>
          <a:ext cx="4267200" cy="37338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KEY INSIGHTS</a:t>
          </a:r>
          <a:r>
            <a:rPr lang="en-IN" sz="2000" b="1" baseline="0">
              <a:solidFill>
                <a:schemeClr val="dk1"/>
              </a:solidFill>
              <a:effectLst/>
              <a:latin typeface="+mn-lt"/>
              <a:ea typeface="+mn-ea"/>
              <a:cs typeface="+mn-cs"/>
            </a:rPr>
            <a:t> AND OBSERVATION</a:t>
          </a:r>
          <a:endParaRPr lang="en-IN" sz="2000">
            <a:effectLst/>
          </a:endParaRPr>
        </a:p>
        <a:p>
          <a:r>
            <a:rPr lang="en-IN" sz="2000" b="0" i="0" u="none" strike="noStrike">
              <a:solidFill>
                <a:schemeClr val="dk1"/>
              </a:solidFill>
              <a:effectLst/>
              <a:latin typeface="+mn-lt"/>
              <a:ea typeface="+mn-ea"/>
              <a:cs typeface="+mn-cs"/>
            </a:rPr>
            <a:t>1.  Cardiology has the highest patient load based on doctor count</a:t>
          </a:r>
        </a:p>
        <a:p>
          <a:r>
            <a:rPr lang="en-IN" sz="2000">
              <a:effectLst/>
            </a:rPr>
            <a:t> </a:t>
          </a:r>
          <a:r>
            <a:rPr lang="en-IN" sz="2000" b="0" i="0" u="none" strike="noStrike">
              <a:solidFill>
                <a:schemeClr val="dk1"/>
              </a:solidFill>
              <a:effectLst/>
              <a:latin typeface="+mn-lt"/>
              <a:ea typeface="+mn-ea"/>
              <a:cs typeface="+mn-cs"/>
            </a:rPr>
            <a:t>2.  High-cost departments like Surgery drive the maximum revenue</a:t>
          </a:r>
        </a:p>
        <a:p>
          <a:r>
            <a:rPr lang="en-IN" sz="2000">
              <a:effectLst/>
            </a:rPr>
            <a:t> </a:t>
          </a:r>
          <a:r>
            <a:rPr lang="en-IN" sz="2000" b="0" i="0" u="none" strike="noStrike">
              <a:solidFill>
                <a:schemeClr val="dk1"/>
              </a:solidFill>
              <a:effectLst/>
              <a:latin typeface="+mn-lt"/>
              <a:ea typeface="+mn-ea"/>
              <a:cs typeface="+mn-cs"/>
            </a:rPr>
            <a:t>3. 49.6% of patients are covered under insurance</a:t>
          </a:r>
        </a:p>
        <a:p>
          <a:r>
            <a:rPr lang="en-IN" sz="2000">
              <a:effectLst/>
            </a:rPr>
            <a:t> </a:t>
          </a:r>
          <a:r>
            <a:rPr lang="en-IN" sz="2000" b="0" i="0" u="none" strike="noStrike">
              <a:solidFill>
                <a:schemeClr val="dk1"/>
              </a:solidFill>
              <a:effectLst/>
              <a:latin typeface="+mn-lt"/>
              <a:ea typeface="+mn-ea"/>
              <a:cs typeface="+mn-cs"/>
            </a:rPr>
            <a:t>4.  Overall patient satisfaction is 3/5 - needs improvement</a:t>
          </a:r>
        </a:p>
        <a:p>
          <a:r>
            <a:rPr lang="en-IN" sz="2000">
              <a:effectLst/>
            </a:rPr>
            <a:t> </a:t>
          </a:r>
          <a:r>
            <a:rPr lang="en-IN" sz="2000" b="0" i="0" u="none" strike="noStrike">
              <a:solidFill>
                <a:schemeClr val="dk1"/>
              </a:solidFill>
              <a:effectLst/>
              <a:latin typeface="+mn-lt"/>
              <a:ea typeface="+mn-ea"/>
              <a:cs typeface="+mn-cs"/>
            </a:rPr>
            <a:t>5.  Emergency is the most common admission type</a:t>
          </a:r>
          <a:r>
            <a:rPr lang="en-IN" sz="2000">
              <a:effectLst/>
            </a:rPr>
            <a:t> </a:t>
          </a:r>
          <a:endParaRPr lang="en-IN" sz="2000"/>
        </a:p>
      </xdr:txBody>
    </xdr:sp>
    <xdr:clientData/>
  </xdr:twoCellAnchor>
  <xdr:twoCellAnchor>
    <xdr:from>
      <xdr:col>7</xdr:col>
      <xdr:colOff>603250</xdr:colOff>
      <xdr:row>69</xdr:row>
      <xdr:rowOff>0</xdr:rowOff>
    </xdr:from>
    <xdr:to>
      <xdr:col>15</xdr:col>
      <xdr:colOff>25400</xdr:colOff>
      <xdr:row>89</xdr:row>
      <xdr:rowOff>19050</xdr:rowOff>
    </xdr:to>
    <xdr:sp macro="" textlink="">
      <xdr:nvSpPr>
        <xdr:cNvPr id="15" name="TextBox 14">
          <a:extLst>
            <a:ext uri="{FF2B5EF4-FFF2-40B4-BE49-F238E27FC236}">
              <a16:creationId xmlns:a16="http://schemas.microsoft.com/office/drawing/2014/main" id="{E311C99B-10B0-C981-84FB-77FC73B9A084}"/>
            </a:ext>
          </a:extLst>
        </xdr:cNvPr>
        <xdr:cNvSpPr txBox="1"/>
      </xdr:nvSpPr>
      <xdr:spPr>
        <a:xfrm>
          <a:off x="4870450" y="12706350"/>
          <a:ext cx="4298950" cy="37020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RECOMMENDATIONS</a:t>
          </a:r>
        </a:p>
        <a:p>
          <a:r>
            <a:rPr lang="en-IN" sz="2400" b="0"/>
            <a:t>1.Increase resources in departments with the highest patient volume</a:t>
          </a:r>
        </a:p>
        <a:p>
          <a:r>
            <a:rPr lang="en-IN" sz="2400" b="0"/>
            <a:t>2.Improve satisfaction in low-scoring areas to reach 4/5 rating</a:t>
          </a:r>
        </a:p>
        <a:p>
          <a:r>
            <a:rPr lang="en-IN" sz="2400" b="0"/>
            <a:t>3.</a:t>
          </a:r>
          <a:r>
            <a:rPr lang="en-IN" sz="2400" b="0" i="0" u="none" strike="noStrike">
              <a:solidFill>
                <a:schemeClr val="dk1"/>
              </a:solidFill>
              <a:effectLst/>
              <a:latin typeface="+mn-lt"/>
              <a:ea typeface="+mn-ea"/>
              <a:cs typeface="+mn-cs"/>
            </a:rPr>
            <a:t>Promote insurance enrollment among the remaining 50.4% uninsured patients</a:t>
          </a:r>
          <a:endParaRPr lang="en-IN" sz="2400" b="0"/>
        </a:p>
      </xdr:txBody>
    </xdr:sp>
    <xdr:clientData/>
  </xdr:twoCellAnchor>
  <xdr:twoCellAnchor>
    <xdr:from>
      <xdr:col>8</xdr:col>
      <xdr:colOff>0</xdr:colOff>
      <xdr:row>90</xdr:row>
      <xdr:rowOff>0</xdr:rowOff>
    </xdr:from>
    <xdr:to>
      <xdr:col>14</xdr:col>
      <xdr:colOff>590550</xdr:colOff>
      <xdr:row>107</xdr:row>
      <xdr:rowOff>12700</xdr:rowOff>
    </xdr:to>
    <xdr:sp macro="" textlink="">
      <xdr:nvSpPr>
        <xdr:cNvPr id="16" name="TextBox 15">
          <a:extLst>
            <a:ext uri="{FF2B5EF4-FFF2-40B4-BE49-F238E27FC236}">
              <a16:creationId xmlns:a16="http://schemas.microsoft.com/office/drawing/2014/main" id="{D86CF6F2-5FE9-C504-E325-9031EC6B6D5E}"/>
            </a:ext>
          </a:extLst>
        </xdr:cNvPr>
        <xdr:cNvSpPr txBox="1"/>
      </xdr:nvSpPr>
      <xdr:spPr>
        <a:xfrm>
          <a:off x="4876800" y="16573500"/>
          <a:ext cx="4248150" cy="31432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CONCLUSION</a:t>
          </a:r>
        </a:p>
        <a:p>
          <a:r>
            <a:rPr lang="en-IN" sz="1600" b="0" i="0" u="none" strike="noStrike">
              <a:solidFill>
                <a:schemeClr val="dk1"/>
              </a:solidFill>
              <a:effectLst/>
              <a:latin typeface="+mn-lt"/>
              <a:ea typeface="+mn-ea"/>
              <a:cs typeface="+mn-cs"/>
            </a:rPr>
            <a:t>The Healthcare Patient Analytics Dashboard analyzes 4,981 patient records to provide insights on hospital operations,treatment</a:t>
          </a:r>
          <a:r>
            <a:rPr lang="en-IN" sz="1600" b="0" i="0" u="none" strike="noStrike" baseline="0">
              <a:solidFill>
                <a:schemeClr val="dk1"/>
              </a:solidFill>
              <a:effectLst/>
              <a:latin typeface="+mn-lt"/>
              <a:ea typeface="+mn-ea"/>
              <a:cs typeface="+mn-cs"/>
            </a:rPr>
            <a:t> costs and patient care</a:t>
          </a:r>
          <a:r>
            <a:rPr lang="en-IN" sz="1600" b="0" i="0" u="none" strike="noStrike">
              <a:solidFill>
                <a:schemeClr val="dk1"/>
              </a:solidFill>
              <a:effectLst/>
              <a:latin typeface="+mn-lt"/>
              <a:ea typeface="+mn-ea"/>
              <a:cs typeface="+mn-cs"/>
            </a:rPr>
            <a:t> .Key findings show 49.6% insurance coverage, an 8-day average length of stay, and a patient satisfaction score</a:t>
          </a:r>
          <a:r>
            <a:rPr lang="en-IN" sz="1600" b="0" i="0" u="none" strike="noStrike" baseline="0">
              <a:solidFill>
                <a:schemeClr val="dk1"/>
              </a:solidFill>
              <a:effectLst/>
              <a:latin typeface="+mn-lt"/>
              <a:ea typeface="+mn-ea"/>
              <a:cs typeface="+mn-cs"/>
            </a:rPr>
            <a:t> of 3/5.</a:t>
          </a:r>
          <a:r>
            <a:rPr lang="en-IN" sz="1600" b="0" i="0" u="none" strike="noStrike">
              <a:solidFill>
                <a:schemeClr val="dk1"/>
              </a:solidFill>
              <a:effectLst/>
              <a:latin typeface="+mn-lt"/>
              <a:ea typeface="+mn-ea"/>
              <a:cs typeface="+mn-cs"/>
            </a:rPr>
            <a:t> By tracking department performance and treatment costs, the hospital can optimize resources, improve efficiency, and enhance patient satisfaction for better stratergic planning.</a:t>
          </a:r>
        </a:p>
        <a:p>
          <a:r>
            <a:rPr lang="en-IN" sz="1400" b="0" i="0" u="none" strike="noStrike">
              <a:solidFill>
                <a:schemeClr val="dk1"/>
              </a:solidFill>
              <a:effectLst/>
              <a:latin typeface="+mn-lt"/>
              <a:ea typeface="+mn-ea"/>
              <a:cs typeface="+mn-cs"/>
            </a:rPr>
            <a:t> </a:t>
          </a:r>
          <a:endParaRPr lang="en-IN" sz="32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0.09644</cdr:x>
      <cdr:y>0.06785</cdr:y>
    </cdr:from>
    <cdr:to>
      <cdr:x>0.24766</cdr:x>
      <cdr:y>0.31195</cdr:y>
    </cdr:to>
    <cdr:pic>
      <cdr:nvPicPr>
        <cdr:cNvPr id="3" name="Graphic 2" descr="Gender">
          <a:extLst xmlns:a="http://schemas.openxmlformats.org/drawingml/2006/main">
            <a:ext uri="{FF2B5EF4-FFF2-40B4-BE49-F238E27FC236}">
              <a16:creationId xmlns:a16="http://schemas.microsoft.com/office/drawing/2014/main" id="{D6DDBC7F-54B3-3352-2E49-FFF4DC6CA5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10901" y="200355"/>
          <a:ext cx="644326" cy="720766"/>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0.05263</cdr:x>
      <cdr:y>0.14303</cdr:y>
    </cdr:from>
    <cdr:to>
      <cdr:x>0.97368</cdr:x>
      <cdr:y>0.25512</cdr:y>
    </cdr:to>
    <cdr:sp macro="" textlink="">
      <cdr:nvSpPr>
        <cdr:cNvPr id="2" name="Rectangle: Diagonal Corners Rounded 1">
          <a:extLst xmlns:a="http://schemas.openxmlformats.org/drawingml/2006/main">
            <a:ext uri="{FF2B5EF4-FFF2-40B4-BE49-F238E27FC236}">
              <a16:creationId xmlns:a16="http://schemas.microsoft.com/office/drawing/2014/main" id="{4B9B2C39-B16F-14F4-97B4-18EF051F7B4F}"/>
            </a:ext>
          </a:extLst>
        </cdr:cNvPr>
        <cdr:cNvSpPr/>
      </cdr:nvSpPr>
      <cdr:spPr>
        <a:xfrm xmlns:a="http://schemas.openxmlformats.org/drawingml/2006/main">
          <a:off x="240632" y="392362"/>
          <a:ext cx="4211053" cy="307474"/>
        </a:xfrm>
        <a:prstGeom xmlns:a="http://schemas.openxmlformats.org/drawingml/2006/main" prst="round2Diag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sz="1600" b="1" kern="1200">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fish Girl" refreshedDate="46224.952175115737" createdVersion="8" refreshedVersion="8" minRefreshableVersion="3" recordCount="5000" xr:uid="{3DACB43B-D4F2-40B9-A76F-A4E889C62946}">
  <cacheSource type="worksheet">
    <worksheetSource name="Table1"/>
  </cacheSource>
  <cacheFields count="10">
    <cacheField name="Patient_ID" numFmtId="0">
      <sharedItems count="5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 v="P2000"/>
        <s v="P2001"/>
        <s v="P2002"/>
        <s v="P2003"/>
        <s v="P2004"/>
        <s v="P2005"/>
        <s v="P2006"/>
        <s v="P2007"/>
        <s v="P2008"/>
        <s v="P2009"/>
        <s v="P2010"/>
        <s v="P2011"/>
        <s v="P2012"/>
        <s v="P2013"/>
        <s v="P2014"/>
        <s v="P2015"/>
        <s v="P2016"/>
        <s v="P2017"/>
        <s v="P2018"/>
        <s v="P2019"/>
        <s v="P2020"/>
        <s v="P2021"/>
        <s v="P2022"/>
        <s v="P2023"/>
        <s v="P2024"/>
        <s v="P2025"/>
        <s v="P2026"/>
        <s v="P2027"/>
        <s v="P2028"/>
        <s v="P2029"/>
        <s v="P2030"/>
        <s v="P2031"/>
        <s v="P2032"/>
        <s v="P2033"/>
        <s v="P2034"/>
        <s v="P2035"/>
        <s v="P2036"/>
        <s v="P2037"/>
        <s v="P2038"/>
        <s v="P2039"/>
        <s v="P2040"/>
        <s v="P2041"/>
        <s v="P2042"/>
        <s v="P2043"/>
        <s v="P2044"/>
        <s v="P2045"/>
        <s v="P2046"/>
        <s v="P2047"/>
        <s v="P2048"/>
        <s v="P2049"/>
        <s v="P2050"/>
        <s v="P2051"/>
        <s v="P2052"/>
        <s v="P2053"/>
        <s v="P2054"/>
        <s v="P2055"/>
        <s v="P2056"/>
        <s v="P2057"/>
        <s v="P2058"/>
        <s v="P2059"/>
        <s v="P2060"/>
        <s v="P2061"/>
        <s v="P2062"/>
        <s v="P2063"/>
        <s v="P2064"/>
        <s v="P2065"/>
        <s v="P2066"/>
        <s v="P2067"/>
        <s v="P2068"/>
        <s v="P2069"/>
        <s v="P2070"/>
        <s v="P2071"/>
        <s v="P2072"/>
        <s v="P2073"/>
        <s v="P2074"/>
        <s v="P2075"/>
        <s v="P2076"/>
        <s v="P2077"/>
        <s v="P2078"/>
        <s v="P2079"/>
        <s v="P2080"/>
        <s v="P2081"/>
        <s v="P2082"/>
        <s v="P2083"/>
        <s v="P2084"/>
        <s v="P2085"/>
        <s v="P2086"/>
        <s v="P2087"/>
        <s v="P2088"/>
        <s v="P2089"/>
        <s v="P2090"/>
        <s v="P2091"/>
        <s v="P2092"/>
        <s v="P2093"/>
        <s v="P2094"/>
        <s v="P2095"/>
        <s v="P2096"/>
        <s v="P2097"/>
        <s v="P2098"/>
        <s v="P2099"/>
        <s v="P2100"/>
        <s v="P2101"/>
        <s v="P2102"/>
        <s v="P2103"/>
        <s v="P2104"/>
        <s v="P2105"/>
        <s v="P2106"/>
        <s v="P2107"/>
        <s v="P2108"/>
        <s v="P2109"/>
        <s v="P2110"/>
        <s v="P2111"/>
        <s v="P2112"/>
        <s v="P2113"/>
        <s v="P2114"/>
        <s v="P2115"/>
        <s v="P2116"/>
        <s v="P2117"/>
        <s v="P2118"/>
        <s v="P2119"/>
        <s v="P2120"/>
        <s v="P2121"/>
        <s v="P2122"/>
        <s v="P2123"/>
        <s v="P2124"/>
        <s v="P2125"/>
        <s v="P2126"/>
        <s v="P2127"/>
        <s v="P2128"/>
        <s v="P2129"/>
        <s v="P2130"/>
        <s v="P2131"/>
        <s v="P2132"/>
        <s v="P2133"/>
        <s v="P2134"/>
        <s v="P2135"/>
        <s v="P2136"/>
        <s v="P2137"/>
        <s v="P2138"/>
        <s v="P2139"/>
        <s v="P2140"/>
        <s v="P2141"/>
        <s v="P2142"/>
        <s v="P2143"/>
        <s v="P2144"/>
        <s v="P2145"/>
        <s v="P2146"/>
        <s v="P2147"/>
        <s v="P2148"/>
        <s v="P2149"/>
        <s v="P2150"/>
        <s v="P2151"/>
        <s v="P2152"/>
        <s v="P2153"/>
        <s v="P2154"/>
        <s v="P2155"/>
        <s v="P2156"/>
        <s v="P2157"/>
        <s v="P2158"/>
        <s v="P2159"/>
        <s v="P2160"/>
        <s v="P2161"/>
        <s v="P2162"/>
        <s v="P2163"/>
        <s v="P2164"/>
        <s v="P2165"/>
        <s v="P2166"/>
        <s v="P2167"/>
        <s v="P2168"/>
        <s v="P2169"/>
        <s v="P2170"/>
        <s v="P2171"/>
        <s v="P2172"/>
        <s v="P2173"/>
        <s v="P2174"/>
        <s v="P2175"/>
        <s v="P2176"/>
        <s v="P2177"/>
        <s v="P2178"/>
        <s v="P2179"/>
        <s v="P2180"/>
        <s v="P2181"/>
        <s v="P2182"/>
        <s v="P2183"/>
        <s v="P2184"/>
        <s v="P2185"/>
        <s v="P2186"/>
        <s v="P2187"/>
        <s v="P2188"/>
        <s v="P2189"/>
        <s v="P2190"/>
        <s v="P2191"/>
        <s v="P2192"/>
        <s v="P2193"/>
        <s v="P2194"/>
        <s v="P2195"/>
        <s v="P2196"/>
        <s v="P2197"/>
        <s v="P2198"/>
        <s v="P2199"/>
        <s v="P2200"/>
        <s v="P2201"/>
        <s v="P2202"/>
        <s v="P2203"/>
        <s v="P2204"/>
        <s v="P2205"/>
        <s v="P2206"/>
        <s v="P2207"/>
        <s v="P2208"/>
        <s v="P2209"/>
        <s v="P2210"/>
        <s v="P2211"/>
        <s v="P2212"/>
        <s v="P2213"/>
        <s v="P2214"/>
        <s v="P2215"/>
        <s v="P2216"/>
        <s v="P2217"/>
        <s v="P2218"/>
        <s v="P2219"/>
        <s v="P2220"/>
        <s v="P2221"/>
        <s v="P2222"/>
        <s v="P2223"/>
        <s v="P2224"/>
        <s v="P2225"/>
        <s v="P2226"/>
        <s v="P2227"/>
        <s v="P2228"/>
        <s v="P2229"/>
        <s v="P2230"/>
        <s v="P2231"/>
        <s v="P2232"/>
        <s v="P2233"/>
        <s v="P2234"/>
        <s v="P2235"/>
        <s v="P2236"/>
        <s v="P2237"/>
        <s v="P2238"/>
        <s v="P2239"/>
        <s v="P2240"/>
        <s v="P2241"/>
        <s v="P2242"/>
        <s v="P2243"/>
        <s v="P2244"/>
        <s v="P2245"/>
        <s v="P2246"/>
        <s v="P2247"/>
        <s v="P2248"/>
        <s v="P2249"/>
        <s v="P2250"/>
        <s v="P2251"/>
        <s v="P2252"/>
        <s v="P2253"/>
        <s v="P2254"/>
        <s v="P2255"/>
        <s v="P2256"/>
        <s v="P2257"/>
        <s v="P2258"/>
        <s v="P2259"/>
        <s v="P2260"/>
        <s v="P2261"/>
        <s v="P2262"/>
        <s v="P2263"/>
        <s v="P2264"/>
        <s v="P2265"/>
        <s v="P2266"/>
        <s v="P2267"/>
        <s v="P2268"/>
        <s v="P2269"/>
        <s v="P2270"/>
        <s v="P2271"/>
        <s v="P2272"/>
        <s v="P2273"/>
        <s v="P2274"/>
        <s v="P2275"/>
        <s v="P2276"/>
        <s v="P2277"/>
        <s v="P2278"/>
        <s v="P2279"/>
        <s v="P2280"/>
        <s v="P2281"/>
        <s v="P2282"/>
        <s v="P2283"/>
        <s v="P2284"/>
        <s v="P2285"/>
        <s v="P2286"/>
        <s v="P2287"/>
        <s v="P2288"/>
        <s v="P2289"/>
        <s v="P2290"/>
        <s v="P2291"/>
        <s v="P2292"/>
        <s v="P2293"/>
        <s v="P2294"/>
        <s v="P2295"/>
        <s v="P2296"/>
        <s v="P2297"/>
        <s v="P2298"/>
        <s v="P2299"/>
        <s v="P2300"/>
        <s v="P2301"/>
        <s v="P2302"/>
        <s v="P2303"/>
        <s v="P2304"/>
        <s v="P2305"/>
        <s v="P2306"/>
        <s v="P2307"/>
        <s v="P2308"/>
        <s v="P2309"/>
        <s v="P2310"/>
        <s v="P2311"/>
        <s v="P2312"/>
        <s v="P2313"/>
        <s v="P2314"/>
        <s v="P2315"/>
        <s v="P2316"/>
        <s v="P2317"/>
        <s v="P2318"/>
        <s v="P2319"/>
        <s v="P2320"/>
        <s v="P2321"/>
        <s v="P2322"/>
        <s v="P2323"/>
        <s v="P2324"/>
        <s v="P2325"/>
        <s v="P2326"/>
        <s v="P2327"/>
        <s v="P2328"/>
        <s v="P2329"/>
        <s v="P2330"/>
        <s v="P2331"/>
        <s v="P2332"/>
        <s v="P2333"/>
        <s v="P2334"/>
        <s v="P2335"/>
        <s v="P2336"/>
        <s v="P2337"/>
        <s v="P2338"/>
        <s v="P2339"/>
        <s v="P2340"/>
        <s v="P2341"/>
        <s v="P2342"/>
        <s v="P2343"/>
        <s v="P2344"/>
        <s v="P2345"/>
        <s v="P2346"/>
        <s v="P2347"/>
        <s v="P2348"/>
        <s v="P2349"/>
        <s v="P2350"/>
        <s v="P2351"/>
        <s v="P2352"/>
        <s v="P2353"/>
        <s v="P2354"/>
        <s v="P2355"/>
        <s v="P2356"/>
        <s v="P2357"/>
        <s v="P2358"/>
        <s v="P2359"/>
        <s v="P2360"/>
        <s v="P2361"/>
        <s v="P2362"/>
        <s v="P2363"/>
        <s v="P2364"/>
        <s v="P2365"/>
        <s v="P2366"/>
        <s v="P2367"/>
        <s v="P2368"/>
        <s v="P2369"/>
        <s v="P2370"/>
        <s v="P2371"/>
        <s v="P2372"/>
        <s v="P2373"/>
        <s v="P2374"/>
        <s v="P2375"/>
        <s v="P2376"/>
        <s v="P2377"/>
        <s v="P2378"/>
        <s v="P2379"/>
        <s v="P2380"/>
        <s v="P2381"/>
        <s v="P2382"/>
        <s v="P2383"/>
        <s v="P2384"/>
        <s v="P2385"/>
        <s v="P2386"/>
        <s v="P2387"/>
        <s v="P2388"/>
        <s v="P2389"/>
        <s v="P2390"/>
        <s v="P2391"/>
        <s v="P2392"/>
        <s v="P2393"/>
        <s v="P2394"/>
        <s v="P2395"/>
        <s v="P2396"/>
        <s v="P2397"/>
        <s v="P2398"/>
        <s v="P2399"/>
        <s v="P2400"/>
        <s v="P2401"/>
        <s v="P2402"/>
        <s v="P2403"/>
        <s v="P2404"/>
        <s v="P2405"/>
        <s v="P2406"/>
        <s v="P2407"/>
        <s v="P2408"/>
        <s v="P2409"/>
        <s v="P2410"/>
        <s v="P2411"/>
        <s v="P2412"/>
        <s v="P2413"/>
        <s v="P2414"/>
        <s v="P2415"/>
        <s v="P2416"/>
        <s v="P2417"/>
        <s v="P2418"/>
        <s v="P2419"/>
        <s v="P2420"/>
        <s v="P2421"/>
        <s v="P2422"/>
        <s v="P2423"/>
        <s v="P2424"/>
        <s v="P2425"/>
        <s v="P2426"/>
        <s v="P2427"/>
        <s v="P2428"/>
        <s v="P2429"/>
        <s v="P2430"/>
        <s v="P2431"/>
        <s v="P2432"/>
        <s v="P2433"/>
        <s v="P2434"/>
        <s v="P2435"/>
        <s v="P2436"/>
        <s v="P2437"/>
        <s v="P2438"/>
        <s v="P2439"/>
        <s v="P2440"/>
        <s v="P2441"/>
        <s v="P2442"/>
        <s v="P2443"/>
        <s v="P2444"/>
        <s v="P2445"/>
        <s v="P2446"/>
        <s v="P2447"/>
        <s v="P2448"/>
        <s v="P2449"/>
        <s v="P2450"/>
        <s v="P2451"/>
        <s v="P2452"/>
        <s v="P2453"/>
        <s v="P2454"/>
        <s v="P2455"/>
        <s v="P2456"/>
        <s v="P2457"/>
        <s v="P2458"/>
        <s v="P2459"/>
        <s v="P2460"/>
        <s v="P2461"/>
        <s v="P2462"/>
        <s v="P2463"/>
        <s v="P2464"/>
        <s v="P2465"/>
        <s v="P2466"/>
        <s v="P2467"/>
        <s v="P2468"/>
        <s v="P2469"/>
        <s v="P2470"/>
        <s v="P2471"/>
        <s v="P2472"/>
        <s v="P2473"/>
        <s v="P2474"/>
        <s v="P2475"/>
        <s v="P2476"/>
        <s v="P2477"/>
        <s v="P2478"/>
        <s v="P2479"/>
        <s v="P2480"/>
        <s v="P2481"/>
        <s v="P2482"/>
        <s v="P2483"/>
        <s v="P2484"/>
        <s v="P2485"/>
        <s v="P2486"/>
        <s v="P2487"/>
        <s v="P2488"/>
        <s v="P2489"/>
        <s v="P2490"/>
        <s v="P2491"/>
        <s v="P2492"/>
        <s v="P2493"/>
        <s v="P2494"/>
        <s v="P2495"/>
        <s v="P2496"/>
        <s v="P2497"/>
        <s v="P2498"/>
        <s v="P2499"/>
        <s v="P2500"/>
        <s v="P2501"/>
        <s v="P2502"/>
        <s v="P2503"/>
        <s v="P2504"/>
        <s v="P2505"/>
        <s v="P2506"/>
        <s v="P2507"/>
        <s v="P2508"/>
        <s v="P2509"/>
        <s v="P2510"/>
        <s v="P2511"/>
        <s v="P2512"/>
        <s v="P2513"/>
        <s v="P2514"/>
        <s v="P2515"/>
        <s v="P2516"/>
        <s v="P2517"/>
        <s v="P2518"/>
        <s v="P2519"/>
        <s v="P2520"/>
        <s v="P2521"/>
        <s v="P2522"/>
        <s v="P2523"/>
        <s v="P2524"/>
        <s v="P2525"/>
        <s v="P2526"/>
        <s v="P2527"/>
        <s v="P2528"/>
        <s v="P2529"/>
        <s v="P2530"/>
        <s v="P2531"/>
        <s v="P2532"/>
        <s v="P2533"/>
        <s v="P2534"/>
        <s v="P2535"/>
        <s v="P2536"/>
        <s v="P2537"/>
        <s v="P2538"/>
        <s v="P2539"/>
        <s v="P2540"/>
        <s v="P2541"/>
        <s v="P2542"/>
        <s v="P2543"/>
        <s v="P2544"/>
        <s v="P2545"/>
        <s v="P2546"/>
        <s v="P2547"/>
        <s v="P2548"/>
        <s v="P2549"/>
        <s v="P2550"/>
        <s v="P2551"/>
        <s v="P2552"/>
        <s v="P2553"/>
        <s v="P2554"/>
        <s v="P2555"/>
        <s v="P2556"/>
        <s v="P2557"/>
        <s v="P2558"/>
        <s v="P2559"/>
        <s v="P2560"/>
        <s v="P2561"/>
        <s v="P2562"/>
        <s v="P2563"/>
        <s v="P2564"/>
        <s v="P2565"/>
        <s v="P2566"/>
        <s v="P2567"/>
        <s v="P2568"/>
        <s v="P2569"/>
        <s v="P2570"/>
        <s v="P2571"/>
        <s v="P2572"/>
        <s v="P2573"/>
        <s v="P2574"/>
        <s v="P2575"/>
        <s v="P2576"/>
        <s v="P2577"/>
        <s v="P2578"/>
        <s v="P2579"/>
        <s v="P2580"/>
        <s v="P2581"/>
        <s v="P2582"/>
        <s v="P2583"/>
        <s v="P2584"/>
        <s v="P2585"/>
        <s v="P2586"/>
        <s v="P2587"/>
        <s v="P2588"/>
        <s v="P2589"/>
        <s v="P2590"/>
        <s v="P2591"/>
        <s v="P2592"/>
        <s v="P2593"/>
        <s v="P2594"/>
        <s v="P2595"/>
        <s v="P2596"/>
        <s v="P2597"/>
        <s v="P2598"/>
        <s v="P2599"/>
        <s v="P2600"/>
        <s v="P2601"/>
        <s v="P2602"/>
        <s v="P2603"/>
        <s v="P2604"/>
        <s v="P2605"/>
        <s v="P2606"/>
        <s v="P2607"/>
        <s v="P2608"/>
        <s v="P2609"/>
        <s v="P2610"/>
        <s v="P2611"/>
        <s v="P2612"/>
        <s v="P2613"/>
        <s v="P2614"/>
        <s v="P2615"/>
        <s v="P2616"/>
        <s v="P2617"/>
        <s v="P2618"/>
        <s v="P2619"/>
        <s v="P2620"/>
        <s v="P2621"/>
        <s v="P2622"/>
        <s v="P2623"/>
        <s v="P2624"/>
        <s v="P2625"/>
        <s v="P2626"/>
        <s v="P2627"/>
        <s v="P2628"/>
        <s v="P2629"/>
        <s v="P2630"/>
        <s v="P2631"/>
        <s v="P2632"/>
        <s v="P2633"/>
        <s v="P2634"/>
        <s v="P2635"/>
        <s v="P2636"/>
        <s v="P2637"/>
        <s v="P2638"/>
        <s v="P2639"/>
        <s v="P2640"/>
        <s v="P2641"/>
        <s v="P2642"/>
        <s v="P2643"/>
        <s v="P2644"/>
        <s v="P2645"/>
        <s v="P2646"/>
        <s v="P2647"/>
        <s v="P2648"/>
        <s v="P2649"/>
        <s v="P2650"/>
        <s v="P2651"/>
        <s v="P2652"/>
        <s v="P2653"/>
        <s v="P2654"/>
        <s v="P2655"/>
        <s v="P2656"/>
        <s v="P2657"/>
        <s v="P2658"/>
        <s v="P2659"/>
        <s v="P2660"/>
        <s v="P2661"/>
        <s v="P2662"/>
        <s v="P2663"/>
        <s v="P2664"/>
        <s v="P2665"/>
        <s v="P2666"/>
        <s v="P2667"/>
        <s v="P2668"/>
        <s v="P2669"/>
        <s v="P2670"/>
        <s v="P2671"/>
        <s v="P2672"/>
        <s v="P2673"/>
        <s v="P2674"/>
        <s v="P2675"/>
        <s v="P2676"/>
        <s v="P2677"/>
        <s v="P2678"/>
        <s v="P2679"/>
        <s v="P2680"/>
        <s v="P2681"/>
        <s v="P2682"/>
        <s v="P2683"/>
        <s v="P2684"/>
        <s v="P2685"/>
        <s v="P2686"/>
        <s v="P2687"/>
        <s v="P2688"/>
        <s v="P2689"/>
        <s v="P2690"/>
        <s v="P2691"/>
        <s v="P2692"/>
        <s v="P2693"/>
        <s v="P2694"/>
        <s v="P2695"/>
        <s v="P2696"/>
        <s v="P2697"/>
        <s v="P2698"/>
        <s v="P2699"/>
        <s v="P2700"/>
        <s v="P2701"/>
        <s v="P2702"/>
        <s v="P2703"/>
        <s v="P2704"/>
        <s v="P2705"/>
        <s v="P2706"/>
        <s v="P2707"/>
        <s v="P2708"/>
        <s v="P2709"/>
        <s v="P2710"/>
        <s v="P2711"/>
        <s v="P2712"/>
        <s v="P2713"/>
        <s v="P2714"/>
        <s v="P2715"/>
        <s v="P2716"/>
        <s v="P2717"/>
        <s v="P2718"/>
        <s v="P2719"/>
        <s v="P2720"/>
        <s v="P2721"/>
        <s v="P2722"/>
        <s v="P2723"/>
        <s v="P2724"/>
        <s v="P2725"/>
        <s v="P2726"/>
        <s v="P2727"/>
        <s v="P2728"/>
        <s v="P2729"/>
        <s v="P2730"/>
        <s v="P2731"/>
        <s v="P2732"/>
        <s v="P2733"/>
        <s v="P2734"/>
        <s v="P2735"/>
        <s v="P2736"/>
        <s v="P2737"/>
        <s v="P2738"/>
        <s v="P2739"/>
        <s v="P2740"/>
        <s v="P2741"/>
        <s v="P2742"/>
        <s v="P2743"/>
        <s v="P2744"/>
        <s v="P2745"/>
        <s v="P2746"/>
        <s v="P2747"/>
        <s v="P2748"/>
        <s v="P2749"/>
        <s v="P2750"/>
        <s v="P2751"/>
        <s v="P2752"/>
        <s v="P2753"/>
        <s v="P2754"/>
        <s v="P2755"/>
        <s v="P2756"/>
        <s v="P2757"/>
        <s v="P2758"/>
        <s v="P2759"/>
        <s v="P2760"/>
        <s v="P2761"/>
        <s v="P2762"/>
        <s v="P2763"/>
        <s v="P2764"/>
        <s v="P2765"/>
        <s v="P2766"/>
        <s v="P2767"/>
        <s v="P2768"/>
        <s v="P2769"/>
        <s v="P2770"/>
        <s v="P2771"/>
        <s v="P2772"/>
        <s v="P2773"/>
        <s v="P2774"/>
        <s v="P2775"/>
        <s v="P2776"/>
        <s v="P2777"/>
        <s v="P2778"/>
        <s v="P2779"/>
        <s v="P2780"/>
        <s v="P2781"/>
        <s v="P2782"/>
        <s v="P2783"/>
        <s v="P2784"/>
        <s v="P2785"/>
        <s v="P2786"/>
        <s v="P2787"/>
        <s v="P2788"/>
        <s v="P2789"/>
        <s v="P2790"/>
        <s v="P2791"/>
        <s v="P2792"/>
        <s v="P2793"/>
        <s v="P2794"/>
        <s v="P2795"/>
        <s v="P2796"/>
        <s v="P2797"/>
        <s v="P2798"/>
        <s v="P2799"/>
        <s v="P2800"/>
        <s v="P2801"/>
        <s v="P2802"/>
        <s v="P2803"/>
        <s v="P2804"/>
        <s v="P2805"/>
        <s v="P2806"/>
        <s v="P2807"/>
        <s v="P2808"/>
        <s v="P2809"/>
        <s v="P2810"/>
        <s v="P2811"/>
        <s v="P2812"/>
        <s v="P2813"/>
        <s v="P2814"/>
        <s v="P2815"/>
        <s v="P2816"/>
        <s v="P2817"/>
        <s v="P2818"/>
        <s v="P2819"/>
        <s v="P2820"/>
        <s v="P2821"/>
        <s v="P2822"/>
        <s v="P2823"/>
        <s v="P2824"/>
        <s v="P2825"/>
        <s v="P2826"/>
        <s v="P2827"/>
        <s v="P2828"/>
        <s v="P2829"/>
        <s v="P2830"/>
        <s v="P2831"/>
        <s v="P2832"/>
        <s v="P2833"/>
        <s v="P2834"/>
        <s v="P2835"/>
        <s v="P2836"/>
        <s v="P2837"/>
        <s v="P2838"/>
        <s v="P2839"/>
        <s v="P2840"/>
        <s v="P2841"/>
        <s v="P2842"/>
        <s v="P2843"/>
        <s v="P2844"/>
        <s v="P2845"/>
        <s v="P2846"/>
        <s v="P2847"/>
        <s v="P2848"/>
        <s v="P2849"/>
        <s v="P2850"/>
        <s v="P2851"/>
        <s v="P2852"/>
        <s v="P2853"/>
        <s v="P2854"/>
        <s v="P2855"/>
        <s v="P2856"/>
        <s v="P2857"/>
        <s v="P2858"/>
        <s v="P2859"/>
        <s v="P2860"/>
        <s v="P2861"/>
        <s v="P2862"/>
        <s v="P2863"/>
        <s v="P2864"/>
        <s v="P2865"/>
        <s v="P2866"/>
        <s v="P2867"/>
        <s v="P2868"/>
        <s v="P2869"/>
        <s v="P2870"/>
        <s v="P2871"/>
        <s v="P2872"/>
        <s v="P2873"/>
        <s v="P2874"/>
        <s v="P2875"/>
        <s v="P2876"/>
        <s v="P2877"/>
        <s v="P2878"/>
        <s v="P2879"/>
        <s v="P2880"/>
        <s v="P2881"/>
        <s v="P2882"/>
        <s v="P2883"/>
        <s v="P2884"/>
        <s v="P2885"/>
        <s v="P2886"/>
        <s v="P2887"/>
        <s v="P2888"/>
        <s v="P2889"/>
        <s v="P2890"/>
        <s v="P2891"/>
        <s v="P2892"/>
        <s v="P2893"/>
        <s v="P2894"/>
        <s v="P2895"/>
        <s v="P2896"/>
        <s v="P2897"/>
        <s v="P2898"/>
        <s v="P2899"/>
        <s v="P2900"/>
        <s v="P2901"/>
        <s v="P2902"/>
        <s v="P2903"/>
        <s v="P2904"/>
        <s v="P2905"/>
        <s v="P2906"/>
        <s v="P2907"/>
        <s v="P2908"/>
        <s v="P2909"/>
        <s v="P2910"/>
        <s v="P2911"/>
        <s v="P2912"/>
        <s v="P2913"/>
        <s v="P2914"/>
        <s v="P2915"/>
        <s v="P2916"/>
        <s v="P2917"/>
        <s v="P2918"/>
        <s v="P2919"/>
        <s v="P2920"/>
        <s v="P2921"/>
        <s v="P2922"/>
        <s v="P2923"/>
        <s v="P2924"/>
        <s v="P2925"/>
        <s v="P2926"/>
        <s v="P2927"/>
        <s v="P2928"/>
        <s v="P2929"/>
        <s v="P2930"/>
        <s v="P2931"/>
        <s v="P2932"/>
        <s v="P2933"/>
        <s v="P2934"/>
        <s v="P2935"/>
        <s v="P2936"/>
        <s v="P2937"/>
        <s v="P2938"/>
        <s v="P2939"/>
        <s v="P2940"/>
        <s v="P2941"/>
        <s v="P2942"/>
        <s v="P2943"/>
        <s v="P2944"/>
        <s v="P2945"/>
        <s v="P2946"/>
        <s v="P2947"/>
        <s v="P2948"/>
        <s v="P2949"/>
        <s v="P2950"/>
        <s v="P2951"/>
        <s v="P2952"/>
        <s v="P2953"/>
        <s v="P2954"/>
        <s v="P2955"/>
        <s v="P2956"/>
        <s v="P2957"/>
        <s v="P2958"/>
        <s v="P2959"/>
        <s v="P2960"/>
        <s v="P2961"/>
        <s v="P2962"/>
        <s v="P2963"/>
        <s v="P2964"/>
        <s v="P2965"/>
        <s v="P2966"/>
        <s v="P2967"/>
        <s v="P2968"/>
        <s v="P2969"/>
        <s v="P2970"/>
        <s v="P2971"/>
        <s v="P2972"/>
        <s v="P2973"/>
        <s v="P2974"/>
        <s v="P2975"/>
        <s v="P2976"/>
        <s v="P2977"/>
        <s v="P2978"/>
        <s v="P2979"/>
        <s v="P2980"/>
        <s v="P2981"/>
        <s v="P2982"/>
        <s v="P2983"/>
        <s v="P2984"/>
        <s v="P2985"/>
        <s v="P2986"/>
        <s v="P2987"/>
        <s v="P2988"/>
        <s v="P2989"/>
        <s v="P2990"/>
        <s v="P2991"/>
        <s v="P2992"/>
        <s v="P2993"/>
        <s v="P2994"/>
        <s v="P2995"/>
        <s v="P2996"/>
        <s v="P2997"/>
        <s v="P2998"/>
        <s v="P2999"/>
        <s v="P3000"/>
        <s v="P3001"/>
        <s v="P3002"/>
        <s v="P3003"/>
        <s v="P3004"/>
        <s v="P3005"/>
        <s v="P3006"/>
        <s v="P3007"/>
        <s v="P3008"/>
        <s v="P3009"/>
        <s v="P3010"/>
        <s v="P3011"/>
        <s v="P3012"/>
        <s v="P3013"/>
        <s v="P3014"/>
        <s v="P3015"/>
        <s v="P3016"/>
        <s v="P3017"/>
        <s v="P3018"/>
        <s v="P3019"/>
        <s v="P3020"/>
        <s v="P3021"/>
        <s v="P3022"/>
        <s v="P3023"/>
        <s v="P3024"/>
        <s v="P3025"/>
        <s v="P3026"/>
        <s v="P3027"/>
        <s v="P3028"/>
        <s v="P3029"/>
        <s v="P3030"/>
        <s v="P3031"/>
        <s v="P3032"/>
        <s v="P3033"/>
        <s v="P3034"/>
        <s v="P3035"/>
        <s v="P3036"/>
        <s v="P3037"/>
        <s v="P3038"/>
        <s v="P3039"/>
        <s v="P3040"/>
        <s v="P3041"/>
        <s v="P3042"/>
        <s v="P3043"/>
        <s v="P3044"/>
        <s v="P3045"/>
        <s v="P3046"/>
        <s v="P3047"/>
        <s v="P3048"/>
        <s v="P3049"/>
        <s v="P3050"/>
        <s v="P3051"/>
        <s v="P3052"/>
        <s v="P3053"/>
        <s v="P3054"/>
        <s v="P3055"/>
        <s v="P3056"/>
        <s v="P3057"/>
        <s v="P3058"/>
        <s v="P3059"/>
        <s v="P3060"/>
        <s v="P3061"/>
        <s v="P3062"/>
        <s v="P3063"/>
        <s v="P3064"/>
        <s v="P3065"/>
        <s v="P3066"/>
        <s v="P3067"/>
        <s v="P3068"/>
        <s v="P3069"/>
        <s v="P3070"/>
        <s v="P3071"/>
        <s v="P3072"/>
        <s v="P3073"/>
        <s v="P3074"/>
        <s v="P3075"/>
        <s v="P3076"/>
        <s v="P3077"/>
        <s v="P3078"/>
        <s v="P3079"/>
        <s v="P3080"/>
        <s v="P3081"/>
        <s v="P3082"/>
        <s v="P3083"/>
        <s v="P3084"/>
        <s v="P3085"/>
        <s v="P3086"/>
        <s v="P3087"/>
        <s v="P3088"/>
        <s v="P3089"/>
        <s v="P3090"/>
        <s v="P3091"/>
        <s v="P3092"/>
        <s v="P3093"/>
        <s v="P3094"/>
        <s v="P3095"/>
        <s v="P3096"/>
        <s v="P3097"/>
        <s v="P3098"/>
        <s v="P3099"/>
        <s v="P3100"/>
        <s v="P3101"/>
        <s v="P3102"/>
        <s v="P3103"/>
        <s v="P3104"/>
        <s v="P3105"/>
        <s v="P3106"/>
        <s v="P3107"/>
        <s v="P3108"/>
        <s v="P3109"/>
        <s v="P3110"/>
        <s v="P3111"/>
        <s v="P3112"/>
        <s v="P3113"/>
        <s v="P3114"/>
        <s v="P3115"/>
        <s v="P3116"/>
        <s v="P3117"/>
        <s v="P3118"/>
        <s v="P3119"/>
        <s v="P3120"/>
        <s v="P3121"/>
        <s v="P3122"/>
        <s v="P3123"/>
        <s v="P3124"/>
        <s v="P3125"/>
        <s v="P3126"/>
        <s v="P3127"/>
        <s v="P3128"/>
        <s v="P3129"/>
        <s v="P3130"/>
        <s v="P3131"/>
        <s v="P3132"/>
        <s v="P3133"/>
        <s v="P3134"/>
        <s v="P3135"/>
        <s v="P3136"/>
        <s v="P3137"/>
        <s v="P3138"/>
        <s v="P3139"/>
        <s v="P3140"/>
        <s v="P3141"/>
        <s v="P3142"/>
        <s v="P3143"/>
        <s v="P3144"/>
        <s v="P3145"/>
        <s v="P3146"/>
        <s v="P3147"/>
        <s v="P3148"/>
        <s v="P3149"/>
        <s v="P3150"/>
        <s v="P3151"/>
        <s v="P3152"/>
        <s v="P3153"/>
        <s v="P3154"/>
        <s v="P3155"/>
        <s v="P3156"/>
        <s v="P3157"/>
        <s v="P3158"/>
        <s v="P3159"/>
        <s v="P3160"/>
        <s v="P3161"/>
        <s v="P3162"/>
        <s v="P3163"/>
        <s v="P3164"/>
        <s v="P3165"/>
        <s v="P3166"/>
        <s v="P3167"/>
        <s v="P3168"/>
        <s v="P3169"/>
        <s v="P3170"/>
        <s v="P3171"/>
        <s v="P3172"/>
        <s v="P3173"/>
        <s v="P3174"/>
        <s v="P3175"/>
        <s v="P3176"/>
        <s v="P3177"/>
        <s v="P3178"/>
        <s v="P3179"/>
        <s v="P3180"/>
        <s v="P3181"/>
        <s v="P3182"/>
        <s v="P3183"/>
        <s v="P3184"/>
        <s v="P3185"/>
        <s v="P3186"/>
        <s v="P3187"/>
        <s v="P3188"/>
        <s v="P3189"/>
        <s v="P3190"/>
        <s v="P3191"/>
        <s v="P3192"/>
        <s v="P3193"/>
        <s v="P3194"/>
        <s v="P3195"/>
        <s v="P3196"/>
        <s v="P3197"/>
        <s v="P3198"/>
        <s v="P3199"/>
        <s v="P3200"/>
        <s v="P3201"/>
        <s v="P3202"/>
        <s v="P3203"/>
        <s v="P3204"/>
        <s v="P3205"/>
        <s v="P3206"/>
        <s v="P3207"/>
        <s v="P3208"/>
        <s v="P3209"/>
        <s v="P3210"/>
        <s v="P3211"/>
        <s v="P3212"/>
        <s v="P3213"/>
        <s v="P3214"/>
        <s v="P3215"/>
        <s v="P3216"/>
        <s v="P3217"/>
        <s v="P3218"/>
        <s v="P3219"/>
        <s v="P3220"/>
        <s v="P3221"/>
        <s v="P3222"/>
        <s v="P3223"/>
        <s v="P3224"/>
        <s v="P3225"/>
        <s v="P3226"/>
        <s v="P3227"/>
        <s v="P3228"/>
        <s v="P3229"/>
        <s v="P3230"/>
        <s v="P3231"/>
        <s v="P3232"/>
        <s v="P3233"/>
        <s v="P3234"/>
        <s v="P3235"/>
        <s v="P3236"/>
        <s v="P3237"/>
        <s v="P3238"/>
        <s v="P3239"/>
        <s v="P3240"/>
        <s v="P3241"/>
        <s v="P3242"/>
        <s v="P3243"/>
        <s v="P3244"/>
        <s v="P3245"/>
        <s v="P3246"/>
        <s v="P3247"/>
        <s v="P3248"/>
        <s v="P3249"/>
        <s v="P3250"/>
        <s v="P3251"/>
        <s v="P3252"/>
        <s v="P3253"/>
        <s v="P3254"/>
        <s v="P3255"/>
        <s v="P3256"/>
        <s v="P3257"/>
        <s v="P3258"/>
        <s v="P3259"/>
        <s v="P3260"/>
        <s v="P3261"/>
        <s v="P3262"/>
        <s v="P3263"/>
        <s v="P3264"/>
        <s v="P3265"/>
        <s v="P3266"/>
        <s v="P3267"/>
        <s v="P3268"/>
        <s v="P3269"/>
        <s v="P3270"/>
        <s v="P3271"/>
        <s v="P3272"/>
        <s v="P3273"/>
        <s v="P3274"/>
        <s v="P3275"/>
        <s v="P3276"/>
        <s v="P3277"/>
        <s v="P3278"/>
        <s v="P3279"/>
        <s v="P3280"/>
        <s v="P3281"/>
        <s v="P3282"/>
        <s v="P3283"/>
        <s v="P3284"/>
        <s v="P3285"/>
        <s v="P3286"/>
        <s v="P3287"/>
        <s v="P3288"/>
        <s v="P3289"/>
        <s v="P3290"/>
        <s v="P3291"/>
        <s v="P3292"/>
        <s v="P3293"/>
        <s v="P3294"/>
        <s v="P3295"/>
        <s v="P3296"/>
        <s v="P3297"/>
        <s v="P3298"/>
        <s v="P3299"/>
        <s v="P3300"/>
        <s v="P3301"/>
        <s v="P3302"/>
        <s v="P3303"/>
        <s v="P3304"/>
        <s v="P3305"/>
        <s v="P3306"/>
        <s v="P3307"/>
        <s v="P3308"/>
        <s v="P3309"/>
        <s v="P3310"/>
        <s v="P3311"/>
        <s v="P3312"/>
        <s v="P3313"/>
        <s v="P3314"/>
        <s v="P3315"/>
        <s v="P3316"/>
        <s v="P3317"/>
        <s v="P3318"/>
        <s v="P3319"/>
        <s v="P3320"/>
        <s v="P3321"/>
        <s v="P3322"/>
        <s v="P3323"/>
        <s v="P3324"/>
        <s v="P3325"/>
        <s v="P3326"/>
        <s v="P3327"/>
        <s v="P3328"/>
        <s v="P3329"/>
        <s v="P3330"/>
        <s v="P3331"/>
        <s v="P3332"/>
        <s v="P3333"/>
        <s v="P3334"/>
        <s v="P3335"/>
        <s v="P3336"/>
        <s v="P3337"/>
        <s v="P3338"/>
        <s v="P3339"/>
        <s v="P3340"/>
        <s v="P3341"/>
        <s v="P3342"/>
        <s v="P3343"/>
        <s v="P3344"/>
        <s v="P3345"/>
        <s v="P3346"/>
        <s v="P3347"/>
        <s v="P3348"/>
        <s v="P3349"/>
        <s v="P3350"/>
        <s v="P3351"/>
        <s v="P3352"/>
        <s v="P3353"/>
        <s v="P3354"/>
        <s v="P3355"/>
        <s v="P3356"/>
        <s v="P3357"/>
        <s v="P3358"/>
        <s v="P3359"/>
        <s v="P3360"/>
        <s v="P3361"/>
        <s v="P3362"/>
        <s v="P3363"/>
        <s v="P3364"/>
        <s v="P3365"/>
        <s v="P3366"/>
        <s v="P3367"/>
        <s v="P3368"/>
        <s v="P3369"/>
        <s v="P3370"/>
        <s v="P3371"/>
        <s v="P3372"/>
        <s v="P3373"/>
        <s v="P3374"/>
        <s v="P3375"/>
        <s v="P3376"/>
        <s v="P3377"/>
        <s v="P3378"/>
        <s v="P3379"/>
        <s v="P3380"/>
        <s v="P3381"/>
        <s v="P3382"/>
        <s v="P3383"/>
        <s v="P3384"/>
        <s v="P3385"/>
        <s v="P3386"/>
        <s v="P3387"/>
        <s v="P3388"/>
        <s v="P3389"/>
        <s v="P3390"/>
        <s v="P3391"/>
        <s v="P3392"/>
        <s v="P3393"/>
        <s v="P3394"/>
        <s v="P3395"/>
        <s v="P3396"/>
        <s v="P3397"/>
        <s v="P3398"/>
        <s v="P3399"/>
        <s v="P3400"/>
        <s v="P3401"/>
        <s v="P3402"/>
        <s v="P3403"/>
        <s v="P3404"/>
        <s v="P3405"/>
        <s v="P3406"/>
        <s v="P3407"/>
        <s v="P3408"/>
        <s v="P3409"/>
        <s v="P3410"/>
        <s v="P3411"/>
        <s v="P3412"/>
        <s v="P3413"/>
        <s v="P3414"/>
        <s v="P3415"/>
        <s v="P3416"/>
        <s v="P3417"/>
        <s v="P3418"/>
        <s v="P3419"/>
        <s v="P3420"/>
        <s v="P3421"/>
        <s v="P3422"/>
        <s v="P3423"/>
        <s v="P3424"/>
        <s v="P3425"/>
        <s v="P3426"/>
        <s v="P3427"/>
        <s v="P3428"/>
        <s v="P3429"/>
        <s v="P3430"/>
        <s v="P3431"/>
        <s v="P3432"/>
        <s v="P3433"/>
        <s v="P3434"/>
        <s v="P3435"/>
        <s v="P3436"/>
        <s v="P3437"/>
        <s v="P3438"/>
        <s v="P3439"/>
        <s v="P3440"/>
        <s v="P3441"/>
        <s v="P3442"/>
        <s v="P3443"/>
        <s v="P3444"/>
        <s v="P3445"/>
        <s v="P3446"/>
        <s v="P3447"/>
        <s v="P3448"/>
        <s v="P3449"/>
        <s v="P3450"/>
        <s v="P3451"/>
        <s v="P3452"/>
        <s v="P3453"/>
        <s v="P3454"/>
        <s v="P3455"/>
        <s v="P3456"/>
        <s v="P3457"/>
        <s v="P3458"/>
        <s v="P3459"/>
        <s v="P3460"/>
        <s v="P3461"/>
        <s v="P3462"/>
        <s v="P3463"/>
        <s v="P3464"/>
        <s v="P3465"/>
        <s v="P3466"/>
        <s v="P3467"/>
        <s v="P3468"/>
        <s v="P3469"/>
        <s v="P3470"/>
        <s v="P3471"/>
        <s v="P3472"/>
        <s v="P3473"/>
        <s v="P3474"/>
        <s v="P3475"/>
        <s v="P3476"/>
        <s v="P3477"/>
        <s v="P3478"/>
        <s v="P3479"/>
        <s v="P3480"/>
        <s v="P3481"/>
        <s v="P3482"/>
        <s v="P3483"/>
        <s v="P3484"/>
        <s v="P3485"/>
        <s v="P3486"/>
        <s v="P3487"/>
        <s v="P3488"/>
        <s v="P3489"/>
        <s v="P3490"/>
        <s v="P3491"/>
        <s v="P3492"/>
        <s v="P3493"/>
        <s v="P3494"/>
        <s v="P3495"/>
        <s v="P3496"/>
        <s v="P3497"/>
        <s v="P3498"/>
        <s v="P3499"/>
        <s v="P3500"/>
        <s v="P3501"/>
        <s v="P3502"/>
        <s v="P3503"/>
        <s v="P3504"/>
        <s v="P3505"/>
        <s v="P3506"/>
        <s v="P3507"/>
        <s v="P3508"/>
        <s v="P3509"/>
        <s v="P3510"/>
        <s v="P3511"/>
        <s v="P3512"/>
        <s v="P3513"/>
        <s v="P3514"/>
        <s v="P3515"/>
        <s v="P3516"/>
        <s v="P3517"/>
        <s v="P3518"/>
        <s v="P3519"/>
        <s v="P3520"/>
        <s v="P3521"/>
        <s v="P3522"/>
        <s v="P3523"/>
        <s v="P3524"/>
        <s v="P3525"/>
        <s v="P3526"/>
        <s v="P3527"/>
        <s v="P3528"/>
        <s v="P3529"/>
        <s v="P3530"/>
        <s v="P3531"/>
        <s v="P3532"/>
        <s v="P3533"/>
        <s v="P3534"/>
        <s v="P3535"/>
        <s v="P3536"/>
        <s v="P3537"/>
        <s v="P3538"/>
        <s v="P3539"/>
        <s v="P3540"/>
        <s v="P3541"/>
        <s v="P3542"/>
        <s v="P3543"/>
        <s v="P3544"/>
        <s v="P3545"/>
        <s v="P3546"/>
        <s v="P3547"/>
        <s v="P3548"/>
        <s v="P3549"/>
        <s v="P3550"/>
        <s v="P3551"/>
        <s v="P3552"/>
        <s v="P3553"/>
        <s v="P3554"/>
        <s v="P3555"/>
        <s v="P3556"/>
        <s v="P3557"/>
        <s v="P3558"/>
        <s v="P3559"/>
        <s v="P3560"/>
        <s v="P3561"/>
        <s v="P3562"/>
        <s v="P3563"/>
        <s v="P3564"/>
        <s v="P3565"/>
        <s v="P3566"/>
        <s v="P3567"/>
        <s v="P3568"/>
        <s v="P3569"/>
        <s v="P3570"/>
        <s v="P3571"/>
        <s v="P3572"/>
        <s v="P3573"/>
        <s v="P3574"/>
        <s v="P3575"/>
        <s v="P3576"/>
        <s v="P3577"/>
        <s v="P3578"/>
        <s v="P3579"/>
        <s v="P3580"/>
        <s v="P3581"/>
        <s v="P3582"/>
        <s v="P3583"/>
        <s v="P3584"/>
        <s v="P3585"/>
        <s v="P3586"/>
        <s v="P3587"/>
        <s v="P3588"/>
        <s v="P3589"/>
        <s v="P3590"/>
        <s v="P3591"/>
        <s v="P3592"/>
        <s v="P3593"/>
        <s v="P3594"/>
        <s v="P3595"/>
        <s v="P3596"/>
        <s v="P3597"/>
        <s v="P3598"/>
        <s v="P3599"/>
        <s v="P3600"/>
        <s v="P3601"/>
        <s v="P3602"/>
        <s v="P3603"/>
        <s v="P3604"/>
        <s v="P3605"/>
        <s v="P3606"/>
        <s v="P3607"/>
        <s v="P3608"/>
        <s v="P3609"/>
        <s v="P3610"/>
        <s v="P3611"/>
        <s v="P3612"/>
        <s v="P3613"/>
        <s v="P3614"/>
        <s v="P3615"/>
        <s v="P3616"/>
        <s v="P3617"/>
        <s v="P3618"/>
        <s v="P3619"/>
        <s v="P3620"/>
        <s v="P3621"/>
        <s v="P3622"/>
        <s v="P3623"/>
        <s v="P3624"/>
        <s v="P3625"/>
        <s v="P3626"/>
        <s v="P3627"/>
        <s v="P3628"/>
        <s v="P3629"/>
        <s v="P3630"/>
        <s v="P3631"/>
        <s v="P3632"/>
        <s v="P3633"/>
        <s v="P3634"/>
        <s v="P3635"/>
        <s v="P3636"/>
        <s v="P3637"/>
        <s v="P3638"/>
        <s v="P3639"/>
        <s v="P3640"/>
        <s v="P3641"/>
        <s v="P3642"/>
        <s v="P3643"/>
        <s v="P3644"/>
        <s v="P3645"/>
        <s v="P3646"/>
        <s v="P3647"/>
        <s v="P3648"/>
        <s v="P3649"/>
        <s v="P3650"/>
        <s v="P3651"/>
        <s v="P3652"/>
        <s v="P3653"/>
        <s v="P3654"/>
        <s v="P3655"/>
        <s v="P3656"/>
        <s v="P3657"/>
        <s v="P3658"/>
        <s v="P3659"/>
        <s v="P3660"/>
        <s v="P3661"/>
        <s v="P3662"/>
        <s v="P3663"/>
        <s v="P3664"/>
        <s v="P3665"/>
        <s v="P3666"/>
        <s v="P3667"/>
        <s v="P3668"/>
        <s v="P3669"/>
        <s v="P3670"/>
        <s v="P3671"/>
        <s v="P3672"/>
        <s v="P3673"/>
        <s v="P3674"/>
        <s v="P3675"/>
        <s v="P3676"/>
        <s v="P3677"/>
        <s v="P3678"/>
        <s v="P3679"/>
        <s v="P3680"/>
        <s v="P3681"/>
        <s v="P3682"/>
        <s v="P3683"/>
        <s v="P3684"/>
        <s v="P3685"/>
        <s v="P3686"/>
        <s v="P3687"/>
        <s v="P3688"/>
        <s v="P3689"/>
        <s v="P3690"/>
        <s v="P3691"/>
        <s v="P3692"/>
        <s v="P3693"/>
        <s v="P3694"/>
        <s v="P3695"/>
        <s v="P3696"/>
        <s v="P3697"/>
        <s v="P3698"/>
        <s v="P3699"/>
        <s v="P3700"/>
        <s v="P3701"/>
        <s v="P3702"/>
        <s v="P3703"/>
        <s v="P3704"/>
        <s v="P3705"/>
        <s v="P3706"/>
        <s v="P3707"/>
        <s v="P3708"/>
        <s v="P3709"/>
        <s v="P3710"/>
        <s v="P3711"/>
        <s v="P3712"/>
        <s v="P3713"/>
        <s v="P3714"/>
        <s v="P3715"/>
        <s v="P3716"/>
        <s v="P3717"/>
        <s v="P3718"/>
        <s v="P3719"/>
        <s v="P3720"/>
        <s v="P3721"/>
        <s v="P3722"/>
        <s v="P3723"/>
        <s v="P3724"/>
        <s v="P3725"/>
        <s v="P3726"/>
        <s v="P3727"/>
        <s v="P3728"/>
        <s v="P3729"/>
        <s v="P3730"/>
        <s v="P3731"/>
        <s v="P3732"/>
        <s v="P3733"/>
        <s v="P3734"/>
        <s v="P3735"/>
        <s v="P3736"/>
        <s v="P3737"/>
        <s v="P3738"/>
        <s v="P3739"/>
        <s v="P3740"/>
        <s v="P3741"/>
        <s v="P3742"/>
        <s v="P3743"/>
        <s v="P3744"/>
        <s v="P3745"/>
        <s v="P3746"/>
        <s v="P3747"/>
        <s v="P3748"/>
        <s v="P3749"/>
        <s v="P3750"/>
        <s v="P3751"/>
        <s v="P3752"/>
        <s v="P3753"/>
        <s v="P3754"/>
        <s v="P3755"/>
        <s v="P3756"/>
        <s v="P3757"/>
        <s v="P3758"/>
        <s v="P3759"/>
        <s v="P3760"/>
        <s v="P3761"/>
        <s v="P3762"/>
        <s v="P3763"/>
        <s v="P3764"/>
        <s v="P3765"/>
        <s v="P3766"/>
        <s v="P3767"/>
        <s v="P3768"/>
        <s v="P3769"/>
        <s v="P3770"/>
        <s v="P3771"/>
        <s v="P3772"/>
        <s v="P3773"/>
        <s v="P3774"/>
        <s v="P3775"/>
        <s v="P3776"/>
        <s v="P3777"/>
        <s v="P3778"/>
        <s v="P3779"/>
        <s v="P3780"/>
        <s v="P3781"/>
        <s v="P3782"/>
        <s v="P3783"/>
        <s v="P3784"/>
        <s v="P3785"/>
        <s v="P3786"/>
        <s v="P3787"/>
        <s v="P3788"/>
        <s v="P3789"/>
        <s v="P3790"/>
        <s v="P3791"/>
        <s v="P3792"/>
        <s v="P3793"/>
        <s v="P3794"/>
        <s v="P3795"/>
        <s v="P3796"/>
        <s v="P3797"/>
        <s v="P3798"/>
        <s v="P3799"/>
        <s v="P3800"/>
        <s v="P3801"/>
        <s v="P3802"/>
        <s v="P3803"/>
        <s v="P3804"/>
        <s v="P3805"/>
        <s v="P3806"/>
        <s v="P3807"/>
        <s v="P3808"/>
        <s v="P3809"/>
        <s v="P3810"/>
        <s v="P3811"/>
        <s v="P3812"/>
        <s v="P3813"/>
        <s v="P3814"/>
        <s v="P3815"/>
        <s v="P3816"/>
        <s v="P3817"/>
        <s v="P3818"/>
        <s v="P3819"/>
        <s v="P3820"/>
        <s v="P3821"/>
        <s v="P3822"/>
        <s v="P3823"/>
        <s v="P3824"/>
        <s v="P3825"/>
        <s v="P3826"/>
        <s v="P3827"/>
        <s v="P3828"/>
        <s v="P3829"/>
        <s v="P3830"/>
        <s v="P3831"/>
        <s v="P3832"/>
        <s v="P3833"/>
        <s v="P3834"/>
        <s v="P3835"/>
        <s v="P3836"/>
        <s v="P3837"/>
        <s v="P3838"/>
        <s v="P3839"/>
        <s v="P3840"/>
        <s v="P3841"/>
        <s v="P3842"/>
        <s v="P3843"/>
        <s v="P3844"/>
        <s v="P3845"/>
        <s v="P3846"/>
        <s v="P3847"/>
        <s v="P3848"/>
        <s v="P3849"/>
        <s v="P3850"/>
        <s v="P3851"/>
        <s v="P3852"/>
        <s v="P3853"/>
        <s v="P3854"/>
        <s v="P3855"/>
        <s v="P3856"/>
        <s v="P3857"/>
        <s v="P3858"/>
        <s v="P3859"/>
        <s v="P3860"/>
        <s v="P3861"/>
        <s v="P3862"/>
        <s v="P3863"/>
        <s v="P3864"/>
        <s v="P3865"/>
        <s v="P3866"/>
        <s v="P3867"/>
        <s v="P3868"/>
        <s v="P3869"/>
        <s v="P3870"/>
        <s v="P3871"/>
        <s v="P3872"/>
        <s v="P3873"/>
        <s v="P3874"/>
        <s v="P3875"/>
        <s v="P3876"/>
        <s v="P3877"/>
        <s v="P3878"/>
        <s v="P3879"/>
        <s v="P3880"/>
        <s v="P3881"/>
        <s v="P3882"/>
        <s v="P3883"/>
        <s v="P3884"/>
        <s v="P3885"/>
        <s v="P3886"/>
        <s v="P3887"/>
        <s v="P3888"/>
        <s v="P3889"/>
        <s v="P3890"/>
        <s v="P3891"/>
        <s v="P3892"/>
        <s v="P3893"/>
        <s v="P3894"/>
        <s v="P3895"/>
        <s v="P3896"/>
        <s v="P3897"/>
        <s v="P3898"/>
        <s v="P3899"/>
        <s v="P3900"/>
        <s v="P3901"/>
        <s v="P3902"/>
        <s v="P3903"/>
        <s v="P3904"/>
        <s v="P3905"/>
        <s v="P3906"/>
        <s v="P3907"/>
        <s v="P3908"/>
        <s v="P3909"/>
        <s v="P3910"/>
        <s v="P3911"/>
        <s v="P3912"/>
        <s v="P3913"/>
        <s v="P3914"/>
        <s v="P3915"/>
        <s v="P3916"/>
        <s v="P3917"/>
        <s v="P3918"/>
        <s v="P3919"/>
        <s v="P3920"/>
        <s v="P3921"/>
        <s v="P3922"/>
        <s v="P3923"/>
        <s v="P3924"/>
        <s v="P3925"/>
        <s v="P3926"/>
        <s v="P3927"/>
        <s v="P3928"/>
        <s v="P3929"/>
        <s v="P3930"/>
        <s v="P3931"/>
        <s v="P3932"/>
        <s v="P3933"/>
        <s v="P3934"/>
        <s v="P3935"/>
        <s v="P3936"/>
        <s v="P3937"/>
        <s v="P3938"/>
        <s v="P3939"/>
        <s v="P3940"/>
        <s v="P3941"/>
        <s v="P3942"/>
        <s v="P3943"/>
        <s v="P3944"/>
        <s v="P3945"/>
        <s v="P3946"/>
        <s v="P3947"/>
        <s v="P3948"/>
        <s v="P3949"/>
        <s v="P3950"/>
        <s v="P3951"/>
        <s v="P3952"/>
        <s v="P3953"/>
        <s v="P3954"/>
        <s v="P3955"/>
        <s v="P3956"/>
        <s v="P3957"/>
        <s v="P3958"/>
        <s v="P3959"/>
        <s v="P3960"/>
        <s v="P3961"/>
        <s v="P3962"/>
        <s v="P3963"/>
        <s v="P3964"/>
        <s v="P3965"/>
        <s v="P3966"/>
        <s v="P3967"/>
        <s v="P3968"/>
        <s v="P3969"/>
        <s v="P3970"/>
        <s v="P3971"/>
        <s v="P3972"/>
        <s v="P3973"/>
        <s v="P3974"/>
        <s v="P3975"/>
        <s v="P3976"/>
        <s v="P3977"/>
        <s v="P3978"/>
        <s v="P3979"/>
        <s v="P3980"/>
        <s v="P3981"/>
        <s v="P3982"/>
        <s v="P3983"/>
        <s v="P3984"/>
        <s v="P3985"/>
        <s v="P3986"/>
        <s v="P3987"/>
        <s v="P3988"/>
        <s v="P3989"/>
        <s v="P3990"/>
        <s v="P3991"/>
        <s v="P3992"/>
        <s v="P3993"/>
        <s v="P3994"/>
        <s v="P3995"/>
        <s v="P3996"/>
        <s v="P3997"/>
        <s v="P3998"/>
        <s v="P3999"/>
        <s v="P4000"/>
        <s v="P4001"/>
        <s v="P4002"/>
        <s v="P4003"/>
        <s v="P4004"/>
        <s v="P4005"/>
        <s v="P4006"/>
        <s v="P4007"/>
        <s v="P4008"/>
        <s v="P4009"/>
        <s v="P4010"/>
        <s v="P4011"/>
        <s v="P4012"/>
        <s v="P4013"/>
        <s v="P4014"/>
        <s v="P4015"/>
        <s v="P4016"/>
        <s v="P4017"/>
        <s v="P4018"/>
        <s v="P4019"/>
        <s v="P4020"/>
        <s v="P4021"/>
        <s v="P4022"/>
        <s v="P4023"/>
        <s v="P4024"/>
        <s v="P4025"/>
        <s v="P4026"/>
        <s v="P4027"/>
        <s v="P4028"/>
        <s v="P4029"/>
        <s v="P4030"/>
        <s v="P4031"/>
        <s v="P4032"/>
        <s v="P4033"/>
        <s v="P4034"/>
        <s v="P4035"/>
        <s v="P4036"/>
        <s v="P4037"/>
        <s v="P4038"/>
        <s v="P4039"/>
        <s v="P4040"/>
        <s v="P4041"/>
        <s v="P4042"/>
        <s v="P4043"/>
        <s v="P4044"/>
        <s v="P4045"/>
        <s v="P4046"/>
        <s v="P4047"/>
        <s v="P4048"/>
        <s v="P4049"/>
        <s v="P4050"/>
        <s v="P4051"/>
        <s v="P4052"/>
        <s v="P4053"/>
        <s v="P4054"/>
        <s v="P4055"/>
        <s v="P4056"/>
        <s v="P4057"/>
        <s v="P4058"/>
        <s v="P4059"/>
        <s v="P4060"/>
        <s v="P4061"/>
        <s v="P4062"/>
        <s v="P4063"/>
        <s v="P4064"/>
        <s v="P4065"/>
        <s v="P4066"/>
        <s v="P4067"/>
        <s v="P4068"/>
        <s v="P4069"/>
        <s v="P4070"/>
        <s v="P4071"/>
        <s v="P4072"/>
        <s v="P4073"/>
        <s v="P4074"/>
        <s v="P4075"/>
        <s v="P4076"/>
        <s v="P4077"/>
        <s v="P4078"/>
        <s v="P4079"/>
        <s v="P4080"/>
        <s v="P4081"/>
        <s v="P4082"/>
        <s v="P4083"/>
        <s v="P4084"/>
        <s v="P4085"/>
        <s v="P4086"/>
        <s v="P4087"/>
        <s v="P4088"/>
        <s v="P4089"/>
        <s v="P4090"/>
        <s v="P4091"/>
        <s v="P4092"/>
        <s v="P4093"/>
        <s v="P4094"/>
        <s v="P4095"/>
        <s v="P4096"/>
        <s v="P4097"/>
        <s v="P4098"/>
        <s v="P4099"/>
        <s v="P4100"/>
        <s v="P4101"/>
        <s v="P4102"/>
        <s v="P4103"/>
        <s v="P4104"/>
        <s v="P4105"/>
        <s v="P4106"/>
        <s v="P4107"/>
        <s v="P4108"/>
        <s v="P4109"/>
        <s v="P4110"/>
        <s v="P4111"/>
        <s v="P4112"/>
        <s v="P4113"/>
        <s v="P4114"/>
        <s v="P4115"/>
        <s v="P4116"/>
        <s v="P4117"/>
        <s v="P4118"/>
        <s v="P4119"/>
        <s v="P4120"/>
        <s v="P4121"/>
        <s v="P4122"/>
        <s v="P4123"/>
        <s v="P4124"/>
        <s v="P4125"/>
        <s v="P4126"/>
        <s v="P4127"/>
        <s v="P4128"/>
        <s v="P4129"/>
        <s v="P4130"/>
        <s v="P4131"/>
        <s v="P4132"/>
        <s v="P4133"/>
        <s v="P4134"/>
        <s v="P4135"/>
        <s v="P4136"/>
        <s v="P4137"/>
        <s v="P4138"/>
        <s v="P4139"/>
        <s v="P4140"/>
        <s v="P4141"/>
        <s v="P4142"/>
        <s v="P4143"/>
        <s v="P4144"/>
        <s v="P4145"/>
        <s v="P4146"/>
        <s v="P4147"/>
        <s v="P4148"/>
        <s v="P4149"/>
        <s v="P4150"/>
        <s v="P4151"/>
        <s v="P4152"/>
        <s v="P4153"/>
        <s v="P4154"/>
        <s v="P4155"/>
        <s v="P4156"/>
        <s v="P4157"/>
        <s v="P4158"/>
        <s v="P4159"/>
        <s v="P4160"/>
        <s v="P4161"/>
        <s v="P4162"/>
        <s v="P4163"/>
        <s v="P4164"/>
        <s v="P4165"/>
        <s v="P4166"/>
        <s v="P4167"/>
        <s v="P4168"/>
        <s v="P4169"/>
        <s v="P4170"/>
        <s v="P4171"/>
        <s v="P4172"/>
        <s v="P4173"/>
        <s v="P4174"/>
        <s v="P4175"/>
        <s v="P4176"/>
        <s v="P4177"/>
        <s v="P4178"/>
        <s v="P4179"/>
        <s v="P4180"/>
        <s v="P4181"/>
        <s v="P4182"/>
        <s v="P4183"/>
        <s v="P4184"/>
        <s v="P4185"/>
        <s v="P4186"/>
        <s v="P4187"/>
        <s v="P4188"/>
        <s v="P4189"/>
        <s v="P4190"/>
        <s v="P4191"/>
        <s v="P4192"/>
        <s v="P4193"/>
        <s v="P4194"/>
        <s v="P4195"/>
        <s v="P4196"/>
        <s v="P4197"/>
        <s v="P4198"/>
        <s v="P4199"/>
        <s v="P4200"/>
        <s v="P4201"/>
        <s v="P4202"/>
        <s v="P4203"/>
        <s v="P4204"/>
        <s v="P4205"/>
        <s v="P4206"/>
        <s v="P4207"/>
        <s v="P4208"/>
        <s v="P4209"/>
        <s v="P4210"/>
        <s v="P4211"/>
        <s v="P4212"/>
        <s v="P4213"/>
        <s v="P4214"/>
        <s v="P4215"/>
        <s v="P4216"/>
        <s v="P4217"/>
        <s v="P4218"/>
        <s v="P4219"/>
        <s v="P4220"/>
        <s v="P4221"/>
        <s v="P4222"/>
        <s v="P4223"/>
        <s v="P4224"/>
        <s v="P4225"/>
        <s v="P4226"/>
        <s v="P4227"/>
        <s v="P4228"/>
        <s v="P4229"/>
        <s v="P4230"/>
        <s v="P4231"/>
        <s v="P4232"/>
        <s v="P4233"/>
        <s v="P4234"/>
        <s v="P4235"/>
        <s v="P4236"/>
        <s v="P4237"/>
        <s v="P4238"/>
        <s v="P4239"/>
        <s v="P4240"/>
        <s v="P4241"/>
        <s v="P4242"/>
        <s v="P4243"/>
        <s v="P4244"/>
        <s v="P4245"/>
        <s v="P4246"/>
        <s v="P4247"/>
        <s v="P4248"/>
        <s v="P4249"/>
        <s v="P4250"/>
        <s v="P4251"/>
        <s v="P4252"/>
        <s v="P4253"/>
        <s v="P4254"/>
        <s v="P4255"/>
        <s v="P4256"/>
        <s v="P4257"/>
        <s v="P4258"/>
        <s v="P4259"/>
        <s v="P4260"/>
        <s v="P4261"/>
        <s v="P4262"/>
        <s v="P4263"/>
        <s v="P4264"/>
        <s v="P4265"/>
        <s v="P4266"/>
        <s v="P4267"/>
        <s v="P4268"/>
        <s v="P4269"/>
        <s v="P4270"/>
        <s v="P4271"/>
        <s v="P4272"/>
        <s v="P4273"/>
        <s v="P4274"/>
        <s v="P4275"/>
        <s v="P4276"/>
        <s v="P4277"/>
        <s v="P4278"/>
        <s v="P4279"/>
        <s v="P4280"/>
        <s v="P4281"/>
        <s v="P4282"/>
        <s v="P4283"/>
        <s v="P4284"/>
        <s v="P4285"/>
        <s v="P4286"/>
        <s v="P4287"/>
        <s v="P4288"/>
        <s v="P4289"/>
        <s v="P4290"/>
        <s v="P4291"/>
        <s v="P4292"/>
        <s v="P4293"/>
        <s v="P4294"/>
        <s v="P4295"/>
        <s v="P4296"/>
        <s v="P4297"/>
        <s v="P4298"/>
        <s v="P4299"/>
        <s v="P4300"/>
        <s v="P4301"/>
        <s v="P4302"/>
        <s v="P4303"/>
        <s v="P4304"/>
        <s v="P4305"/>
        <s v="P4306"/>
        <s v="P4307"/>
        <s v="P4308"/>
        <s v="P4309"/>
        <s v="P4310"/>
        <s v="P4311"/>
        <s v="P4312"/>
        <s v="P4313"/>
        <s v="P4314"/>
        <s v="P4315"/>
        <s v="P4316"/>
        <s v="P4317"/>
        <s v="P4318"/>
        <s v="P4319"/>
        <s v="P4320"/>
        <s v="P4321"/>
        <s v="P4322"/>
        <s v="P4323"/>
        <s v="P4324"/>
        <s v="P4325"/>
        <s v="P4326"/>
        <s v="P4327"/>
        <s v="P4328"/>
        <s v="P4329"/>
        <s v="P4330"/>
        <s v="P4331"/>
        <s v="P4332"/>
        <s v="P4333"/>
        <s v="P4334"/>
        <s v="P4335"/>
        <s v="P4336"/>
        <s v="P4337"/>
        <s v="P4338"/>
        <s v="P4339"/>
        <s v="P4340"/>
        <s v="P4341"/>
        <s v="P4342"/>
        <s v="P4343"/>
        <s v="P4344"/>
        <s v="P4345"/>
        <s v="P4346"/>
        <s v="P4347"/>
        <s v="P4348"/>
        <s v="P4349"/>
        <s v="P4350"/>
        <s v="P4351"/>
        <s v="P4352"/>
        <s v="P4353"/>
        <s v="P4354"/>
        <s v="P4355"/>
        <s v="P4356"/>
        <s v="P4357"/>
        <s v="P4358"/>
        <s v="P4359"/>
        <s v="P4360"/>
        <s v="P4361"/>
        <s v="P4362"/>
        <s v="P4363"/>
        <s v="P4364"/>
        <s v="P4365"/>
        <s v="P4366"/>
        <s v="P4367"/>
        <s v="P4368"/>
        <s v="P4369"/>
        <s v="P4370"/>
        <s v="P4371"/>
        <s v="P4372"/>
        <s v="P4373"/>
        <s v="P4374"/>
        <s v="P4375"/>
        <s v="P4376"/>
        <s v="P4377"/>
        <s v="P4378"/>
        <s v="P4379"/>
        <s v="P4380"/>
        <s v="P4381"/>
        <s v="P4382"/>
        <s v="P4383"/>
        <s v="P4384"/>
        <s v="P4385"/>
        <s v="P4386"/>
        <s v="P4387"/>
        <s v="P4388"/>
        <s v="P4389"/>
        <s v="P4390"/>
        <s v="P4391"/>
        <s v="P4392"/>
        <s v="P4393"/>
        <s v="P4394"/>
        <s v="P4395"/>
        <s v="P4396"/>
        <s v="P4397"/>
        <s v="P4398"/>
        <s v="P4399"/>
        <s v="P4400"/>
        <s v="P4401"/>
        <s v="P4402"/>
        <s v="P4403"/>
        <s v="P4404"/>
        <s v="P4405"/>
        <s v="P4406"/>
        <s v="P4407"/>
        <s v="P4408"/>
        <s v="P4409"/>
        <s v="P4410"/>
        <s v="P4411"/>
        <s v="P4412"/>
        <s v="P4413"/>
        <s v="P4414"/>
        <s v="P4415"/>
        <s v="P4416"/>
        <s v="P4417"/>
        <s v="P4418"/>
        <s v="P4419"/>
        <s v="P4420"/>
        <s v="P4421"/>
        <s v="P4422"/>
        <s v="P4423"/>
        <s v="P4424"/>
        <s v="P4425"/>
        <s v="P4426"/>
        <s v="P4427"/>
        <s v="P4428"/>
        <s v="P4429"/>
        <s v="P4430"/>
        <s v="P4431"/>
        <s v="P4432"/>
        <s v="P4433"/>
        <s v="P4434"/>
        <s v="P4435"/>
        <s v="P4436"/>
        <s v="P4437"/>
        <s v="P4438"/>
        <s v="P4439"/>
        <s v="P4440"/>
        <s v="P4441"/>
        <s v="P4442"/>
        <s v="P4443"/>
        <s v="P4444"/>
        <s v="P4445"/>
        <s v="P4446"/>
        <s v="P4447"/>
        <s v="P4448"/>
        <s v="P4449"/>
        <s v="P4450"/>
        <s v="P4451"/>
        <s v="P4452"/>
        <s v="P4453"/>
        <s v="P4454"/>
        <s v="P4455"/>
        <s v="P4456"/>
        <s v="P4457"/>
        <s v="P4458"/>
        <s v="P4459"/>
        <s v="P4460"/>
        <s v="P4461"/>
        <s v="P4462"/>
        <s v="P4463"/>
        <s v="P4464"/>
        <s v="P4465"/>
        <s v="P4466"/>
        <s v="P4467"/>
        <s v="P4468"/>
        <s v="P4469"/>
        <s v="P4470"/>
        <s v="P4471"/>
        <s v="P4472"/>
        <s v="P4473"/>
        <s v="P4474"/>
        <s v="P4475"/>
        <s v="P4476"/>
        <s v="P4477"/>
        <s v="P4478"/>
        <s v="P4479"/>
        <s v="P4480"/>
        <s v="P4481"/>
        <s v="P4482"/>
        <s v="P4483"/>
        <s v="P4484"/>
        <s v="P4485"/>
        <s v="P4486"/>
        <s v="P4487"/>
        <s v="P4488"/>
        <s v="P4489"/>
        <s v="P4490"/>
        <s v="P4491"/>
        <s v="P4492"/>
        <s v="P4493"/>
        <s v="P4494"/>
        <s v="P4495"/>
        <s v="P4496"/>
        <s v="P4497"/>
        <s v="P4498"/>
        <s v="P4499"/>
        <s v="P4500"/>
        <s v="P4501"/>
        <s v="P4502"/>
        <s v="P4503"/>
        <s v="P4504"/>
        <s v="P4505"/>
        <s v="P4506"/>
        <s v="P4507"/>
        <s v="P4508"/>
        <s v="P4509"/>
        <s v="P4510"/>
        <s v="P4511"/>
        <s v="P4512"/>
        <s v="P4513"/>
        <s v="P4514"/>
        <s v="P4515"/>
        <s v="P4516"/>
        <s v="P4517"/>
        <s v="P4518"/>
        <s v="P4519"/>
        <s v="P4520"/>
        <s v="P4521"/>
        <s v="P4522"/>
        <s v="P4523"/>
        <s v="P4524"/>
        <s v="P4525"/>
        <s v="P4526"/>
        <s v="P4527"/>
        <s v="P4528"/>
        <s v="P4529"/>
        <s v="P4530"/>
        <s v="P4531"/>
        <s v="P4532"/>
        <s v="P4533"/>
        <s v="P4534"/>
        <s v="P4535"/>
        <s v="P4536"/>
        <s v="P4537"/>
        <s v="P4538"/>
        <s v="P4539"/>
        <s v="P4540"/>
        <s v="P4541"/>
        <s v="P4542"/>
        <s v="P4543"/>
        <s v="P4544"/>
        <s v="P4545"/>
        <s v="P4546"/>
        <s v="P4547"/>
        <s v="P4548"/>
        <s v="P4549"/>
        <s v="P4550"/>
        <s v="P4551"/>
        <s v="P4552"/>
        <s v="P4553"/>
        <s v="P4554"/>
        <s v="P4555"/>
        <s v="P4556"/>
        <s v="P4557"/>
        <s v="P4558"/>
        <s v="P4559"/>
        <s v="P4560"/>
        <s v="P4561"/>
        <s v="P4562"/>
        <s v="P4563"/>
        <s v="P4564"/>
        <s v="P4565"/>
        <s v="P4566"/>
        <s v="P4567"/>
        <s v="P4568"/>
        <s v="P4569"/>
        <s v="P4570"/>
        <s v="P4571"/>
        <s v="P4572"/>
        <s v="P4573"/>
        <s v="P4574"/>
        <s v="P4575"/>
        <s v="P4576"/>
        <s v="P4577"/>
        <s v="P4578"/>
        <s v="P4579"/>
        <s v="P4580"/>
        <s v="P4581"/>
        <s v="P4582"/>
        <s v="P4583"/>
        <s v="P4584"/>
        <s v="P4585"/>
        <s v="P4586"/>
        <s v="P4587"/>
        <s v="P4588"/>
        <s v="P4589"/>
        <s v="P4590"/>
        <s v="P4591"/>
        <s v="P4592"/>
        <s v="P4593"/>
        <s v="P4594"/>
        <s v="P4595"/>
        <s v="P4596"/>
        <s v="P4597"/>
        <s v="P4598"/>
        <s v="P4599"/>
        <s v="P4600"/>
        <s v="P4601"/>
        <s v="P4602"/>
        <s v="P4603"/>
        <s v="P4604"/>
        <s v="P4605"/>
        <s v="P4606"/>
        <s v="P4607"/>
        <s v="P4608"/>
        <s v="P4609"/>
        <s v="P4610"/>
        <s v="P4611"/>
        <s v="P4612"/>
        <s v="P4613"/>
        <s v="P4614"/>
        <s v="P4615"/>
        <s v="P4616"/>
        <s v="P4617"/>
        <s v="P4618"/>
        <s v="P4619"/>
        <s v="P4620"/>
        <s v="P4621"/>
        <s v="P4622"/>
        <s v="P4623"/>
        <s v="P4624"/>
        <s v="P4625"/>
        <s v="P4626"/>
        <s v="P4627"/>
        <s v="P4628"/>
        <s v="P4629"/>
        <s v="P4630"/>
        <s v="P4631"/>
        <s v="P4632"/>
        <s v="P4633"/>
        <s v="P4634"/>
        <s v="P4635"/>
        <s v="P4636"/>
        <s v="P4637"/>
        <s v="P4638"/>
        <s v="P4639"/>
        <s v="P4640"/>
        <s v="P4641"/>
        <s v="P4642"/>
        <s v="P4643"/>
        <s v="P4644"/>
        <s v="P4645"/>
        <s v="P4646"/>
        <s v="P4647"/>
        <s v="P4648"/>
        <s v="P4649"/>
        <s v="P4650"/>
        <s v="P4651"/>
        <s v="P4652"/>
        <s v="P4653"/>
        <s v="P4654"/>
        <s v="P4655"/>
        <s v="P4656"/>
        <s v="P4657"/>
        <s v="P4658"/>
        <s v="P4659"/>
        <s v="P4660"/>
        <s v="P4661"/>
        <s v="P4662"/>
        <s v="P4663"/>
        <s v="P4664"/>
        <s v="P4665"/>
        <s v="P4666"/>
        <s v="P4667"/>
        <s v="P4668"/>
        <s v="P4669"/>
        <s v="P4670"/>
        <s v="P4671"/>
        <s v="P4672"/>
        <s v="P4673"/>
        <s v="P4674"/>
        <s v="P4675"/>
        <s v="P4676"/>
        <s v="P4677"/>
        <s v="P4678"/>
        <s v="P4679"/>
        <s v="P4680"/>
        <s v="P4681"/>
        <s v="P4682"/>
        <s v="P4683"/>
        <s v="P4684"/>
        <s v="P4685"/>
        <s v="P4686"/>
        <s v="P4687"/>
        <s v="P4688"/>
        <s v="P4689"/>
        <s v="P4690"/>
        <s v="P4691"/>
        <s v="P4692"/>
        <s v="P4693"/>
        <s v="P4694"/>
        <s v="P4695"/>
        <s v="P4696"/>
        <s v="P4697"/>
        <s v="P4698"/>
        <s v="P4699"/>
        <s v="P4700"/>
        <s v="P4701"/>
        <s v="P4702"/>
        <s v="P4703"/>
        <s v="P4704"/>
        <s v="P4705"/>
        <s v="P4706"/>
        <s v="P4707"/>
        <s v="P4708"/>
        <s v="P4709"/>
        <s v="P4710"/>
        <s v="P4711"/>
        <s v="P4712"/>
        <s v="P4713"/>
        <s v="P4714"/>
        <s v="P4715"/>
        <s v="P4716"/>
        <s v="P4717"/>
        <s v="P4718"/>
        <s v="P4719"/>
        <s v="P4720"/>
        <s v="P4721"/>
        <s v="P4722"/>
        <s v="P4723"/>
        <s v="P4724"/>
        <s v="P4725"/>
        <s v="P4726"/>
        <s v="P4727"/>
        <s v="P4728"/>
        <s v="P4729"/>
        <s v="P4730"/>
        <s v="P4731"/>
        <s v="P4732"/>
        <s v="P4733"/>
        <s v="P4734"/>
        <s v="P4735"/>
        <s v="P4736"/>
        <s v="P4737"/>
        <s v="P4738"/>
        <s v="P4739"/>
        <s v="P4740"/>
        <s v="P4741"/>
        <s v="P4742"/>
        <s v="P4743"/>
        <s v="P4744"/>
        <s v="P4745"/>
        <s v="P4746"/>
        <s v="P4747"/>
        <s v="P4748"/>
        <s v="P4749"/>
        <s v="P4750"/>
        <s v="P4751"/>
        <s v="P4752"/>
        <s v="P4753"/>
        <s v="P4754"/>
        <s v="P4755"/>
        <s v="P4756"/>
        <s v="P4757"/>
        <s v="P4758"/>
        <s v="P4759"/>
        <s v="P4760"/>
        <s v="P4761"/>
        <s v="P4762"/>
        <s v="P4763"/>
        <s v="P4764"/>
        <s v="P4765"/>
        <s v="P4766"/>
        <s v="P4767"/>
        <s v="P4768"/>
        <s v="P4769"/>
        <s v="P4770"/>
        <s v="P4771"/>
        <s v="P4772"/>
        <s v="P4773"/>
        <s v="P4774"/>
        <s v="P4775"/>
        <s v="P4776"/>
        <s v="P4777"/>
        <s v="P4778"/>
        <s v="P4779"/>
        <s v="P4780"/>
        <s v="P4781"/>
        <s v="P4782"/>
        <s v="P4783"/>
        <s v="P4784"/>
        <s v="P4785"/>
        <s v="P4786"/>
        <s v="P4787"/>
        <s v="P4788"/>
        <s v="P4789"/>
        <s v="P4790"/>
        <s v="P4791"/>
        <s v="P4792"/>
        <s v="P4793"/>
        <s v="P4794"/>
        <s v="P4795"/>
        <s v="P4796"/>
        <s v="P4797"/>
        <s v="P4798"/>
        <s v="P4799"/>
        <s v="P4800"/>
        <s v="P4801"/>
        <s v="P4802"/>
        <s v="P4803"/>
        <s v="P4804"/>
        <s v="P4805"/>
        <s v="P4806"/>
        <s v="P4807"/>
        <s v="P4808"/>
        <s v="P4809"/>
        <s v="P4810"/>
        <s v="P4811"/>
        <s v="P4812"/>
        <s v="P4813"/>
        <s v="P4814"/>
        <s v="P4815"/>
        <s v="P4816"/>
        <s v="P4817"/>
        <s v="P4818"/>
        <s v="P4819"/>
        <s v="P4820"/>
        <s v="P4821"/>
        <s v="P4822"/>
        <s v="P4823"/>
        <s v="P4824"/>
        <s v="P4825"/>
        <s v="P4826"/>
        <s v="P4827"/>
        <s v="P4828"/>
        <s v="P4829"/>
        <s v="P4830"/>
        <s v="P4831"/>
        <s v="P4832"/>
        <s v="P4833"/>
        <s v="P4834"/>
        <s v="P4835"/>
        <s v="P4836"/>
        <s v="P4837"/>
        <s v="P4838"/>
        <s v="P4839"/>
        <s v="P4840"/>
        <s v="P4841"/>
        <s v="P4842"/>
        <s v="P4843"/>
        <s v="P4844"/>
        <s v="P4845"/>
        <s v="P4846"/>
        <s v="P4847"/>
        <s v="P4848"/>
        <s v="P4849"/>
        <s v="P4850"/>
        <s v="P4851"/>
        <s v="P4852"/>
        <s v="P4853"/>
        <s v="P4854"/>
        <s v="P4855"/>
        <s v="P4856"/>
        <s v="P4857"/>
        <s v="P4858"/>
        <s v="P4859"/>
        <s v="P4860"/>
        <s v="P4861"/>
        <s v="P4862"/>
        <s v="P4863"/>
        <s v="P4864"/>
        <s v="P4865"/>
        <s v="P4866"/>
        <s v="P4867"/>
        <s v="P4868"/>
        <s v="P4869"/>
        <s v="P4870"/>
        <s v="P4871"/>
        <s v="P4872"/>
        <s v="P4873"/>
        <s v="P4874"/>
        <s v="P4875"/>
        <s v="P4876"/>
        <s v="P4877"/>
        <s v="P4878"/>
        <s v="P4879"/>
        <s v="P4880"/>
        <s v="P4881"/>
        <s v="P4882"/>
        <s v="P4883"/>
        <s v="P4884"/>
        <s v="P4885"/>
        <s v="P4886"/>
        <s v="P4887"/>
        <s v="P4888"/>
        <s v="P4889"/>
        <s v="P4890"/>
        <s v="P4891"/>
        <s v="P4892"/>
        <s v="P4893"/>
        <s v="P4894"/>
        <s v="P4895"/>
        <s v="P4896"/>
        <s v="P4897"/>
        <s v="P4898"/>
        <s v="P4899"/>
        <s v="P4900"/>
        <s v="P4901"/>
        <s v="P4902"/>
        <s v="P4903"/>
        <s v="P4904"/>
        <s v="P4905"/>
        <s v="P4906"/>
        <s v="P4907"/>
        <s v="P4908"/>
        <s v="P4909"/>
        <s v="P4910"/>
        <s v="P4911"/>
        <s v="P4912"/>
        <s v="P4913"/>
        <s v="P4914"/>
        <s v="P4915"/>
        <s v="P4916"/>
        <s v="P4917"/>
        <s v="P4918"/>
        <s v="P4919"/>
        <s v="P4920"/>
        <s v="P4921"/>
        <s v="P4922"/>
        <s v="P4923"/>
        <s v="P4924"/>
        <s v="P4925"/>
        <s v="P4926"/>
        <s v="P4927"/>
        <s v="P4928"/>
        <s v="P4929"/>
        <s v="P4930"/>
        <s v="P4931"/>
        <s v="P4932"/>
        <s v="P4933"/>
        <s v="P4934"/>
        <s v="P4935"/>
        <s v="P4936"/>
        <s v="P4937"/>
        <s v="P4938"/>
        <s v="P4939"/>
        <s v="P4940"/>
        <s v="P4941"/>
        <s v="P4942"/>
        <s v="P4943"/>
        <s v="P4944"/>
        <s v="P4945"/>
        <s v="P4946"/>
        <s v="P4947"/>
        <s v="P4948"/>
        <s v="P4949"/>
        <s v="P4950"/>
        <s v="P4951"/>
        <s v="P4952"/>
        <s v="P4953"/>
        <s v="P4954"/>
        <s v="P4955"/>
        <s v="P4956"/>
        <s v="P4957"/>
        <s v="P4958"/>
        <s v="P4959"/>
        <s v="P4960"/>
        <s v="P4961"/>
        <s v="P4962"/>
        <s v="P4963"/>
        <s v="P4964"/>
        <s v="P4965"/>
        <s v="P4966"/>
        <s v="P4967"/>
        <s v="P4968"/>
        <s v="P4969"/>
        <s v="P4970"/>
        <s v="P4971"/>
        <s v="P4972"/>
        <s v="P4973"/>
        <s v="P4974"/>
        <s v="P4975"/>
        <s v="P4976"/>
        <s v="P4977"/>
        <s v="P4978"/>
        <s v="P4979"/>
        <s v="P4980"/>
        <s v="P4981"/>
        <s v="P4982"/>
        <s v="P4983"/>
        <s v="P4984"/>
        <s v="P4985"/>
        <s v="P4986"/>
        <s v="P4987"/>
        <s v="P4988"/>
        <s v="P4989"/>
        <s v="P4990"/>
        <s v="P4991"/>
        <s v="P4992"/>
        <s v="P4993"/>
        <s v="P4994"/>
        <s v="P4995"/>
        <s v="P4996"/>
        <s v="P4997"/>
        <s v="P4998"/>
        <s v="P4999"/>
        <s v="P5000"/>
      </sharedItems>
    </cacheField>
    <cacheField name="Age" numFmtId="1">
      <sharedItems containsSemiMixedTypes="0" containsString="0" containsNumber="1" containsInteger="1" minValue="1" maxValue="90" count="90">
        <n v="43"/>
        <n v="62"/>
        <n v="79"/>
        <n v="61"/>
        <n v="16"/>
        <n v="42"/>
        <n v="25"/>
        <n v="1"/>
        <n v="58"/>
        <n v="50"/>
        <n v="8"/>
        <n v="27"/>
        <n v="35"/>
        <n v="52"/>
        <n v="23"/>
        <n v="60"/>
        <n v="80"/>
        <n v="90"/>
        <n v="75"/>
        <n v="31"/>
        <n v="26"/>
        <n v="38"/>
        <n v="41"/>
        <n v="88"/>
        <n v="44"/>
        <n v="64"/>
        <n v="74"/>
        <n v="5"/>
        <n v="54"/>
        <n v="81"/>
        <n v="56"/>
        <n v="65"/>
        <n v="21"/>
        <n v="34"/>
        <n v="18"/>
        <n v="11"/>
        <n v="69"/>
        <n v="40"/>
        <n v="73"/>
        <n v="7"/>
        <n v="76"/>
        <n v="85"/>
        <n v="57"/>
        <n v="78"/>
        <n v="20"/>
        <n v="32"/>
        <n v="28"/>
        <n v="59"/>
        <n v="13"/>
        <n v="2"/>
        <n v="67"/>
        <n v="15"/>
        <n v="51"/>
        <n v="12"/>
        <n v="17"/>
        <n v="9"/>
        <n v="47"/>
        <n v="83"/>
        <n v="24"/>
        <n v="46"/>
        <n v="39"/>
        <n v="45"/>
        <n v="66"/>
        <n v="82"/>
        <n v="19"/>
        <n v="48"/>
        <n v="22"/>
        <n v="33"/>
        <n v="4"/>
        <n v="37"/>
        <n v="87"/>
        <n v="86"/>
        <n v="71"/>
        <n v="10"/>
        <n v="84"/>
        <n v="3"/>
        <n v="55"/>
        <n v="68"/>
        <n v="36"/>
        <n v="49"/>
        <n v="14"/>
        <n v="77"/>
        <n v="63"/>
        <n v="29"/>
        <n v="70"/>
        <n v="72"/>
        <n v="53"/>
        <n v="6"/>
        <n v="89"/>
        <n v="30"/>
      </sharedItems>
      <fieldGroup base="1">
        <rangePr autoStart="0" autoEnd="0" startNum="0" endNum="100" groupInterval="18"/>
        <groupItems count="8">
          <s v="&lt;0"/>
          <s v="0-17"/>
          <s v="18-35"/>
          <s v="36-53"/>
          <s v="54-71"/>
          <s v="72-89"/>
          <s v="90-107"/>
          <s v="&gt;108"/>
        </groupItems>
      </fieldGroup>
    </cacheField>
    <cacheField name="Gender" numFmtId="0">
      <sharedItems count="2">
        <s v="Male"/>
        <s v="Female"/>
      </sharedItems>
    </cacheField>
    <cacheField name="Department" numFmtId="0">
      <sharedItems count="10">
        <s v="Gastroenterology"/>
        <s v="Orthopedics"/>
        <s v="Cardiology"/>
        <s v="Gynecology"/>
        <s v="Pediatrics"/>
        <s v="ENT"/>
        <s v="Dermatology"/>
        <s v="Oncology"/>
        <s v="General Medicine"/>
        <s v="Neurology"/>
      </sharedItems>
    </cacheField>
    <cacheField name="Doctor" numFmtId="0">
      <sharedItems count="10">
        <s v="Dr. Priya"/>
        <s v="Dr. Kumar"/>
        <s v="Dr. Sharma"/>
        <s v="Dr. Mehta"/>
        <s v="Dr. Gupta"/>
        <s v="Dr. Rao"/>
        <s v="Dr. Patel"/>
        <s v="Dr. Singh"/>
        <s v="Dr. Reddy"/>
        <s v="Dr. Das"/>
      </sharedItems>
    </cacheField>
    <cacheField name="Admission_Type" numFmtId="0">
      <sharedItems count="3">
        <s v="Referral"/>
        <s v="Scheduled"/>
        <s v="Emergency"/>
      </sharedItems>
    </cacheField>
    <cacheField name="Length_of_Stay" numFmtId="1">
      <sharedItems containsSemiMixedTypes="0" containsString="0" containsNumber="1" containsInteger="1" minValue="1" maxValue="15" count="15">
        <n v="5"/>
        <n v="11"/>
        <n v="2"/>
        <n v="15"/>
        <n v="14"/>
        <n v="7"/>
        <n v="8"/>
        <n v="6"/>
        <n v="13"/>
        <n v="12"/>
        <n v="1"/>
        <n v="9"/>
        <n v="10"/>
        <n v="4"/>
        <n v="3"/>
      </sharedItems>
    </cacheField>
    <cacheField name="Treatment_Cost" numFmtId="8">
      <sharedItems containsSemiMixedTypes="0" containsString="0" containsNumber="1" containsInteger="1" minValue="5031" maxValue="99997" count="4879">
        <n v="95516"/>
        <n v="64012"/>
        <n v="83259"/>
        <n v="68126"/>
        <n v="80819"/>
        <n v="91234"/>
        <n v="12298"/>
        <n v="9557"/>
        <n v="70680"/>
        <n v="55506"/>
        <n v="71020"/>
        <n v="27439"/>
        <n v="54129"/>
        <n v="6474"/>
        <n v="82347"/>
        <n v="16745"/>
        <n v="39705"/>
        <n v="21107"/>
        <n v="36746"/>
        <n v="88976"/>
        <n v="49287"/>
        <n v="44822"/>
        <n v="50940"/>
        <n v="90560"/>
        <n v="65185"/>
        <n v="45410"/>
        <n v="29789"/>
        <n v="53190"/>
        <n v="57905"/>
        <n v="41537"/>
        <n v="5704"/>
        <n v="16499"/>
        <n v="81046"/>
        <n v="89941"/>
        <n v="47488"/>
        <n v="80943"/>
        <n v="11424"/>
        <n v="25207"/>
        <n v="99432"/>
        <n v="65149"/>
        <n v="83322"/>
        <n v="56408"/>
        <n v="36810"/>
        <n v="14337"/>
        <n v="13546"/>
        <n v="35356"/>
        <n v="59145"/>
        <n v="6267"/>
        <n v="46565"/>
        <n v="50131"/>
        <n v="26955"/>
        <n v="46411"/>
        <n v="21969"/>
        <n v="34608"/>
        <n v="91968"/>
        <n v="42087"/>
        <n v="25547"/>
        <n v="95105"/>
        <n v="83627"/>
        <n v="15091"/>
        <n v="16776"/>
        <n v="90733"/>
        <n v="87796"/>
        <n v="65386"/>
        <n v="23380"/>
        <n v="94237"/>
        <n v="61050"/>
        <n v="52336"/>
        <n v="13342"/>
        <n v="68274"/>
        <n v="62679"/>
        <n v="97331"/>
        <n v="12117"/>
        <n v="88821"/>
        <n v="70935"/>
        <n v="54845"/>
        <n v="71684"/>
        <n v="30505"/>
        <n v="91658"/>
        <n v="5365"/>
        <n v="73108"/>
        <n v="44112"/>
        <n v="84777"/>
        <n v="93112"/>
        <n v="13704"/>
        <n v="30272"/>
        <n v="59803"/>
        <n v="9461"/>
        <n v="61393"/>
        <n v="76761"/>
        <n v="74112"/>
        <n v="94773"/>
        <n v="6128"/>
        <n v="87010"/>
        <n v="8628"/>
        <n v="60503"/>
        <n v="51429"/>
        <n v="67390"/>
        <n v="58244"/>
        <n v="60691"/>
        <n v="16174"/>
        <n v="11115"/>
        <n v="21684"/>
        <n v="38315"/>
        <n v="7527"/>
        <n v="68691"/>
        <n v="69812"/>
        <n v="99741"/>
        <n v="49544"/>
        <n v="7032"/>
        <n v="7228"/>
        <n v="45532"/>
        <n v="11230"/>
        <n v="73770"/>
        <n v="73549"/>
        <n v="59014"/>
        <n v="80062"/>
        <n v="55001"/>
        <n v="64480"/>
        <n v="48094"/>
        <n v="65912"/>
        <n v="15317"/>
        <n v="26532"/>
        <n v="63346"/>
        <n v="59605"/>
        <n v="84472"/>
        <n v="10773"/>
        <n v="70284"/>
        <n v="62939"/>
        <n v="39860"/>
        <n v="91583"/>
        <n v="21065"/>
        <n v="39692"/>
        <n v="38409"/>
        <n v="35854"/>
        <n v="82244"/>
        <n v="46852"/>
        <n v="70289"/>
        <n v="24678"/>
        <n v="77058"/>
        <n v="77765"/>
        <n v="32036"/>
        <n v="9745"/>
        <n v="59704"/>
        <n v="61249"/>
        <n v="42408"/>
        <n v="10561"/>
        <n v="5391"/>
        <n v="38160"/>
        <n v="6081"/>
        <n v="83203"/>
        <n v="5659"/>
        <n v="16478"/>
        <n v="60279"/>
        <n v="43615"/>
        <n v="85924"/>
        <n v="50898"/>
        <n v="14572"/>
        <n v="74488"/>
        <n v="79343"/>
        <n v="99997"/>
        <n v="60469"/>
        <n v="74914"/>
        <n v="45782"/>
        <n v="57677"/>
        <n v="77140"/>
        <n v="84916"/>
        <n v="48730"/>
        <n v="11010"/>
        <n v="78186"/>
        <n v="48840"/>
        <n v="86278"/>
        <n v="29862"/>
        <n v="69527"/>
        <n v="63790"/>
        <n v="14852"/>
        <n v="72970"/>
        <n v="90027"/>
        <n v="40286"/>
        <n v="11214"/>
        <n v="11201"/>
        <n v="32178"/>
        <n v="59420"/>
        <n v="93508"/>
        <n v="60444"/>
        <n v="8783"/>
        <n v="19919"/>
        <n v="7452"/>
        <n v="82019"/>
        <n v="65568"/>
        <n v="53461"/>
        <n v="67927"/>
        <n v="62592"/>
        <n v="40974"/>
        <n v="46530"/>
        <n v="54541"/>
        <n v="23887"/>
        <n v="60804"/>
        <n v="80614"/>
        <n v="48332"/>
        <n v="14362"/>
        <n v="83182"/>
        <n v="98148"/>
        <n v="55124"/>
        <n v="36031"/>
        <n v="95136"/>
        <n v="14699"/>
        <n v="56688"/>
        <n v="94192"/>
        <n v="9148"/>
        <n v="63884"/>
        <n v="15854"/>
        <n v="64045"/>
        <n v="27067"/>
        <n v="14780"/>
        <n v="66203"/>
        <n v="73724"/>
        <n v="91642"/>
        <n v="72266"/>
        <n v="84374"/>
        <n v="12766"/>
        <n v="19493"/>
        <n v="41824"/>
        <n v="83940"/>
        <n v="42786"/>
        <n v="19460"/>
        <n v="42693"/>
        <n v="22565"/>
        <n v="56363"/>
        <n v="39338"/>
        <n v="28637"/>
        <n v="54404"/>
        <n v="88712"/>
        <n v="94937"/>
        <n v="65360"/>
        <n v="21132"/>
        <n v="75484"/>
        <n v="28913"/>
        <n v="45970"/>
        <n v="38677"/>
        <n v="36034"/>
        <n v="49224"/>
        <n v="31553"/>
        <n v="68384"/>
        <n v="96483"/>
        <n v="78693"/>
        <n v="64991"/>
        <n v="61222"/>
        <n v="35920"/>
        <n v="63553"/>
        <n v="74975"/>
        <n v="56551"/>
        <n v="42367"/>
        <n v="82898"/>
        <n v="66255"/>
        <n v="45699"/>
        <n v="44706"/>
        <n v="66934"/>
        <n v="22170"/>
        <n v="16377"/>
        <n v="34701"/>
        <n v="86255"/>
        <n v="33086"/>
        <n v="54459"/>
        <n v="54319"/>
        <n v="39859"/>
        <n v="42432"/>
        <n v="87197"/>
        <n v="69008"/>
        <n v="11004"/>
        <n v="62533"/>
        <n v="50308"/>
        <n v="75325"/>
        <n v="21618"/>
        <n v="64483"/>
        <n v="23304"/>
        <n v="26343"/>
        <n v="59683"/>
        <n v="30758"/>
        <n v="30825"/>
        <n v="61684"/>
        <n v="52496"/>
        <n v="77455"/>
        <n v="14257"/>
        <n v="58791"/>
        <n v="78813"/>
        <n v="81426"/>
        <n v="46196"/>
        <n v="57270"/>
        <n v="17016"/>
        <n v="89958"/>
        <n v="73510"/>
        <n v="42924"/>
        <n v="44874"/>
        <n v="34006"/>
        <n v="58668"/>
        <n v="61232"/>
        <n v="11258"/>
        <n v="91973"/>
        <n v="79430"/>
        <n v="54220"/>
        <n v="8651"/>
        <n v="9051"/>
        <n v="33174"/>
        <n v="12326"/>
        <n v="28683"/>
        <n v="67090"/>
        <n v="23340"/>
        <n v="88382"/>
        <n v="88124"/>
        <n v="74025"/>
        <n v="90945"/>
        <n v="94143"/>
        <n v="57543"/>
        <n v="64530"/>
        <n v="64050"/>
        <n v="59521"/>
        <n v="79256"/>
        <n v="42259"/>
        <n v="52516"/>
        <n v="93197"/>
        <n v="41747"/>
        <n v="93241"/>
        <n v="54399"/>
        <n v="28990"/>
        <n v="42950"/>
        <n v="56986"/>
        <n v="33273"/>
        <n v="24418"/>
        <n v="75468"/>
        <n v="23471"/>
        <n v="58453"/>
        <n v="60969"/>
        <n v="9395"/>
        <n v="34222"/>
        <n v="21008"/>
        <n v="64790"/>
        <n v="72596"/>
        <n v="31562"/>
        <n v="17800"/>
        <n v="43698"/>
        <n v="79018"/>
        <n v="83865"/>
        <n v="37031"/>
        <n v="18269"/>
        <n v="59911"/>
        <n v="24358"/>
        <n v="47606"/>
        <n v="86308"/>
        <n v="92402"/>
        <n v="8922"/>
        <n v="78235"/>
        <n v="40371"/>
        <n v="20973"/>
        <n v="53833"/>
        <n v="62575"/>
        <n v="96885"/>
        <n v="33151"/>
        <n v="72982"/>
        <n v="52259"/>
        <n v="94079"/>
        <n v="94480"/>
        <n v="54358"/>
        <n v="8326"/>
        <n v="34350"/>
        <n v="22816"/>
        <n v="47863"/>
        <n v="71527"/>
        <n v="17567"/>
        <n v="62633"/>
        <n v="51318"/>
        <n v="37115"/>
        <n v="86492"/>
        <n v="82348"/>
        <n v="86853"/>
        <n v="10894"/>
        <n v="80775"/>
        <n v="35657"/>
        <n v="22065"/>
        <n v="12833"/>
        <n v="41145"/>
        <n v="83469"/>
        <n v="57352"/>
        <n v="23770"/>
        <n v="86217"/>
        <n v="87857"/>
        <n v="85928"/>
        <n v="90307"/>
        <n v="40040"/>
        <n v="11588"/>
        <n v="31533"/>
        <n v="29886"/>
        <n v="24028"/>
        <n v="65435"/>
        <n v="97466"/>
        <n v="87187"/>
        <n v="14656"/>
        <n v="34399"/>
        <n v="51603"/>
        <n v="33530"/>
        <n v="23254"/>
        <n v="34388"/>
        <n v="57492"/>
        <n v="51517"/>
        <n v="48092"/>
        <n v="19104"/>
        <n v="55647"/>
        <n v="87009"/>
        <n v="91493"/>
        <n v="99703"/>
        <n v="85148"/>
        <n v="45403"/>
        <n v="42721"/>
        <n v="19448"/>
        <n v="91070"/>
        <n v="62032"/>
        <n v="78798"/>
        <n v="23987"/>
        <n v="32346"/>
        <n v="28267"/>
        <n v="92782"/>
        <n v="68640"/>
        <n v="47538"/>
        <n v="9381"/>
        <n v="59140"/>
        <n v="30441"/>
        <n v="50780"/>
        <n v="36368"/>
        <n v="17098"/>
        <n v="14189"/>
        <n v="68163"/>
        <n v="77604"/>
        <n v="85707"/>
        <n v="94566"/>
        <n v="38581"/>
        <n v="62124"/>
        <n v="61736"/>
        <n v="13930"/>
        <n v="21034"/>
        <n v="88548"/>
        <n v="61899"/>
        <n v="33458"/>
        <n v="16364"/>
        <n v="77715"/>
        <n v="25901"/>
        <n v="82777"/>
        <n v="12429"/>
        <n v="49704"/>
        <n v="84148"/>
        <n v="80637"/>
        <n v="21986"/>
        <n v="41900"/>
        <n v="73004"/>
        <n v="41298"/>
        <n v="86417"/>
        <n v="50552"/>
        <n v="23817"/>
        <n v="82171"/>
        <n v="13188"/>
        <n v="54546"/>
        <n v="69606"/>
        <n v="32880"/>
        <n v="89985"/>
        <n v="32019"/>
        <n v="35488"/>
        <n v="15890"/>
        <n v="36792"/>
        <n v="11652"/>
        <n v="76190"/>
        <n v="33820"/>
        <n v="6735"/>
        <n v="22132"/>
        <n v="53737"/>
        <n v="72206"/>
        <n v="86500"/>
        <n v="33123"/>
        <n v="71605"/>
        <n v="70928"/>
        <n v="26122"/>
        <n v="69341"/>
        <n v="89430"/>
        <n v="68088"/>
        <n v="96158"/>
        <n v="18123"/>
        <n v="10581"/>
        <n v="14861"/>
        <n v="33324"/>
        <n v="24108"/>
        <n v="32302"/>
        <n v="66826"/>
        <n v="34003"/>
        <n v="82238"/>
        <n v="42431"/>
        <n v="77558"/>
        <n v="6606"/>
        <n v="74794"/>
        <n v="42369"/>
        <n v="19166"/>
        <n v="64796"/>
        <n v="10231"/>
        <n v="86656"/>
        <n v="98080"/>
        <n v="45373"/>
        <n v="72741"/>
        <n v="58611"/>
        <n v="99644"/>
        <n v="28604"/>
        <n v="95003"/>
        <n v="91914"/>
        <n v="75223"/>
        <n v="46551"/>
        <n v="31017"/>
        <n v="39606"/>
        <n v="18033"/>
        <n v="63420"/>
        <n v="17969"/>
        <n v="80583"/>
        <n v="70874"/>
        <n v="72383"/>
        <n v="80794"/>
        <n v="66824"/>
        <n v="30208"/>
        <n v="88029"/>
        <n v="63504"/>
        <n v="20061"/>
        <n v="67840"/>
        <n v="86259"/>
        <n v="95455"/>
        <n v="54874"/>
        <n v="28004"/>
        <n v="56706"/>
        <n v="70997"/>
        <n v="8745"/>
        <n v="64048"/>
        <n v="84473"/>
        <n v="79297"/>
        <n v="81922"/>
        <n v="82330"/>
        <n v="96255"/>
        <n v="88166"/>
        <n v="84129"/>
        <n v="97167"/>
        <n v="34005"/>
        <n v="14524"/>
        <n v="65916"/>
        <n v="12516"/>
        <n v="30411"/>
        <n v="99135"/>
        <n v="74543"/>
        <n v="42527"/>
        <n v="12786"/>
        <n v="27197"/>
        <n v="75194"/>
        <n v="6642"/>
        <n v="43038"/>
        <n v="37232"/>
        <n v="79512"/>
        <n v="45751"/>
        <n v="33371"/>
        <n v="78187"/>
        <n v="7400"/>
        <n v="99218"/>
        <n v="28231"/>
        <n v="51994"/>
        <n v="69924"/>
        <n v="74906"/>
        <n v="11158"/>
        <n v="71441"/>
        <n v="33592"/>
        <n v="11958"/>
        <n v="40989"/>
        <n v="90585"/>
        <n v="32738"/>
        <n v="93713"/>
        <n v="29191"/>
        <n v="66882"/>
        <n v="23091"/>
        <n v="69513"/>
        <n v="94910"/>
        <n v="28662"/>
        <n v="90346"/>
        <n v="26442"/>
        <n v="29539"/>
        <n v="97408"/>
        <n v="85554"/>
        <n v="95064"/>
        <n v="87789"/>
        <n v="53442"/>
        <n v="63780"/>
        <n v="47148"/>
        <n v="45638"/>
        <n v="43735"/>
        <n v="41723"/>
        <n v="36199"/>
        <n v="99359"/>
        <n v="6676"/>
        <n v="72610"/>
        <n v="18934"/>
        <n v="16128"/>
        <n v="31144"/>
        <n v="63688"/>
        <n v="12423"/>
        <n v="37855"/>
        <n v="60221"/>
        <n v="26815"/>
        <n v="72777"/>
        <n v="58210"/>
        <n v="70356"/>
        <n v="58091"/>
        <n v="28998"/>
        <n v="19603"/>
        <n v="50540"/>
        <n v="15975"/>
        <n v="30732"/>
        <n v="10087"/>
        <n v="18430"/>
        <n v="65768"/>
        <n v="66150"/>
        <n v="37686"/>
        <n v="11050"/>
        <n v="94871"/>
        <n v="5264"/>
        <n v="59874"/>
        <n v="36510"/>
        <n v="86139"/>
        <n v="74292"/>
        <n v="73953"/>
        <n v="27569"/>
        <n v="65751"/>
        <n v="93582"/>
        <n v="54921"/>
        <n v="44513"/>
        <n v="58501"/>
        <n v="6301"/>
        <n v="48712"/>
        <n v="49031"/>
        <n v="34308"/>
        <n v="97395"/>
        <n v="93691"/>
        <n v="17418"/>
        <n v="8417"/>
        <n v="91274"/>
        <n v="97212"/>
        <n v="22753"/>
        <n v="82998"/>
        <n v="70371"/>
        <n v="83612"/>
        <n v="20452"/>
        <n v="54953"/>
        <n v="77637"/>
        <n v="25647"/>
        <n v="37556"/>
        <n v="20095"/>
        <n v="41097"/>
        <n v="43059"/>
        <n v="18699"/>
        <n v="31911"/>
        <n v="92462"/>
        <n v="39160"/>
        <n v="54411"/>
        <n v="57842"/>
        <n v="59524"/>
        <n v="83814"/>
        <n v="31928"/>
        <n v="10023"/>
        <n v="75601"/>
        <n v="86837"/>
        <n v="51722"/>
        <n v="38073"/>
        <n v="33216"/>
        <n v="13718"/>
        <n v="59519"/>
        <n v="14425"/>
        <n v="38896"/>
        <n v="47344"/>
        <n v="96690"/>
        <n v="47900"/>
        <n v="82737"/>
        <n v="65848"/>
        <n v="83652"/>
        <n v="12682"/>
        <n v="34692"/>
        <n v="90093"/>
        <n v="82068"/>
        <n v="21288"/>
        <n v="75437"/>
        <n v="63647"/>
        <n v="68626"/>
        <n v="68524"/>
        <n v="66513"/>
        <n v="13406"/>
        <n v="95453"/>
        <n v="61717"/>
        <n v="72389"/>
        <n v="49319"/>
        <n v="19638"/>
        <n v="14270"/>
        <n v="99030"/>
        <n v="83420"/>
        <n v="88478"/>
        <n v="84821"/>
        <n v="34349"/>
        <n v="55507"/>
        <n v="96866"/>
        <n v="98406"/>
        <n v="86274"/>
        <n v="72308"/>
        <n v="56271"/>
        <n v="37396"/>
        <n v="39664"/>
        <n v="78379"/>
        <n v="74821"/>
        <n v="71239"/>
        <n v="51908"/>
        <n v="77980"/>
        <n v="41440"/>
        <n v="85577"/>
        <n v="51750"/>
        <n v="88509"/>
        <n v="50957"/>
        <n v="46343"/>
        <n v="76207"/>
        <n v="58760"/>
        <n v="22838"/>
        <n v="90230"/>
        <n v="25465"/>
        <n v="6293"/>
        <n v="6626"/>
        <n v="62278"/>
        <n v="64485"/>
        <n v="49402"/>
        <n v="62074"/>
        <n v="82272"/>
        <n v="64884"/>
        <n v="72767"/>
        <n v="23773"/>
        <n v="77559"/>
        <n v="50654"/>
        <n v="46507"/>
        <n v="15140"/>
        <n v="80758"/>
        <n v="90773"/>
        <n v="11733"/>
        <n v="87152"/>
        <n v="97780"/>
        <n v="36755"/>
        <n v="61874"/>
        <n v="61857"/>
        <n v="82899"/>
        <n v="6744"/>
        <n v="82821"/>
        <n v="14305"/>
        <n v="5031"/>
        <n v="43138"/>
        <n v="29994"/>
        <n v="90141"/>
        <n v="83543"/>
        <n v="95858"/>
        <n v="25643"/>
        <n v="29044"/>
        <n v="87244"/>
        <n v="23560"/>
        <n v="5286"/>
        <n v="96155"/>
        <n v="29147"/>
        <n v="72985"/>
        <n v="57975"/>
        <n v="21330"/>
        <n v="18579"/>
        <n v="82345"/>
        <n v="88068"/>
        <n v="99339"/>
        <n v="48870"/>
        <n v="90966"/>
        <n v="64828"/>
        <n v="8845"/>
        <n v="63981"/>
        <n v="60145"/>
        <n v="11844"/>
        <n v="86859"/>
        <n v="52106"/>
        <n v="83356"/>
        <n v="99887"/>
        <n v="5516"/>
        <n v="90566"/>
        <n v="21091"/>
        <n v="87029"/>
        <n v="46226"/>
        <n v="15510"/>
        <n v="73466"/>
        <n v="21639"/>
        <n v="51860"/>
        <n v="42192"/>
        <n v="19313"/>
        <n v="91724"/>
        <n v="7137"/>
        <n v="83161"/>
        <n v="93193"/>
        <n v="59196"/>
        <n v="55848"/>
        <n v="15275"/>
        <n v="99631"/>
        <n v="85818"/>
        <n v="63315"/>
        <n v="52738"/>
        <n v="47486"/>
        <n v="7991"/>
        <n v="76437"/>
        <n v="83557"/>
        <n v="86410"/>
        <n v="51608"/>
        <n v="95230"/>
        <n v="36964"/>
        <n v="98230"/>
        <n v="50779"/>
        <n v="37886"/>
        <n v="88013"/>
        <n v="53336"/>
        <n v="32091"/>
        <n v="84596"/>
        <n v="74322"/>
        <n v="53593"/>
        <n v="21465"/>
        <n v="11312"/>
        <n v="11422"/>
        <n v="5818"/>
        <n v="74230"/>
        <n v="75796"/>
        <n v="66943"/>
        <n v="64862"/>
        <n v="35576"/>
        <n v="63354"/>
        <n v="72328"/>
        <n v="73291"/>
        <n v="89741"/>
        <n v="6948"/>
        <n v="26433"/>
        <n v="14704"/>
        <n v="93208"/>
        <n v="22491"/>
        <n v="56546"/>
        <n v="33453"/>
        <n v="53523"/>
        <n v="49430"/>
        <n v="12224"/>
        <n v="71381"/>
        <n v="10653"/>
        <n v="21459"/>
        <n v="36200"/>
        <n v="66323"/>
        <n v="17070"/>
        <n v="38645"/>
        <n v="65587"/>
        <n v="84476"/>
        <n v="85575"/>
        <n v="99630"/>
        <n v="76923"/>
        <n v="33521"/>
        <n v="53331"/>
        <n v="11938"/>
        <n v="35946"/>
        <n v="67939"/>
        <n v="54075"/>
        <n v="72961"/>
        <n v="47142"/>
        <n v="72549"/>
        <n v="92338"/>
        <n v="44123"/>
        <n v="13828"/>
        <n v="84573"/>
        <n v="85021"/>
        <n v="19622"/>
        <n v="95127"/>
        <n v="42795"/>
        <n v="12008"/>
        <n v="53155"/>
        <n v="30857"/>
        <n v="77397"/>
        <n v="32530"/>
        <n v="13751"/>
        <n v="86796"/>
        <n v="47816"/>
        <n v="94663"/>
        <n v="56904"/>
        <n v="56097"/>
        <n v="65187"/>
        <n v="90586"/>
        <n v="89184"/>
        <n v="36257"/>
        <n v="68984"/>
        <n v="56494"/>
        <n v="68385"/>
        <n v="80047"/>
        <n v="41046"/>
        <n v="77502"/>
        <n v="72496"/>
        <n v="5791"/>
        <n v="17343"/>
        <n v="48383"/>
        <n v="97818"/>
        <n v="74457"/>
        <n v="35636"/>
        <n v="12238"/>
        <n v="50244"/>
        <n v="37795"/>
        <n v="97505"/>
        <n v="74355"/>
        <n v="83799"/>
        <n v="36722"/>
        <n v="39423"/>
        <n v="5388"/>
        <n v="40072"/>
        <n v="78482"/>
        <n v="66480"/>
        <n v="35130"/>
        <n v="55314"/>
        <n v="49431"/>
        <n v="73002"/>
        <n v="80458"/>
        <n v="11969"/>
        <n v="53653"/>
        <n v="5744"/>
        <n v="41049"/>
        <n v="39910"/>
        <n v="8217"/>
        <n v="80780"/>
        <n v="14069"/>
        <n v="17013"/>
        <n v="20075"/>
        <n v="99042"/>
        <n v="82960"/>
        <n v="41851"/>
        <n v="11942"/>
        <n v="43852"/>
        <n v="41903"/>
        <n v="16445"/>
        <n v="88670"/>
        <n v="94483"/>
        <n v="40411"/>
        <n v="57643"/>
        <n v="26410"/>
        <n v="55911"/>
        <n v="81352"/>
        <n v="64212"/>
        <n v="35696"/>
        <n v="91307"/>
        <n v="94799"/>
        <n v="64750"/>
        <n v="26409"/>
        <n v="17223"/>
        <n v="9202"/>
        <n v="20210"/>
        <n v="73205"/>
        <n v="73874"/>
        <n v="84853"/>
        <n v="39095"/>
        <n v="14805"/>
        <n v="76554"/>
        <n v="84571"/>
        <n v="60428"/>
        <n v="12482"/>
        <n v="10340"/>
        <n v="93444"/>
        <n v="71122"/>
        <n v="86769"/>
        <n v="40347"/>
        <n v="44975"/>
        <n v="27906"/>
        <n v="58744"/>
        <n v="9997"/>
        <n v="73251"/>
        <n v="95893"/>
        <n v="76001"/>
        <n v="95054"/>
        <n v="74925"/>
        <n v="63983"/>
        <n v="69313"/>
        <n v="72490"/>
        <n v="44432"/>
        <n v="38588"/>
        <n v="32673"/>
        <n v="12934"/>
        <n v="49819"/>
        <n v="80243"/>
        <n v="65137"/>
        <n v="71262"/>
        <n v="6027"/>
        <n v="27589"/>
        <n v="42115"/>
        <n v="89538"/>
        <n v="28939"/>
        <n v="98803"/>
        <n v="52295"/>
        <n v="13144"/>
        <n v="83876"/>
        <n v="15412"/>
        <n v="17289"/>
        <n v="57124"/>
        <n v="96139"/>
        <n v="99757"/>
        <n v="10438"/>
        <n v="73914"/>
        <n v="77760"/>
        <n v="45947"/>
        <n v="72198"/>
        <n v="71989"/>
        <n v="54886"/>
        <n v="22135"/>
        <n v="40729"/>
        <n v="5452"/>
        <n v="90343"/>
        <n v="33578"/>
        <n v="83204"/>
        <n v="27061"/>
        <n v="20473"/>
        <n v="10265"/>
        <n v="5714"/>
        <n v="85292"/>
        <n v="60421"/>
        <n v="15306"/>
        <n v="31056"/>
        <n v="95547"/>
        <n v="65566"/>
        <n v="64162"/>
        <n v="28327"/>
        <n v="16948"/>
        <n v="16039"/>
        <n v="13310"/>
        <n v="62649"/>
        <n v="93009"/>
        <n v="35196"/>
        <n v="80783"/>
        <n v="81044"/>
        <n v="30933"/>
        <n v="55399"/>
        <n v="9258"/>
        <n v="23109"/>
        <n v="91118"/>
        <n v="70624"/>
        <n v="17749"/>
        <n v="84721"/>
        <n v="94611"/>
        <n v="31273"/>
        <n v="88688"/>
        <n v="75481"/>
        <n v="97229"/>
        <n v="96020"/>
        <n v="20858"/>
        <n v="22385"/>
        <n v="59701"/>
        <n v="66901"/>
        <n v="54946"/>
        <n v="17595"/>
        <n v="24569"/>
        <n v="25441"/>
        <n v="24336"/>
        <n v="6706"/>
        <n v="21686"/>
        <n v="72737"/>
        <n v="97329"/>
        <n v="24135"/>
        <n v="84553"/>
        <n v="15741"/>
        <n v="74154"/>
        <n v="22869"/>
        <n v="15540"/>
        <n v="95459"/>
        <n v="35870"/>
        <n v="85934"/>
        <n v="76669"/>
        <n v="89038"/>
        <n v="68458"/>
        <n v="88753"/>
        <n v="81891"/>
        <n v="51974"/>
        <n v="14718"/>
        <n v="97181"/>
        <n v="54237"/>
        <n v="43172"/>
        <n v="37053"/>
        <n v="77509"/>
        <n v="33658"/>
        <n v="9145"/>
        <n v="27560"/>
        <n v="92417"/>
        <n v="33724"/>
        <n v="93811"/>
        <n v="80413"/>
        <n v="64747"/>
        <n v="94329"/>
        <n v="68232"/>
        <n v="60680"/>
        <n v="92489"/>
        <n v="29126"/>
        <n v="78292"/>
        <n v="37490"/>
        <n v="96373"/>
        <n v="28222"/>
        <n v="33901"/>
        <n v="22875"/>
        <n v="68604"/>
        <n v="42853"/>
        <n v="34487"/>
        <n v="98440"/>
        <n v="32640"/>
        <n v="25728"/>
        <n v="75880"/>
        <n v="17442"/>
        <n v="53766"/>
        <n v="40116"/>
        <n v="15869"/>
        <n v="78488"/>
        <n v="97515"/>
        <n v="89284"/>
        <n v="60766"/>
        <n v="40725"/>
        <n v="20390"/>
        <n v="60467"/>
        <n v="81674"/>
        <n v="41074"/>
        <n v="28372"/>
        <n v="9532"/>
        <n v="5249"/>
        <n v="18403"/>
        <n v="34663"/>
        <n v="63664"/>
        <n v="81420"/>
        <n v="91667"/>
        <n v="63666"/>
        <n v="99913"/>
        <n v="5991"/>
        <n v="70207"/>
        <n v="41096"/>
        <n v="63456"/>
        <n v="27144"/>
        <n v="34832"/>
        <n v="62286"/>
        <n v="37230"/>
        <n v="23064"/>
        <n v="69839"/>
        <n v="65020"/>
        <n v="84933"/>
        <n v="94353"/>
        <n v="80200"/>
        <n v="61815"/>
        <n v="91036"/>
        <n v="29205"/>
        <n v="20908"/>
        <n v="87795"/>
        <n v="32398"/>
        <n v="98588"/>
        <n v="76678"/>
        <n v="51496"/>
        <n v="92728"/>
        <n v="68537"/>
        <n v="75448"/>
        <n v="35584"/>
        <n v="7583"/>
        <n v="39478"/>
        <n v="6933"/>
        <n v="95971"/>
        <n v="91767"/>
        <n v="66586"/>
        <n v="56738"/>
        <n v="94186"/>
        <n v="33249"/>
        <n v="11282"/>
        <n v="51659"/>
        <n v="54528"/>
        <n v="19914"/>
        <n v="20159"/>
        <n v="14844"/>
        <n v="50074"/>
        <n v="89587"/>
        <n v="64734"/>
        <n v="47640"/>
        <n v="83645"/>
        <n v="90906"/>
        <n v="11495"/>
        <n v="84584"/>
        <n v="48469"/>
        <n v="92947"/>
        <n v="68263"/>
        <n v="25895"/>
        <n v="43048"/>
        <n v="74858"/>
        <n v="99222"/>
        <n v="22157"/>
        <n v="12600"/>
        <n v="69965"/>
        <n v="60118"/>
        <n v="47189"/>
        <n v="10431"/>
        <n v="61674"/>
        <n v="47623"/>
        <n v="19023"/>
        <n v="74418"/>
        <n v="10166"/>
        <n v="95990"/>
        <n v="51088"/>
        <n v="37505"/>
        <n v="42921"/>
        <n v="26985"/>
        <n v="10859"/>
        <n v="92929"/>
        <n v="9386"/>
        <n v="8014"/>
        <n v="8859"/>
        <n v="60769"/>
        <n v="93776"/>
        <n v="30468"/>
        <n v="38759"/>
        <n v="46463"/>
        <n v="86863"/>
        <n v="62047"/>
        <n v="9270"/>
        <n v="52372"/>
        <n v="44234"/>
        <n v="28323"/>
        <n v="38912"/>
        <n v="58780"/>
        <n v="74566"/>
        <n v="96591"/>
        <n v="53201"/>
        <n v="5958"/>
        <n v="21196"/>
        <n v="63528"/>
        <n v="21425"/>
        <n v="30605"/>
        <n v="88482"/>
        <n v="8544"/>
        <n v="32506"/>
        <n v="85598"/>
        <n v="18767"/>
        <n v="54447"/>
        <n v="81485"/>
        <n v="28196"/>
        <n v="14744"/>
        <n v="53453"/>
        <n v="58923"/>
        <n v="86204"/>
        <n v="39985"/>
        <n v="56147"/>
        <n v="84120"/>
        <n v="33612"/>
        <n v="66595"/>
        <n v="95657"/>
        <n v="70223"/>
        <n v="85044"/>
        <n v="5326"/>
        <n v="87732"/>
        <n v="42051"/>
        <n v="41468"/>
        <n v="31897"/>
        <n v="84810"/>
        <n v="26034"/>
        <n v="56105"/>
        <n v="28561"/>
        <n v="60201"/>
        <n v="89486"/>
        <n v="65322"/>
        <n v="83642"/>
        <n v="23597"/>
        <n v="88398"/>
        <n v="66812"/>
        <n v="50514"/>
        <n v="8617"/>
        <n v="34035"/>
        <n v="68765"/>
        <n v="40185"/>
        <n v="81563"/>
        <n v="5488"/>
        <n v="22382"/>
        <n v="17080"/>
        <n v="69155"/>
        <n v="68685"/>
        <n v="49608"/>
        <n v="60480"/>
        <n v="49864"/>
        <n v="65820"/>
        <n v="80307"/>
        <n v="9759"/>
        <n v="87813"/>
        <n v="30417"/>
        <n v="39062"/>
        <n v="93461"/>
        <n v="84466"/>
        <n v="74332"/>
        <n v="53407"/>
        <n v="16945"/>
        <n v="37983"/>
        <n v="30778"/>
        <n v="61869"/>
        <n v="51182"/>
        <n v="19390"/>
        <n v="38516"/>
        <n v="16989"/>
        <n v="39183"/>
        <n v="94343"/>
        <n v="75537"/>
        <n v="90823"/>
        <n v="95131"/>
        <n v="36673"/>
        <n v="11124"/>
        <n v="35250"/>
        <n v="47113"/>
        <n v="71289"/>
        <n v="94285"/>
        <n v="43935"/>
        <n v="18346"/>
        <n v="98792"/>
        <n v="50927"/>
        <n v="22761"/>
        <n v="58673"/>
        <n v="33435"/>
        <n v="70165"/>
        <n v="87298"/>
        <n v="20280"/>
        <n v="5513"/>
        <n v="20346"/>
        <n v="83894"/>
        <n v="89238"/>
        <n v="24762"/>
        <n v="65869"/>
        <n v="77613"/>
        <n v="56502"/>
        <n v="56374"/>
        <n v="78829"/>
        <n v="35865"/>
        <n v="63247"/>
        <n v="80665"/>
        <n v="65332"/>
        <n v="43491"/>
        <n v="37953"/>
        <n v="95807"/>
        <n v="41363"/>
        <n v="84039"/>
        <n v="58020"/>
        <n v="88473"/>
        <n v="57243"/>
        <n v="45363"/>
        <n v="20534"/>
        <n v="22917"/>
        <n v="12888"/>
        <n v="23129"/>
        <n v="12936"/>
        <n v="36731"/>
        <n v="72246"/>
        <n v="81126"/>
        <n v="50152"/>
        <n v="58072"/>
        <n v="84564"/>
        <n v="15933"/>
        <n v="71688"/>
        <n v="80280"/>
        <n v="40874"/>
        <n v="70825"/>
        <n v="5955"/>
        <n v="89108"/>
        <n v="85366"/>
        <n v="29018"/>
        <n v="63373"/>
        <n v="87160"/>
        <n v="10224"/>
        <n v="25452"/>
        <n v="23738"/>
        <n v="34225"/>
        <n v="70295"/>
        <n v="75332"/>
        <n v="52566"/>
        <n v="5618"/>
        <n v="99136"/>
        <n v="33697"/>
        <n v="26017"/>
        <n v="32734"/>
        <n v="47909"/>
        <n v="27504"/>
        <n v="24143"/>
        <n v="78089"/>
        <n v="9013"/>
        <n v="19757"/>
        <n v="91957"/>
        <n v="24849"/>
        <n v="39889"/>
        <n v="6951"/>
        <n v="75461"/>
        <n v="96633"/>
        <n v="22425"/>
        <n v="75466"/>
        <n v="82374"/>
        <n v="84270"/>
        <n v="14957"/>
        <n v="43661"/>
        <n v="52389"/>
        <n v="20379"/>
        <n v="37494"/>
        <n v="16482"/>
        <n v="67690"/>
        <n v="76672"/>
        <n v="69245"/>
        <n v="56778"/>
        <n v="44700"/>
        <n v="19133"/>
        <n v="75077"/>
        <n v="83836"/>
        <n v="83090"/>
        <n v="41584"/>
        <n v="81260"/>
        <n v="36009"/>
        <n v="90080"/>
        <n v="30654"/>
        <n v="45007"/>
        <n v="88485"/>
        <n v="22169"/>
        <n v="43101"/>
        <n v="26421"/>
        <n v="65539"/>
        <n v="44226"/>
        <n v="66359"/>
        <n v="57097"/>
        <n v="62693"/>
        <n v="41073"/>
        <n v="28754"/>
        <n v="40524"/>
        <n v="13904"/>
        <n v="8072"/>
        <n v="36331"/>
        <n v="17163"/>
        <n v="83025"/>
        <n v="68752"/>
        <n v="50755"/>
        <n v="34596"/>
        <n v="45604"/>
        <n v="63779"/>
        <n v="12360"/>
        <n v="92448"/>
        <n v="80065"/>
        <n v="18670"/>
        <n v="33353"/>
        <n v="28305"/>
        <n v="85774"/>
        <n v="34059"/>
        <n v="15223"/>
        <n v="27239"/>
        <n v="69854"/>
        <n v="98616"/>
        <n v="23223"/>
        <n v="56970"/>
        <n v="84407"/>
        <n v="54764"/>
        <n v="62576"/>
        <n v="9238"/>
        <n v="46906"/>
        <n v="29633"/>
        <n v="56315"/>
        <n v="10121"/>
        <n v="87266"/>
        <n v="43006"/>
        <n v="49375"/>
        <n v="39451"/>
        <n v="6343"/>
        <n v="42575"/>
        <n v="94651"/>
        <n v="40615"/>
        <n v="83205"/>
        <n v="34880"/>
        <n v="70274"/>
        <n v="85888"/>
        <n v="37999"/>
        <n v="84612"/>
        <n v="20857"/>
        <n v="11350"/>
        <n v="52119"/>
        <n v="74623"/>
        <n v="35351"/>
        <n v="94132"/>
        <n v="86074"/>
        <n v="38207"/>
        <n v="49771"/>
        <n v="57214"/>
        <n v="71679"/>
        <n v="88665"/>
        <n v="46427"/>
        <n v="53570"/>
        <n v="7987"/>
        <n v="21467"/>
        <n v="16339"/>
        <n v="42986"/>
        <n v="82098"/>
        <n v="9829"/>
        <n v="79043"/>
        <n v="78086"/>
        <n v="19036"/>
        <n v="48872"/>
        <n v="60697"/>
        <n v="68530"/>
        <n v="8753"/>
        <n v="13250"/>
        <n v="81572"/>
        <n v="89302"/>
        <n v="91387"/>
        <n v="15194"/>
        <n v="71495"/>
        <n v="10847"/>
        <n v="30118"/>
        <n v="5711"/>
        <n v="82047"/>
        <n v="64547"/>
        <n v="91423"/>
        <n v="60686"/>
        <n v="5723"/>
        <n v="57112"/>
        <n v="28822"/>
        <n v="77419"/>
        <n v="30533"/>
        <n v="25385"/>
        <n v="99126"/>
        <n v="86340"/>
        <n v="90189"/>
        <n v="72009"/>
        <n v="46444"/>
        <n v="47660"/>
        <n v="6764"/>
        <n v="40142"/>
        <n v="58331"/>
        <n v="48133"/>
        <n v="99426"/>
        <n v="83643"/>
        <n v="13265"/>
        <n v="48975"/>
        <n v="97760"/>
        <n v="93926"/>
        <n v="53005"/>
        <n v="38863"/>
        <n v="57080"/>
        <n v="56288"/>
        <n v="48248"/>
        <n v="6823"/>
        <n v="29787"/>
        <n v="7825"/>
        <n v="19057"/>
        <n v="7336"/>
        <n v="90917"/>
        <n v="23211"/>
        <n v="18801"/>
        <n v="76008"/>
        <n v="67236"/>
        <n v="20909"/>
        <n v="29145"/>
        <n v="79100"/>
        <n v="46019"/>
        <n v="72098"/>
        <n v="78632"/>
        <n v="30954"/>
        <n v="65122"/>
        <n v="54159"/>
        <n v="13415"/>
        <n v="86305"/>
        <n v="32356"/>
        <n v="38866"/>
        <n v="82984"/>
        <n v="16546"/>
        <n v="25212"/>
        <n v="66686"/>
        <n v="82308"/>
        <n v="37783"/>
        <n v="60678"/>
        <n v="71304"/>
        <n v="62024"/>
        <n v="86239"/>
        <n v="90992"/>
        <n v="71810"/>
        <n v="55036"/>
        <n v="22226"/>
        <n v="62841"/>
        <n v="32715"/>
        <n v="70512"/>
        <n v="48181"/>
        <n v="82341"/>
        <n v="32759"/>
        <n v="52911"/>
        <n v="97869"/>
        <n v="18166"/>
        <n v="70090"/>
        <n v="12790"/>
        <n v="70008"/>
        <n v="5145"/>
        <n v="19705"/>
        <n v="47022"/>
        <n v="65901"/>
        <n v="57275"/>
        <n v="71158"/>
        <n v="9892"/>
        <n v="80077"/>
        <n v="34629"/>
        <n v="62375"/>
        <n v="71901"/>
        <n v="23940"/>
        <n v="10104"/>
        <n v="49082"/>
        <n v="86778"/>
        <n v="86579"/>
        <n v="98426"/>
        <n v="44005"/>
        <n v="38098"/>
        <n v="5997"/>
        <n v="58032"/>
        <n v="78269"/>
        <n v="6765"/>
        <n v="16063"/>
        <n v="60265"/>
        <n v="27018"/>
        <n v="87094"/>
        <n v="54258"/>
        <n v="63364"/>
        <n v="60853"/>
        <n v="89134"/>
        <n v="86868"/>
        <n v="69659"/>
        <n v="21712"/>
        <n v="10848"/>
        <n v="22567"/>
        <n v="58669"/>
        <n v="95954"/>
        <n v="54433"/>
        <n v="82775"/>
        <n v="6980"/>
        <n v="26216"/>
        <n v="45793"/>
        <n v="43027"/>
        <n v="27498"/>
        <n v="6071"/>
        <n v="48972"/>
        <n v="71924"/>
        <n v="82302"/>
        <n v="6950"/>
        <n v="27450"/>
        <n v="37519"/>
        <n v="63078"/>
        <n v="15423"/>
        <n v="55845"/>
        <n v="38934"/>
        <n v="98942"/>
        <n v="73384"/>
        <n v="50854"/>
        <n v="70092"/>
        <n v="36402"/>
        <n v="8852"/>
        <n v="71196"/>
        <n v="74512"/>
        <n v="34785"/>
        <n v="58422"/>
        <n v="86051"/>
        <n v="31841"/>
        <n v="82860"/>
        <n v="45195"/>
        <n v="59335"/>
        <n v="89386"/>
        <n v="19135"/>
        <n v="10985"/>
        <n v="95888"/>
        <n v="67622"/>
        <n v="56687"/>
        <n v="99327"/>
        <n v="65957"/>
        <n v="38952"/>
        <n v="91041"/>
        <n v="56948"/>
        <n v="80950"/>
        <n v="39894"/>
        <n v="12064"/>
        <n v="12692"/>
        <n v="22475"/>
        <n v="98347"/>
        <n v="66660"/>
        <n v="55146"/>
        <n v="23537"/>
        <n v="90833"/>
        <n v="88437"/>
        <n v="5222"/>
        <n v="28793"/>
        <n v="70045"/>
        <n v="94415"/>
        <n v="63835"/>
        <n v="10363"/>
        <n v="28028"/>
        <n v="90783"/>
        <n v="6180"/>
        <n v="65540"/>
        <n v="70381"/>
        <n v="66678"/>
        <n v="98563"/>
        <n v="85315"/>
        <n v="67329"/>
        <n v="68359"/>
        <n v="86291"/>
        <n v="12863"/>
        <n v="32699"/>
        <n v="97124"/>
        <n v="42463"/>
        <n v="17712"/>
        <n v="89613"/>
        <n v="8997"/>
        <n v="55281"/>
        <n v="56325"/>
        <n v="88146"/>
        <n v="69462"/>
        <n v="49242"/>
        <n v="19053"/>
        <n v="86505"/>
        <n v="77367"/>
        <n v="11204"/>
        <n v="32624"/>
        <n v="36280"/>
        <n v="26032"/>
        <n v="13284"/>
        <n v="33929"/>
        <n v="41084"/>
        <n v="41272"/>
        <n v="27329"/>
        <n v="22625"/>
        <n v="86447"/>
        <n v="71634"/>
        <n v="59930"/>
        <n v="74497"/>
        <n v="89066"/>
        <n v="61337"/>
        <n v="65722"/>
        <n v="86561"/>
        <n v="58373"/>
        <n v="85384"/>
        <n v="8431"/>
        <n v="36235"/>
        <n v="58572"/>
        <n v="47089"/>
        <n v="73061"/>
        <n v="76897"/>
        <n v="7895"/>
        <n v="8763"/>
        <n v="45676"/>
        <n v="7593"/>
        <n v="86431"/>
        <n v="58255"/>
        <n v="33070"/>
        <n v="27647"/>
        <n v="81787"/>
        <n v="35738"/>
        <n v="57698"/>
        <n v="23862"/>
        <n v="60914"/>
        <n v="99734"/>
        <n v="65125"/>
        <n v="57556"/>
        <n v="28625"/>
        <n v="83731"/>
        <n v="77091"/>
        <n v="28807"/>
        <n v="97238"/>
        <n v="73450"/>
        <n v="77322"/>
        <n v="15158"/>
        <n v="12545"/>
        <n v="66911"/>
        <n v="5319"/>
        <n v="11954"/>
        <n v="96314"/>
        <n v="6184"/>
        <n v="81073"/>
        <n v="44751"/>
        <n v="76566"/>
        <n v="23949"/>
        <n v="23978"/>
        <n v="63229"/>
        <n v="25519"/>
        <n v="43057"/>
        <n v="80503"/>
        <n v="32630"/>
        <n v="53093"/>
        <n v="73905"/>
        <n v="72972"/>
        <n v="91725"/>
        <n v="53108"/>
        <n v="79924"/>
        <n v="78524"/>
        <n v="22087"/>
        <n v="50966"/>
        <n v="52300"/>
        <n v="73503"/>
        <n v="65118"/>
        <n v="12454"/>
        <n v="10423"/>
        <n v="11764"/>
        <n v="54607"/>
        <n v="60331"/>
        <n v="90900"/>
        <n v="68013"/>
        <n v="68724"/>
        <n v="91930"/>
        <n v="47042"/>
        <n v="88744"/>
        <n v="65084"/>
        <n v="73615"/>
        <n v="73371"/>
        <n v="96585"/>
        <n v="74787"/>
        <n v="16167"/>
        <n v="94936"/>
        <n v="56594"/>
        <n v="98061"/>
        <n v="80934"/>
        <n v="61510"/>
        <n v="25083"/>
        <n v="7631"/>
        <n v="92706"/>
        <n v="17750"/>
        <n v="30663"/>
        <n v="66006"/>
        <n v="5863"/>
        <n v="5545"/>
        <n v="34488"/>
        <n v="96707"/>
        <n v="83720"/>
        <n v="12035"/>
        <n v="34632"/>
        <n v="5276"/>
        <n v="27257"/>
        <n v="23258"/>
        <n v="90437"/>
        <n v="40127"/>
        <n v="84783"/>
        <n v="54450"/>
        <n v="5192"/>
        <n v="26626"/>
        <n v="55724"/>
        <n v="73076"/>
        <n v="11708"/>
        <n v="46443"/>
        <n v="98094"/>
        <n v="84601"/>
        <n v="98821"/>
        <n v="25266"/>
        <n v="15601"/>
        <n v="15845"/>
        <n v="91004"/>
        <n v="73565"/>
        <n v="24334"/>
        <n v="34287"/>
        <n v="79850"/>
        <n v="22349"/>
        <n v="59826"/>
        <n v="60050"/>
        <n v="10414"/>
        <n v="63372"/>
        <n v="71199"/>
        <n v="18421"/>
        <n v="59255"/>
        <n v="26329"/>
        <n v="88569"/>
        <n v="29438"/>
        <n v="32496"/>
        <n v="57673"/>
        <n v="6913"/>
        <n v="60090"/>
        <n v="10093"/>
        <n v="50609"/>
        <n v="33497"/>
        <n v="46366"/>
        <n v="48345"/>
        <n v="31767"/>
        <n v="54594"/>
        <n v="92186"/>
        <n v="19401"/>
        <n v="39675"/>
        <n v="12852"/>
        <n v="92816"/>
        <n v="90277"/>
        <n v="9815"/>
        <n v="31840"/>
        <n v="93451"/>
        <n v="94829"/>
        <n v="70690"/>
        <n v="50466"/>
        <n v="97801"/>
        <n v="70354"/>
        <n v="45081"/>
        <n v="22509"/>
        <n v="64524"/>
        <n v="71918"/>
        <n v="59361"/>
        <n v="66879"/>
        <n v="97206"/>
        <n v="5441"/>
        <n v="5370"/>
        <n v="29826"/>
        <n v="56438"/>
        <n v="88085"/>
        <n v="75258"/>
        <n v="36136"/>
        <n v="39593"/>
        <n v="65591"/>
        <n v="64441"/>
        <n v="9957"/>
        <n v="95659"/>
        <n v="67710"/>
        <n v="46626"/>
        <n v="14761"/>
        <n v="61803"/>
        <n v="90977"/>
        <n v="45078"/>
        <n v="12186"/>
        <n v="92917"/>
        <n v="64624"/>
        <n v="19211"/>
        <n v="12591"/>
        <n v="86218"/>
        <n v="28255"/>
        <n v="17996"/>
        <n v="83807"/>
        <n v="72968"/>
        <n v="10742"/>
        <n v="36906"/>
        <n v="56703"/>
        <n v="42001"/>
        <n v="76177"/>
        <n v="58139"/>
        <n v="94432"/>
        <n v="99328"/>
        <n v="99485"/>
        <n v="89608"/>
        <n v="42697"/>
        <n v="61360"/>
        <n v="87573"/>
        <n v="48843"/>
        <n v="53203"/>
        <n v="70569"/>
        <n v="66353"/>
        <n v="10586"/>
        <n v="40391"/>
        <n v="57544"/>
        <n v="11416"/>
        <n v="28886"/>
        <n v="41438"/>
        <n v="99128"/>
        <n v="98456"/>
        <n v="64525"/>
        <n v="17090"/>
        <n v="81443"/>
        <n v="10061"/>
        <n v="72499"/>
        <n v="43751"/>
        <n v="29792"/>
        <n v="28127"/>
        <n v="43733"/>
        <n v="81145"/>
        <n v="91939"/>
        <n v="75617"/>
        <n v="40389"/>
        <n v="19810"/>
        <n v="49845"/>
        <n v="60305"/>
        <n v="79471"/>
        <n v="84879"/>
        <n v="47068"/>
        <n v="56190"/>
        <n v="60621"/>
        <n v="31948"/>
        <n v="26683"/>
        <n v="24907"/>
        <n v="83216"/>
        <n v="17596"/>
        <n v="26097"/>
        <n v="48150"/>
        <n v="16255"/>
        <n v="76331"/>
        <n v="53170"/>
        <n v="83978"/>
        <n v="45433"/>
        <n v="79847"/>
        <n v="21791"/>
        <n v="22740"/>
        <n v="35556"/>
        <n v="73295"/>
        <n v="99700"/>
        <n v="73305"/>
        <n v="43941"/>
        <n v="66158"/>
        <n v="55821"/>
        <n v="21853"/>
        <n v="92440"/>
        <n v="94614"/>
        <n v="74874"/>
        <n v="89165"/>
        <n v="67028"/>
        <n v="8248"/>
        <n v="8242"/>
        <n v="93170"/>
        <n v="25674"/>
        <n v="90838"/>
        <n v="59111"/>
        <n v="89409"/>
        <n v="97779"/>
        <n v="15536"/>
        <n v="41814"/>
        <n v="82725"/>
        <n v="13573"/>
        <n v="51680"/>
        <n v="46734"/>
        <n v="59896"/>
        <n v="78068"/>
        <n v="50372"/>
        <n v="26978"/>
        <n v="98567"/>
        <n v="12433"/>
        <n v="25784"/>
        <n v="38419"/>
        <n v="66143"/>
        <n v="44412"/>
        <n v="92287"/>
        <n v="41010"/>
        <n v="86560"/>
        <n v="75267"/>
        <n v="96569"/>
        <n v="59553"/>
        <n v="26462"/>
        <n v="32980"/>
        <n v="14286"/>
        <n v="64879"/>
        <n v="92264"/>
        <n v="62098"/>
        <n v="19276"/>
        <n v="62335"/>
        <n v="26585"/>
        <n v="18120"/>
        <n v="32866"/>
        <n v="72281"/>
        <n v="36249"/>
        <n v="20489"/>
        <n v="99141"/>
        <n v="19864"/>
        <n v="31458"/>
        <n v="6358"/>
        <n v="75098"/>
        <n v="37141"/>
        <n v="93128"/>
        <n v="47917"/>
        <n v="92345"/>
        <n v="71130"/>
        <n v="61528"/>
        <n v="86322"/>
        <n v="39270"/>
        <n v="79826"/>
        <n v="14260"/>
        <n v="31982"/>
        <n v="37995"/>
        <n v="90609"/>
        <n v="47688"/>
        <n v="21755"/>
        <n v="16620"/>
        <n v="98950"/>
        <n v="12984"/>
        <n v="85581"/>
        <n v="26908"/>
        <n v="14500"/>
        <n v="99947"/>
        <n v="87265"/>
        <n v="28224"/>
        <n v="13289"/>
        <n v="16755"/>
        <n v="54702"/>
        <n v="16708"/>
        <n v="36795"/>
        <n v="78101"/>
        <n v="76952"/>
        <n v="52154"/>
        <n v="91539"/>
        <n v="16603"/>
        <n v="69719"/>
        <n v="44662"/>
        <n v="78853"/>
        <n v="75823"/>
        <n v="71327"/>
        <n v="72099"/>
        <n v="46107"/>
        <n v="87464"/>
        <n v="5609"/>
        <n v="14605"/>
        <n v="74637"/>
        <n v="11778"/>
        <n v="61062"/>
        <n v="76971"/>
        <n v="40811"/>
        <n v="9636"/>
        <n v="97654"/>
        <n v="11921"/>
        <n v="90863"/>
        <n v="33685"/>
        <n v="23294"/>
        <n v="63131"/>
        <n v="41099"/>
        <n v="85792"/>
        <n v="44773"/>
        <n v="60257"/>
        <n v="11623"/>
        <n v="95490"/>
        <n v="86183"/>
        <n v="43201"/>
        <n v="39150"/>
        <n v="43814"/>
        <n v="14839"/>
        <n v="91722"/>
        <n v="41201"/>
        <n v="67277"/>
        <n v="78729"/>
        <n v="52281"/>
        <n v="98923"/>
        <n v="57463"/>
        <n v="42854"/>
        <n v="66533"/>
        <n v="48193"/>
        <n v="41251"/>
        <n v="85177"/>
        <n v="11075"/>
        <n v="56145"/>
        <n v="84537"/>
        <n v="73290"/>
        <n v="69823"/>
        <n v="75928"/>
        <n v="71719"/>
        <n v="69248"/>
        <n v="45175"/>
        <n v="12926"/>
        <n v="60426"/>
        <n v="96710"/>
        <n v="29319"/>
        <n v="65021"/>
        <n v="9383"/>
        <n v="45046"/>
        <n v="42446"/>
        <n v="85105"/>
        <n v="77298"/>
        <n v="82854"/>
        <n v="61039"/>
        <n v="20461"/>
        <n v="26714"/>
        <n v="24175"/>
        <n v="67426"/>
        <n v="82278"/>
        <n v="32301"/>
        <n v="59658"/>
        <n v="63631"/>
        <n v="42634"/>
        <n v="52342"/>
        <n v="44474"/>
        <n v="70762"/>
        <n v="21607"/>
        <n v="42802"/>
        <n v="97377"/>
        <n v="35329"/>
        <n v="71044"/>
        <n v="36961"/>
        <n v="13572"/>
        <n v="62847"/>
        <n v="91354"/>
        <n v="14639"/>
        <n v="95975"/>
        <n v="88955"/>
        <n v="15652"/>
        <n v="25398"/>
        <n v="98955"/>
        <n v="45489"/>
        <n v="74429"/>
        <n v="17299"/>
        <n v="8863"/>
        <n v="98589"/>
        <n v="84056"/>
        <n v="9563"/>
        <n v="8646"/>
        <n v="54182"/>
        <n v="66313"/>
        <n v="61655"/>
        <n v="78491"/>
        <n v="92954"/>
        <n v="62608"/>
        <n v="8434"/>
        <n v="31770"/>
        <n v="67895"/>
        <n v="86301"/>
        <n v="75493"/>
        <n v="86964"/>
        <n v="28846"/>
        <n v="62545"/>
        <n v="83770"/>
        <n v="35891"/>
        <n v="30374"/>
        <n v="52264"/>
        <n v="6899"/>
        <n v="83131"/>
        <n v="36419"/>
        <n v="31308"/>
        <n v="31209"/>
        <n v="6523"/>
        <n v="15609"/>
        <n v="44333"/>
        <n v="54691"/>
        <n v="69879"/>
        <n v="78366"/>
        <n v="37162"/>
        <n v="72120"/>
        <n v="20892"/>
        <n v="8313"/>
        <n v="98981"/>
        <n v="60832"/>
        <n v="61448"/>
        <n v="83255"/>
        <n v="24581"/>
        <n v="21083"/>
        <n v="11989"/>
        <n v="60758"/>
        <n v="43866"/>
        <n v="17307"/>
        <n v="47985"/>
        <n v="52230"/>
        <n v="8101"/>
        <n v="17824"/>
        <n v="99068"/>
        <n v="44262"/>
        <n v="42792"/>
        <n v="95222"/>
        <n v="60584"/>
        <n v="19215"/>
        <n v="65771"/>
        <n v="81807"/>
        <n v="97418"/>
        <n v="44356"/>
        <n v="50223"/>
        <n v="84953"/>
        <n v="37049"/>
        <n v="76696"/>
        <n v="57861"/>
        <n v="58655"/>
        <n v="57449"/>
        <n v="6522"/>
        <n v="81594"/>
        <n v="5585"/>
        <n v="95666"/>
        <n v="65155"/>
        <n v="35710"/>
        <n v="71076"/>
        <n v="7055"/>
        <n v="50357"/>
        <n v="54179"/>
        <n v="42199"/>
        <n v="62980"/>
        <n v="26540"/>
        <n v="38710"/>
        <n v="50433"/>
        <n v="53350"/>
        <n v="73678"/>
        <n v="16517"/>
        <n v="62617"/>
        <n v="7026"/>
        <n v="53229"/>
        <n v="58367"/>
        <n v="70065"/>
        <n v="46417"/>
        <n v="31524"/>
        <n v="67447"/>
        <n v="75415"/>
        <n v="59285"/>
        <n v="10178"/>
        <n v="35580"/>
        <n v="79221"/>
        <n v="78756"/>
        <n v="66950"/>
        <n v="94459"/>
        <n v="96450"/>
        <n v="34603"/>
        <n v="24774"/>
        <n v="34479"/>
        <n v="5469"/>
        <n v="40672"/>
        <n v="92563"/>
        <n v="52955"/>
        <n v="13424"/>
        <n v="79942"/>
        <n v="51016"/>
        <n v="58602"/>
        <n v="75871"/>
        <n v="77097"/>
        <n v="61143"/>
        <n v="81014"/>
        <n v="92311"/>
        <n v="94385"/>
        <n v="29288"/>
        <n v="58095"/>
        <n v="14051"/>
        <n v="77974"/>
        <n v="10866"/>
        <n v="50797"/>
        <n v="61611"/>
        <n v="71850"/>
        <n v="6714"/>
        <n v="36160"/>
        <n v="45478"/>
        <n v="66220"/>
        <n v="56807"/>
        <n v="98317"/>
        <n v="51215"/>
        <n v="29576"/>
        <n v="12937"/>
        <n v="17131"/>
        <n v="85638"/>
        <n v="9336"/>
        <n v="73462"/>
        <n v="92410"/>
        <n v="36694"/>
        <n v="46968"/>
        <n v="43619"/>
        <n v="59050"/>
        <n v="92834"/>
        <n v="6423"/>
        <n v="47500"/>
        <n v="98480"/>
        <n v="67803"/>
        <n v="74411"/>
        <n v="18012"/>
        <n v="54526"/>
        <n v="60291"/>
        <n v="19474"/>
        <n v="63029"/>
        <n v="19840"/>
        <n v="99028"/>
        <n v="73974"/>
        <n v="83762"/>
        <n v="50509"/>
        <n v="85150"/>
        <n v="55878"/>
        <n v="10634"/>
        <n v="46798"/>
        <n v="66815"/>
        <n v="34681"/>
        <n v="27541"/>
        <n v="42537"/>
        <n v="48158"/>
        <n v="58136"/>
        <n v="21533"/>
        <n v="39658"/>
        <n v="42347"/>
        <n v="9257"/>
        <n v="5732"/>
        <n v="82598"/>
        <n v="60885"/>
        <n v="28039"/>
        <n v="72321"/>
        <n v="90590"/>
        <n v="82146"/>
        <n v="21763"/>
        <n v="73101"/>
        <n v="11430"/>
        <n v="79021"/>
        <n v="91109"/>
        <n v="97475"/>
        <n v="80722"/>
        <n v="45832"/>
        <n v="10402"/>
        <n v="81682"/>
        <n v="36612"/>
        <n v="94077"/>
        <n v="8137"/>
        <n v="26443"/>
        <n v="76797"/>
        <n v="65099"/>
        <n v="51971"/>
        <n v="70996"/>
        <n v="45554"/>
        <n v="38692"/>
        <n v="97176"/>
        <n v="76679"/>
        <n v="51970"/>
        <n v="99595"/>
        <n v="78610"/>
        <n v="5565"/>
        <n v="97959"/>
        <n v="14688"/>
        <n v="55355"/>
        <n v="94542"/>
        <n v="21970"/>
        <n v="48310"/>
        <n v="57956"/>
        <n v="15164"/>
        <n v="61479"/>
        <n v="55352"/>
        <n v="5504"/>
        <n v="79491"/>
        <n v="76739"/>
        <n v="38561"/>
        <n v="80932"/>
        <n v="42026"/>
        <n v="32287"/>
        <n v="45428"/>
        <n v="60759"/>
        <n v="72840"/>
        <n v="18799"/>
        <n v="6795"/>
        <n v="79093"/>
        <n v="98780"/>
        <n v="44632"/>
        <n v="88784"/>
        <n v="51319"/>
        <n v="21389"/>
        <n v="92220"/>
        <n v="10885"/>
        <n v="19602"/>
        <n v="36242"/>
        <n v="98267"/>
        <n v="80056"/>
        <n v="83298"/>
        <n v="27687"/>
        <n v="53726"/>
        <n v="45825"/>
        <n v="49685"/>
        <n v="7806"/>
        <n v="84965"/>
        <n v="42522"/>
        <n v="14390"/>
        <n v="83769"/>
        <n v="10128"/>
        <n v="92231"/>
        <n v="40652"/>
        <n v="27680"/>
        <n v="24576"/>
        <n v="92392"/>
        <n v="8493"/>
        <n v="96023"/>
        <n v="57088"/>
        <n v="36837"/>
        <n v="60862"/>
        <n v="40832"/>
        <n v="89229"/>
        <n v="36262"/>
        <n v="97557"/>
        <n v="38236"/>
        <n v="92719"/>
        <n v="95637"/>
        <n v="92574"/>
        <n v="33491"/>
        <n v="93961"/>
        <n v="48556"/>
        <n v="60634"/>
        <n v="52034"/>
        <n v="42796"/>
        <n v="96675"/>
        <n v="89813"/>
        <n v="39758"/>
        <n v="19005"/>
        <n v="93270"/>
        <n v="64183"/>
        <n v="84336"/>
        <n v="16734"/>
        <n v="73492"/>
        <n v="96593"/>
        <n v="43845"/>
        <n v="14331"/>
        <n v="91210"/>
        <n v="49351"/>
        <n v="70031"/>
        <n v="97121"/>
        <n v="20606"/>
        <n v="6506"/>
        <n v="48797"/>
        <n v="99310"/>
        <n v="79033"/>
        <n v="11602"/>
        <n v="83442"/>
        <n v="8353"/>
        <n v="32480"/>
        <n v="80841"/>
        <n v="28464"/>
        <n v="86307"/>
        <n v="35714"/>
        <n v="53441"/>
        <n v="66581"/>
        <n v="83631"/>
        <n v="76969"/>
        <n v="33097"/>
        <n v="46524"/>
        <n v="72329"/>
        <n v="43588"/>
        <n v="41213"/>
        <n v="52853"/>
        <n v="72284"/>
        <n v="17435"/>
        <n v="17124"/>
        <n v="81228"/>
        <n v="83748"/>
        <n v="59257"/>
        <n v="39847"/>
        <n v="71917"/>
        <n v="64013"/>
        <n v="32835"/>
        <n v="82268"/>
        <n v="63559"/>
        <n v="48028"/>
        <n v="39199"/>
        <n v="76390"/>
        <n v="74475"/>
        <n v="22274"/>
        <n v="83867"/>
        <n v="91903"/>
        <n v="66602"/>
        <n v="53224"/>
        <n v="97865"/>
        <n v="21393"/>
        <n v="90126"/>
        <n v="30302"/>
        <n v="79048"/>
        <n v="22649"/>
        <n v="26018"/>
        <n v="37920"/>
        <n v="48985"/>
        <n v="14573"/>
        <n v="84081"/>
        <n v="73706"/>
        <n v="7545"/>
        <n v="10452"/>
        <n v="46392"/>
        <n v="13735"/>
        <n v="50984"/>
        <n v="72479"/>
        <n v="6659"/>
        <n v="91752"/>
        <n v="60081"/>
        <n v="36518"/>
        <n v="77287"/>
        <n v="85912"/>
        <n v="24282"/>
        <n v="88979"/>
        <n v="39424"/>
        <n v="62839"/>
        <n v="46681"/>
        <n v="77275"/>
        <n v="64707"/>
        <n v="7158"/>
        <n v="70135"/>
        <n v="95180"/>
        <n v="82167"/>
        <n v="94078"/>
        <n v="46844"/>
        <n v="11640"/>
        <n v="65471"/>
        <n v="93032"/>
        <n v="11070"/>
        <n v="92154"/>
        <n v="7183"/>
        <n v="74208"/>
        <n v="73401"/>
        <n v="13968"/>
        <n v="71146"/>
        <n v="13089"/>
        <n v="71301"/>
        <n v="64016"/>
        <n v="89382"/>
        <n v="97235"/>
        <n v="25273"/>
        <n v="28993"/>
        <n v="56614"/>
        <n v="59925"/>
        <n v="76033"/>
        <n v="85145"/>
        <n v="47501"/>
        <n v="53002"/>
        <n v="12445"/>
        <n v="20795"/>
        <n v="29474"/>
        <n v="95447"/>
        <n v="45072"/>
        <n v="83473"/>
        <n v="71982"/>
        <n v="92228"/>
        <n v="56792"/>
        <n v="57343"/>
        <n v="66956"/>
        <n v="81602"/>
        <n v="27091"/>
        <n v="11886"/>
        <n v="31530"/>
        <n v="57797"/>
        <n v="79675"/>
        <n v="53561"/>
        <n v="30391"/>
        <n v="24213"/>
        <n v="12620"/>
        <n v="25423"/>
        <n v="45962"/>
        <n v="6891"/>
        <n v="43869"/>
        <n v="84742"/>
        <n v="43858"/>
        <n v="18388"/>
        <n v="85995"/>
        <n v="53471"/>
        <n v="42313"/>
        <n v="28520"/>
        <n v="42123"/>
        <n v="11608"/>
        <n v="41782"/>
        <n v="15803"/>
        <n v="68989"/>
        <n v="27122"/>
        <n v="6863"/>
        <n v="30902"/>
        <n v="45943"/>
        <n v="8316"/>
        <n v="64477"/>
        <n v="84713"/>
        <n v="46644"/>
        <n v="85809"/>
        <n v="69807"/>
        <n v="85681"/>
        <n v="95465"/>
        <n v="28316"/>
        <n v="56503"/>
        <n v="87682"/>
        <n v="25050"/>
        <n v="83907"/>
        <n v="12371"/>
        <n v="19181"/>
        <n v="37714"/>
        <n v="88993"/>
        <n v="97354"/>
        <n v="73520"/>
        <n v="51013"/>
        <n v="86565"/>
        <n v="99045"/>
        <n v="54151"/>
        <n v="23896"/>
        <n v="46973"/>
        <n v="45579"/>
        <n v="46825"/>
        <n v="33507"/>
        <n v="25049"/>
        <n v="48214"/>
        <n v="9301"/>
        <n v="57578"/>
        <n v="81664"/>
        <n v="27437"/>
        <n v="58295"/>
        <n v="23916"/>
        <n v="59663"/>
        <n v="83787"/>
        <n v="63982"/>
        <n v="86164"/>
        <n v="90988"/>
        <n v="76502"/>
        <n v="92754"/>
        <n v="28107"/>
        <n v="87809"/>
        <n v="81635"/>
        <n v="18371"/>
        <n v="60615"/>
        <n v="15011"/>
        <n v="47871"/>
        <n v="16667"/>
        <n v="8591"/>
        <n v="71373"/>
        <n v="59480"/>
        <n v="98760"/>
        <n v="78717"/>
        <n v="80359"/>
        <n v="34634"/>
        <n v="25567"/>
        <n v="73811"/>
        <n v="27284"/>
        <n v="50328"/>
        <n v="81750"/>
        <n v="90229"/>
        <n v="42337"/>
        <n v="65813"/>
        <n v="44964"/>
        <n v="78051"/>
        <n v="65628"/>
        <n v="18964"/>
        <n v="50870"/>
        <n v="10514"/>
        <n v="66999"/>
        <n v="56994"/>
        <n v="36327"/>
        <n v="90605"/>
        <n v="63427"/>
        <n v="31327"/>
        <n v="8331"/>
        <n v="48557"/>
        <n v="82642"/>
        <n v="91316"/>
        <n v="80684"/>
        <n v="71450"/>
        <n v="32434"/>
        <n v="87443"/>
        <n v="67743"/>
        <n v="83379"/>
        <n v="42595"/>
        <n v="5446"/>
        <n v="41236"/>
        <n v="35161"/>
        <n v="82366"/>
        <n v="24667"/>
        <n v="50196"/>
        <n v="49676"/>
        <n v="77865"/>
        <n v="26173"/>
        <n v="68065"/>
        <n v="79027"/>
        <n v="17206"/>
        <n v="65963"/>
        <n v="34614"/>
        <n v="47255"/>
        <n v="15537"/>
        <n v="29568"/>
        <n v="93292"/>
        <n v="97569"/>
        <n v="32295"/>
        <n v="82906"/>
        <n v="46028"/>
        <n v="49556"/>
        <n v="59525"/>
        <n v="27761"/>
        <n v="85285"/>
        <n v="65833"/>
        <n v="58622"/>
        <n v="75284"/>
        <n v="93246"/>
        <n v="52658"/>
        <n v="75476"/>
        <n v="92837"/>
        <n v="70808"/>
        <n v="23442"/>
        <n v="90717"/>
        <n v="55432"/>
        <n v="87295"/>
        <n v="41937"/>
        <n v="46544"/>
        <n v="73514"/>
        <n v="63735"/>
        <n v="62651"/>
        <n v="64264"/>
        <n v="89685"/>
        <n v="30181"/>
        <n v="20644"/>
        <n v="93916"/>
        <n v="86495"/>
        <n v="11400"/>
        <n v="62305"/>
        <n v="81578"/>
        <n v="55012"/>
        <n v="39179"/>
        <n v="12489"/>
        <n v="71536"/>
        <n v="49719"/>
        <n v="29884"/>
        <n v="70244"/>
        <n v="37353"/>
        <n v="91156"/>
        <n v="79274"/>
        <n v="15416"/>
        <n v="62793"/>
        <n v="92566"/>
        <n v="51205"/>
        <n v="57039"/>
        <n v="93903"/>
        <n v="68196"/>
        <n v="84530"/>
        <n v="13283"/>
        <n v="53721"/>
        <n v="76353"/>
        <n v="54024"/>
        <n v="69653"/>
        <n v="40343"/>
        <n v="9799"/>
        <n v="13656"/>
        <n v="5360"/>
        <n v="93257"/>
        <n v="92370"/>
        <n v="8469"/>
        <n v="17415"/>
        <n v="71906"/>
        <n v="19881"/>
        <n v="36409"/>
        <n v="81434"/>
        <n v="97591"/>
        <n v="58884"/>
        <n v="90018"/>
        <n v="50276"/>
        <n v="73714"/>
        <n v="52690"/>
        <n v="17007"/>
        <n v="62075"/>
        <n v="81289"/>
        <n v="35875"/>
        <n v="9883"/>
        <n v="83013"/>
        <n v="37153"/>
        <n v="96889"/>
        <n v="15968"/>
        <n v="41210"/>
        <n v="76990"/>
        <n v="70231"/>
        <n v="39272"/>
        <n v="31399"/>
        <n v="69005"/>
        <n v="34226"/>
        <n v="13720"/>
        <n v="17207"/>
        <n v="58147"/>
        <n v="97646"/>
        <n v="22719"/>
        <n v="27477"/>
        <n v="71451"/>
        <n v="43975"/>
        <n v="52458"/>
        <n v="35215"/>
        <n v="86638"/>
        <n v="59612"/>
        <n v="47263"/>
        <n v="7320"/>
        <n v="92279"/>
        <n v="6897"/>
        <n v="97868"/>
        <n v="75936"/>
        <n v="84630"/>
        <n v="7729"/>
        <n v="46031"/>
        <n v="48731"/>
        <n v="12914"/>
        <n v="28404"/>
        <n v="94062"/>
        <n v="14418"/>
        <n v="93852"/>
        <n v="35437"/>
        <n v="64239"/>
        <n v="74910"/>
        <n v="51095"/>
        <n v="42654"/>
        <n v="80651"/>
        <n v="31944"/>
        <n v="69581"/>
        <n v="32032"/>
        <n v="39241"/>
        <n v="97240"/>
        <n v="22545"/>
        <n v="22698"/>
        <n v="78635"/>
        <n v="38116"/>
        <n v="37274"/>
        <n v="78764"/>
        <n v="18264"/>
        <n v="82383"/>
        <n v="52832"/>
        <n v="87294"/>
        <n v="76244"/>
        <n v="55029"/>
        <n v="32707"/>
        <n v="36777"/>
        <n v="45588"/>
        <n v="92395"/>
        <n v="82752"/>
        <n v="94893"/>
        <n v="41154"/>
        <n v="54695"/>
        <n v="73031"/>
        <n v="19170"/>
        <n v="39704"/>
        <n v="18127"/>
        <n v="30252"/>
        <n v="26902"/>
        <n v="75607"/>
        <n v="14344"/>
        <n v="48045"/>
        <n v="44905"/>
        <n v="82325"/>
        <n v="15740"/>
        <n v="99273"/>
        <n v="85886"/>
        <n v="24340"/>
        <n v="27419"/>
        <n v="43596"/>
        <n v="10482"/>
        <n v="84402"/>
        <n v="78261"/>
        <n v="62773"/>
        <n v="48388"/>
        <n v="38480"/>
        <n v="46633"/>
        <n v="11286"/>
        <n v="22210"/>
        <n v="92288"/>
        <n v="24195"/>
        <n v="79469"/>
        <n v="31925"/>
        <n v="59138"/>
        <n v="46981"/>
        <n v="74606"/>
        <n v="59380"/>
        <n v="53632"/>
        <n v="22395"/>
        <n v="16814"/>
        <n v="67173"/>
        <n v="84876"/>
        <n v="26079"/>
        <n v="32118"/>
        <n v="54119"/>
        <n v="96242"/>
        <n v="43459"/>
        <n v="23707"/>
        <n v="74889"/>
        <n v="96774"/>
        <n v="65079"/>
        <n v="83628"/>
        <n v="26261"/>
        <n v="10550"/>
        <n v="56314"/>
        <n v="25654"/>
        <n v="49298"/>
        <n v="27851"/>
        <n v="25832"/>
        <n v="40103"/>
        <n v="69158"/>
        <n v="87656"/>
        <n v="43087"/>
        <n v="36995"/>
        <n v="53333"/>
        <n v="25715"/>
        <n v="61842"/>
        <n v="81028"/>
        <n v="75338"/>
        <n v="66788"/>
        <n v="75683"/>
        <n v="86526"/>
        <n v="23190"/>
        <n v="56107"/>
        <n v="95224"/>
        <n v="94377"/>
        <n v="72620"/>
        <n v="97946"/>
        <n v="85615"/>
        <n v="82624"/>
        <n v="82110"/>
        <n v="91945"/>
        <n v="72666"/>
        <n v="18291"/>
        <n v="99077"/>
        <n v="67170"/>
        <n v="78747"/>
        <n v="46095"/>
        <n v="89461"/>
        <n v="99241"/>
        <n v="73142"/>
        <n v="51726"/>
        <n v="71340"/>
        <n v="86275"/>
        <n v="96937"/>
        <n v="36850"/>
        <n v="34026"/>
        <n v="20098"/>
        <n v="92140"/>
        <n v="91759"/>
        <n v="46341"/>
        <n v="52238"/>
        <n v="80442"/>
        <n v="78905"/>
        <n v="90415"/>
        <n v="54735"/>
        <n v="45476"/>
        <n v="5605"/>
        <n v="38240"/>
        <n v="17543"/>
        <n v="38202"/>
        <n v="38063"/>
        <n v="94716"/>
        <n v="80930"/>
        <n v="88355"/>
        <n v="48646"/>
        <n v="91896"/>
        <n v="64659"/>
        <n v="48065"/>
        <n v="26042"/>
        <n v="75139"/>
        <n v="7260"/>
        <n v="93700"/>
        <n v="86309"/>
        <n v="8292"/>
        <n v="11292"/>
        <n v="90260"/>
        <n v="28982"/>
        <n v="72717"/>
        <n v="31044"/>
        <n v="88330"/>
        <n v="97295"/>
        <n v="56222"/>
        <n v="50878"/>
        <n v="30484"/>
        <n v="24115"/>
        <n v="80259"/>
        <n v="5254"/>
        <n v="54039"/>
        <n v="84781"/>
        <n v="50769"/>
        <n v="40005"/>
        <n v="72519"/>
        <n v="95896"/>
        <n v="61613"/>
        <n v="76361"/>
        <n v="29944"/>
        <n v="18088"/>
        <n v="46841"/>
        <n v="84033"/>
        <n v="73564"/>
        <n v="89707"/>
        <n v="52285"/>
        <n v="48210"/>
        <n v="32982"/>
        <n v="95520"/>
        <n v="57461"/>
        <n v="77610"/>
        <n v="78448"/>
        <n v="72062"/>
        <n v="89118"/>
        <n v="27417"/>
        <n v="40020"/>
        <n v="54640"/>
        <n v="70213"/>
        <n v="77114"/>
        <n v="19142"/>
        <n v="75926"/>
        <n v="95885"/>
        <n v="36780"/>
        <n v="63935"/>
        <n v="6741"/>
        <n v="98804"/>
        <n v="18304"/>
        <n v="49656"/>
        <n v="65189"/>
        <n v="54959"/>
        <n v="61603"/>
        <n v="88871"/>
        <n v="86833"/>
        <n v="89746"/>
        <n v="80164"/>
        <n v="74059"/>
        <n v="67910"/>
        <n v="78083"/>
        <n v="96855"/>
        <n v="97944"/>
        <n v="48240"/>
        <n v="79171"/>
        <n v="47583"/>
        <n v="74165"/>
        <n v="26675"/>
        <n v="44476"/>
        <n v="47513"/>
        <n v="77384"/>
        <n v="22225"/>
        <n v="27093"/>
        <n v="38319"/>
        <n v="49368"/>
        <n v="34223"/>
        <n v="75735"/>
        <n v="12607"/>
        <n v="5423"/>
        <n v="67884"/>
        <n v="94859"/>
        <n v="9030"/>
        <n v="56520"/>
        <n v="52764"/>
        <n v="30075"/>
        <n v="31818"/>
        <n v="34169"/>
        <n v="34303"/>
        <n v="70094"/>
        <n v="21509"/>
        <n v="10696"/>
        <n v="65602"/>
        <n v="62153"/>
        <n v="37957"/>
        <n v="25780"/>
        <n v="22334"/>
        <n v="20415"/>
        <n v="74211"/>
        <n v="72965"/>
        <n v="26363"/>
        <n v="67039"/>
        <n v="38080"/>
        <n v="55184"/>
        <n v="59227"/>
        <n v="20506"/>
        <n v="83417"/>
        <n v="9964"/>
        <n v="93448"/>
        <n v="30779"/>
        <n v="58286"/>
        <n v="6533"/>
        <n v="16890"/>
        <n v="37378"/>
        <n v="60096"/>
        <n v="48474"/>
        <n v="73653"/>
        <n v="62520"/>
        <n v="53510"/>
        <n v="80568"/>
        <n v="46404"/>
        <n v="45255"/>
        <n v="20406"/>
        <n v="68328"/>
        <n v="11168"/>
        <n v="24600"/>
        <n v="84999"/>
        <n v="19185"/>
        <n v="26407"/>
        <n v="70521"/>
        <n v="5421"/>
        <n v="15738"/>
        <n v="58849"/>
        <n v="99505"/>
        <n v="41329"/>
        <n v="12335"/>
        <n v="51340"/>
        <n v="59230"/>
        <n v="33996"/>
        <n v="54597"/>
        <n v="87353"/>
        <n v="39962"/>
        <n v="71879"/>
        <n v="78228"/>
        <n v="13182"/>
        <n v="17489"/>
        <n v="29489"/>
        <n v="81967"/>
        <n v="66149"/>
        <n v="13902"/>
        <n v="55566"/>
        <n v="58880"/>
        <n v="44014"/>
        <n v="99186"/>
        <n v="78318"/>
        <n v="97692"/>
        <n v="17191"/>
        <n v="33689"/>
        <n v="86182"/>
        <n v="62530"/>
        <n v="36854"/>
        <n v="76093"/>
        <n v="69105"/>
        <n v="11023"/>
        <n v="92864"/>
        <n v="61430"/>
        <n v="56060"/>
        <n v="54257"/>
        <n v="90163"/>
        <n v="72605"/>
        <n v="80190"/>
        <n v="19761"/>
        <n v="53772"/>
        <n v="35863"/>
        <n v="52016"/>
        <n v="47936"/>
        <n v="91306"/>
        <n v="94967"/>
        <n v="97089"/>
        <n v="78749"/>
        <n v="65197"/>
        <n v="19194"/>
        <n v="20771"/>
        <n v="26533"/>
        <n v="85630"/>
        <n v="83080"/>
        <n v="68329"/>
        <n v="9624"/>
        <n v="54823"/>
        <n v="98838"/>
        <n v="65207"/>
        <n v="66472"/>
        <n v="20443"/>
        <n v="63171"/>
        <n v="48296"/>
        <n v="8761"/>
        <n v="80141"/>
        <n v="54692"/>
        <n v="70807"/>
        <n v="59795"/>
        <n v="93269"/>
        <n v="50237"/>
        <n v="63336"/>
        <n v="18422"/>
        <n v="54085"/>
        <n v="27618"/>
        <n v="6296"/>
        <n v="7218"/>
        <n v="89265"/>
        <n v="24086"/>
        <n v="6592"/>
        <n v="39973"/>
        <n v="84656"/>
        <n v="14263"/>
        <n v="59730"/>
        <n v="17568"/>
        <n v="16076"/>
        <n v="84834"/>
        <n v="10410"/>
        <n v="41470"/>
        <n v="66302"/>
        <n v="27158"/>
        <n v="89193"/>
        <n v="77284"/>
        <n v="16239"/>
        <n v="98681"/>
        <n v="81164"/>
        <n v="49847"/>
        <n v="21821"/>
        <n v="96270"/>
        <n v="6918"/>
        <n v="69943"/>
        <n v="51982"/>
        <n v="32792"/>
        <n v="62536"/>
        <n v="55021"/>
        <n v="72124"/>
        <n v="87561"/>
        <n v="95962"/>
        <n v="39152"/>
        <n v="38396"/>
        <n v="46186"/>
        <n v="36398"/>
        <n v="48015"/>
        <n v="11434"/>
        <n v="93540"/>
        <n v="47316"/>
        <n v="96489"/>
        <n v="10377"/>
        <n v="28086"/>
        <n v="47861"/>
        <n v="16852"/>
        <n v="92075"/>
        <n v="81783"/>
        <n v="20295"/>
        <n v="99599"/>
        <n v="20351"/>
        <n v="13365"/>
        <n v="36909"/>
        <n v="59329"/>
        <n v="91091"/>
        <n v="71660"/>
        <n v="95048"/>
        <n v="94313"/>
        <n v="59773"/>
        <n v="20386"/>
        <n v="68954"/>
        <n v="12075"/>
        <n v="73252"/>
        <n v="77060"/>
        <n v="64376"/>
        <n v="65816"/>
        <n v="57490"/>
        <n v="48796"/>
        <n v="33758"/>
        <n v="33119"/>
        <n v="75229"/>
        <n v="84635"/>
        <n v="54667"/>
        <n v="9126"/>
        <n v="69874"/>
        <n v="70075"/>
        <n v="20175"/>
        <n v="70141"/>
        <n v="75754"/>
        <n v="6256"/>
        <n v="73782"/>
        <n v="43726"/>
        <n v="70426"/>
        <n v="69066"/>
        <n v="36417"/>
        <n v="23073"/>
        <n v="17910"/>
        <n v="46839"/>
        <n v="69595"/>
        <n v="30992"/>
        <n v="57427"/>
        <n v="68841"/>
        <n v="46949"/>
        <n v="42711"/>
        <n v="17602"/>
        <n v="39184"/>
        <n v="16744"/>
        <n v="51261"/>
        <n v="83555"/>
        <n v="30385"/>
        <n v="22831"/>
        <n v="16273"/>
        <n v="9231"/>
        <n v="90240"/>
        <n v="69808"/>
        <n v="83772"/>
        <n v="89176"/>
        <n v="36757"/>
        <n v="13488"/>
        <n v="80168"/>
        <n v="57907"/>
        <n v="37567"/>
        <n v="79986"/>
        <n v="32838"/>
        <n v="26963"/>
        <n v="70108"/>
        <n v="69621"/>
        <n v="87821"/>
        <n v="12919"/>
        <n v="63103"/>
        <n v="77696"/>
        <n v="68162"/>
        <n v="77787"/>
        <n v="18155"/>
        <n v="50323"/>
        <n v="58688"/>
        <n v="71586"/>
        <n v="11719"/>
        <n v="59740"/>
        <n v="94505"/>
        <n v="35293"/>
        <n v="14365"/>
        <n v="61359"/>
        <n v="19745"/>
        <n v="14706"/>
        <n v="9592"/>
        <n v="63539"/>
        <n v="42067"/>
        <n v="41478"/>
        <n v="73219"/>
        <n v="62791"/>
        <n v="84452"/>
        <n v="69411"/>
        <n v="34318"/>
        <n v="83247"/>
        <n v="86658"/>
        <n v="89840"/>
        <n v="25490"/>
        <n v="79466"/>
        <n v="34825"/>
        <n v="16366"/>
        <n v="23837"/>
        <n v="93884"/>
        <n v="36367"/>
        <n v="42415"/>
        <n v="87549"/>
        <n v="20260"/>
        <n v="14705"/>
        <n v="73208"/>
        <n v="15819"/>
        <n v="78357"/>
        <n v="24111"/>
        <n v="73346"/>
        <n v="51242"/>
        <n v="53502"/>
        <n v="11858"/>
        <n v="82723"/>
        <n v="56263"/>
        <n v="76924"/>
        <n v="75565"/>
        <n v="27165"/>
        <n v="82660"/>
        <n v="14350"/>
        <n v="74870"/>
        <n v="43331"/>
        <n v="55339"/>
        <n v="77302"/>
        <n v="68331"/>
        <n v="99651"/>
        <n v="41439"/>
        <n v="65127"/>
        <n v="97090"/>
        <n v="46254"/>
        <n v="79396"/>
        <n v="95141"/>
        <n v="56272"/>
        <n v="59705"/>
        <n v="88134"/>
        <n v="41885"/>
        <n v="25631"/>
        <n v="57349"/>
        <n v="27102"/>
        <n v="25099"/>
        <n v="80288"/>
        <n v="78612"/>
        <n v="14018"/>
        <n v="69793"/>
        <n v="47645"/>
        <n v="15830"/>
        <n v="70269"/>
        <n v="94775"/>
        <n v="16472"/>
        <n v="15679"/>
        <n v="99506"/>
        <n v="22302"/>
        <n v="53110"/>
        <n v="64268"/>
        <n v="90826"/>
        <n v="43148"/>
        <n v="83985"/>
        <n v="74276"/>
        <n v="73992"/>
        <n v="40402"/>
        <n v="22035"/>
        <n v="86830"/>
        <n v="31002"/>
        <n v="37712"/>
        <n v="16501"/>
        <n v="38101"/>
        <n v="6306"/>
        <n v="28847"/>
        <n v="38128"/>
        <n v="16359"/>
        <n v="80102"/>
        <n v="54757"/>
        <n v="35993"/>
        <n v="70189"/>
        <n v="57206"/>
        <n v="89209"/>
        <n v="60687"/>
        <n v="77582"/>
        <n v="91612"/>
        <n v="69196"/>
        <n v="32002"/>
        <n v="77356"/>
        <n v="56258"/>
        <n v="80378"/>
        <n v="93660"/>
        <n v="27842"/>
        <n v="90108"/>
        <n v="32076"/>
        <n v="21221"/>
        <n v="38981"/>
        <n v="73699"/>
        <n v="48072"/>
        <n v="62157"/>
        <n v="51531"/>
        <n v="24126"/>
        <n v="87985"/>
        <n v="48004"/>
        <n v="20192"/>
        <n v="47864"/>
        <n v="79871"/>
        <n v="29372"/>
        <n v="88334"/>
        <n v="42727"/>
        <n v="59595"/>
        <n v="18846"/>
        <n v="59415"/>
        <n v="6125"/>
        <n v="61932"/>
        <n v="43776"/>
        <n v="75013"/>
        <n v="61497"/>
        <n v="50527"/>
        <n v="93748"/>
        <n v="34413"/>
        <n v="91807"/>
        <n v="18580"/>
        <n v="91946"/>
        <n v="21613"/>
        <n v="27318"/>
        <n v="73894"/>
        <n v="6393"/>
        <n v="12466"/>
        <n v="47138"/>
        <n v="81886"/>
        <n v="79031"/>
        <n v="76371"/>
        <n v="80967"/>
        <n v="41110"/>
        <n v="76255"/>
        <n v="33599"/>
        <n v="44738"/>
        <n v="26148"/>
        <n v="15417"/>
        <n v="69400"/>
        <n v="98713"/>
        <n v="69427"/>
        <n v="78020"/>
        <n v="32575"/>
        <n v="47572"/>
        <n v="67588"/>
        <n v="22417"/>
        <n v="73386"/>
        <n v="92671"/>
        <n v="81104"/>
        <n v="72874"/>
        <n v="13702"/>
        <n v="15119"/>
        <n v="30190"/>
        <n v="86563"/>
        <n v="37210"/>
        <n v="12321"/>
        <n v="22352"/>
        <n v="86587"/>
        <n v="46875"/>
        <n v="43664"/>
        <n v="40687"/>
        <n v="62471"/>
        <n v="44728"/>
        <n v="16474"/>
        <n v="40483"/>
        <n v="37822"/>
        <n v="91113"/>
        <n v="35817"/>
        <n v="43594"/>
        <n v="76329"/>
        <n v="93749"/>
        <n v="36010"/>
        <n v="51762"/>
        <n v="25239"/>
        <n v="67832"/>
        <n v="10861"/>
        <n v="89103"/>
        <n v="49206"/>
        <n v="9095"/>
        <n v="26224"/>
        <n v="46274"/>
        <n v="20226"/>
        <n v="22258"/>
        <n v="62681"/>
        <n v="39804"/>
        <n v="81853"/>
        <n v="25659"/>
        <n v="19589"/>
        <n v="23321"/>
        <n v="56678"/>
        <n v="53921"/>
        <n v="5656"/>
        <n v="94747"/>
        <n v="44824"/>
        <n v="72079"/>
        <n v="28598"/>
        <n v="45729"/>
        <n v="11245"/>
        <n v="23744"/>
        <n v="19629"/>
        <n v="33538"/>
        <n v="89188"/>
        <n v="9358"/>
        <n v="11962"/>
        <n v="90757"/>
        <n v="95601"/>
        <n v="61553"/>
        <n v="74776"/>
        <n v="51559"/>
        <n v="50829"/>
        <n v="87899"/>
        <n v="77500"/>
        <n v="67389"/>
        <n v="67373"/>
        <n v="25351"/>
        <n v="43033"/>
        <n v="36114"/>
        <n v="55466"/>
        <n v="12617"/>
        <n v="41634"/>
        <n v="79723"/>
        <n v="98603"/>
        <n v="86070"/>
        <n v="64800"/>
        <n v="57934"/>
        <n v="65035"/>
        <n v="68742"/>
        <n v="54998"/>
        <n v="6565"/>
        <n v="12315"/>
        <n v="16994"/>
        <n v="43696"/>
        <n v="14691"/>
        <n v="34817"/>
        <n v="64507"/>
        <n v="16260"/>
        <n v="63386"/>
        <n v="54777"/>
        <n v="83425"/>
        <n v="7518"/>
        <n v="53954"/>
        <n v="76563"/>
        <n v="74381"/>
        <n v="43141"/>
        <n v="78040"/>
        <n v="53260"/>
        <n v="59439"/>
        <n v="16897"/>
        <n v="80548"/>
        <n v="17533"/>
        <n v="44555"/>
        <n v="9297"/>
        <n v="18103"/>
        <n v="28200"/>
        <n v="85773"/>
        <n v="73228"/>
        <n v="33270"/>
        <n v="13053"/>
        <n v="9875"/>
        <n v="34857"/>
        <n v="11275"/>
        <n v="97541"/>
        <n v="41822"/>
        <n v="55064"/>
        <n v="5338"/>
        <n v="53165"/>
        <n v="32544"/>
        <n v="86762"/>
        <n v="93343"/>
        <n v="64365"/>
        <n v="31078"/>
        <n v="25529"/>
        <n v="91894"/>
        <n v="42710"/>
        <n v="6590"/>
        <n v="26309"/>
        <n v="99123"/>
        <n v="41905"/>
        <n v="67970"/>
        <n v="35995"/>
        <n v="97155"/>
        <n v="67862"/>
        <n v="85853"/>
        <n v="17455"/>
        <n v="78863"/>
        <n v="94549"/>
        <n v="23539"/>
        <n v="30285"/>
        <n v="83031"/>
        <n v="8075"/>
        <n v="65731"/>
        <n v="70877"/>
        <n v="52303"/>
        <n v="82636"/>
        <n v="67115"/>
        <n v="73123"/>
        <n v="71022"/>
        <n v="45055"/>
        <n v="24908"/>
        <n v="36001"/>
        <n v="23871"/>
        <n v="82394"/>
        <n v="89688"/>
        <n v="15885"/>
        <n v="11669"/>
        <n v="77908"/>
        <n v="88987"/>
        <n v="10450"/>
        <n v="14562"/>
        <n v="79798"/>
        <n v="98776"/>
        <n v="48409"/>
        <n v="40762"/>
        <n v="14787"/>
        <n v="46264"/>
        <n v="45535"/>
        <n v="36239"/>
        <n v="26686"/>
        <n v="14933"/>
        <n v="55505"/>
        <n v="90483"/>
        <n v="87100"/>
        <n v="13509"/>
        <n v="26033"/>
        <n v="42783"/>
        <n v="12180"/>
        <n v="77480"/>
        <n v="6162"/>
        <n v="29782"/>
        <n v="51767"/>
        <n v="67932"/>
        <n v="34677"/>
        <n v="97969"/>
        <n v="16925"/>
        <n v="52324"/>
        <n v="47787"/>
        <n v="59430"/>
        <n v="97735"/>
        <n v="97487"/>
        <n v="47989"/>
        <n v="63714"/>
        <n v="13925"/>
        <n v="38182"/>
        <n v="22962"/>
        <n v="40902"/>
        <n v="89505"/>
        <n v="78541"/>
        <n v="7697"/>
        <n v="21675"/>
        <n v="24319"/>
        <n v="59751"/>
        <n v="65669"/>
        <n v="65905"/>
        <n v="22110"/>
        <n v="11857"/>
        <n v="82496"/>
        <n v="13482"/>
        <n v="95078"/>
        <n v="97764"/>
        <n v="76848"/>
        <n v="95598"/>
        <n v="71741"/>
        <n v="48284"/>
        <n v="94179"/>
        <n v="45406"/>
        <n v="36372"/>
        <n v="17629"/>
        <n v="87735"/>
        <n v="65041"/>
        <n v="77185"/>
        <n v="81835"/>
        <n v="14901"/>
        <n v="66135"/>
        <n v="66763"/>
        <n v="25243"/>
        <n v="71611"/>
        <n v="58274"/>
        <n v="81777"/>
        <n v="52432"/>
        <n v="98034"/>
        <n v="6028"/>
        <n v="65658"/>
        <n v="35247"/>
        <n v="86687"/>
        <n v="45628"/>
        <n v="29746"/>
        <n v="51227"/>
        <n v="27338"/>
        <n v="61894"/>
        <n v="69691"/>
        <n v="93572"/>
        <n v="77745"/>
        <n v="16314"/>
        <n v="66609"/>
        <n v="22151"/>
        <n v="52380"/>
        <n v="11322"/>
        <n v="81435"/>
        <n v="78973"/>
        <n v="12916"/>
        <n v="8706"/>
        <n v="60298"/>
        <n v="18394"/>
        <n v="98899"/>
        <n v="21175"/>
        <n v="94869"/>
        <n v="13836"/>
        <n v="74265"/>
        <n v="43122"/>
        <n v="99198"/>
        <n v="67747"/>
        <n v="91549"/>
        <n v="11510"/>
        <n v="30120"/>
        <n v="99388"/>
        <n v="80395"/>
        <n v="7965"/>
        <n v="19155"/>
        <n v="85262"/>
        <n v="84871"/>
        <n v="78084"/>
        <n v="8343"/>
        <n v="41577"/>
        <n v="46228"/>
        <n v="26819"/>
        <n v="77129"/>
        <n v="36935"/>
        <n v="70266"/>
        <n v="85527"/>
        <n v="31242"/>
        <n v="58212"/>
        <n v="52103"/>
        <n v="63352"/>
        <n v="26447"/>
        <n v="79236"/>
        <n v="35726"/>
        <n v="13345"/>
        <n v="80377"/>
        <n v="69597"/>
        <n v="58152"/>
        <n v="35121"/>
        <n v="9109"/>
        <n v="36109"/>
        <n v="51790"/>
        <n v="51825"/>
        <n v="17907"/>
        <n v="44077"/>
        <n v="88830"/>
        <n v="70311"/>
        <n v="99577"/>
        <n v="37070"/>
        <n v="26850"/>
        <n v="69208"/>
        <n v="11220"/>
        <n v="22844"/>
        <n v="92575"/>
        <n v="77665"/>
        <n v="24952"/>
        <n v="15750"/>
        <n v="84883"/>
        <n v="90068"/>
        <n v="67130"/>
        <n v="28915"/>
        <n v="40846"/>
        <n v="84874"/>
        <n v="15008"/>
        <n v="18054"/>
        <n v="31062"/>
        <n v="62698"/>
        <n v="24633"/>
        <n v="91003"/>
        <n v="65707"/>
        <n v="18218"/>
        <n v="16136"/>
        <n v="71534"/>
        <n v="58719"/>
        <n v="85444"/>
        <n v="17746"/>
        <n v="80573"/>
        <n v="42735"/>
        <n v="28770"/>
        <n v="44092"/>
        <n v="73474"/>
        <n v="17998"/>
        <n v="37923"/>
        <n v="45756"/>
        <n v="60592"/>
        <n v="52481"/>
        <n v="32761"/>
        <n v="92342"/>
        <n v="8719"/>
        <n v="94170"/>
        <n v="89196"/>
        <n v="57021"/>
        <n v="76712"/>
        <n v="54387"/>
        <n v="64586"/>
        <n v="65267"/>
        <n v="63662"/>
        <n v="83308"/>
        <n v="80486"/>
        <n v="5137"/>
        <n v="48880"/>
        <n v="17394"/>
        <n v="42811"/>
        <n v="62547"/>
        <n v="40073"/>
        <n v="25688"/>
        <n v="72001"/>
        <n v="13109"/>
        <n v="72230"/>
        <n v="20694"/>
        <n v="70950"/>
        <n v="84966"/>
        <n v="80886"/>
        <n v="80282"/>
        <n v="52087"/>
        <n v="79694"/>
        <n v="87167"/>
        <n v="98374"/>
        <n v="36886"/>
        <n v="40625"/>
        <n v="45592"/>
        <n v="77943"/>
        <n v="81988"/>
        <n v="85320"/>
        <n v="36490"/>
        <n v="39868"/>
        <n v="76513"/>
        <n v="46623"/>
        <n v="75639"/>
        <n v="74252"/>
        <n v="95273"/>
        <n v="6500"/>
        <n v="71837"/>
        <n v="98322"/>
        <n v="77895"/>
        <n v="60023"/>
        <n v="75634"/>
        <n v="85547"/>
        <n v="92132"/>
        <n v="95486"/>
        <n v="29550"/>
        <n v="75362"/>
        <n v="79385"/>
        <n v="41871"/>
        <n v="50931"/>
        <n v="52973"/>
        <n v="40932"/>
        <n v="51632"/>
        <n v="96462"/>
        <n v="34887"/>
        <n v="98216"/>
        <n v="14696"/>
        <n v="28811"/>
        <n v="75585"/>
        <n v="15694"/>
        <n v="96631"/>
        <n v="72249"/>
        <n v="22230"/>
        <n v="43298"/>
        <n v="69509"/>
        <n v="74954"/>
        <n v="46255"/>
        <n v="31244"/>
        <n v="6311"/>
        <n v="96712"/>
        <n v="97122"/>
        <n v="77681"/>
        <n v="72696"/>
        <n v="45026"/>
        <n v="69224"/>
        <n v="50685"/>
        <n v="25841"/>
        <n v="66863"/>
        <n v="76755"/>
        <n v="19056"/>
        <n v="46513"/>
        <n v="72208"/>
        <n v="50207"/>
        <n v="79837"/>
        <n v="26785"/>
        <n v="97548"/>
        <n v="52310"/>
        <n v="12951"/>
        <n v="95969"/>
        <n v="35459"/>
        <n v="98881"/>
        <n v="59427"/>
        <n v="10499"/>
        <n v="14423"/>
        <n v="86467"/>
        <n v="43114"/>
        <n v="91122"/>
        <n v="5939"/>
        <n v="77869"/>
        <n v="74307"/>
        <n v="25516"/>
        <n v="51007"/>
        <n v="52409"/>
        <n v="60091"/>
        <n v="44891"/>
        <n v="18544"/>
        <n v="23022"/>
        <n v="15400"/>
        <n v="61343"/>
        <n v="32749"/>
        <n v="97798"/>
        <n v="18495"/>
        <n v="90678"/>
        <n v="52025"/>
        <n v="14799"/>
        <n v="32418"/>
        <n v="70147"/>
        <n v="35489"/>
        <n v="43836"/>
        <n v="23565"/>
        <n v="46617"/>
        <n v="17857"/>
        <n v="85056"/>
        <n v="12415"/>
        <n v="70363"/>
        <n v="9768"/>
        <n v="36635"/>
        <n v="26575"/>
        <n v="98633"/>
        <n v="67472"/>
        <n v="25438"/>
        <n v="98573"/>
        <n v="28265"/>
        <n v="26114"/>
        <n v="39301"/>
        <n v="36521"/>
        <n v="39555"/>
        <n v="92953"/>
        <n v="34845"/>
        <n v="68622"/>
        <n v="54552"/>
        <n v="51120"/>
        <n v="78799"/>
        <n v="93828"/>
        <n v="18382"/>
        <n v="74916"/>
        <n v="20291"/>
        <n v="57867"/>
        <n v="83023"/>
        <n v="41988"/>
        <n v="32668"/>
        <n v="95752"/>
        <n v="78575"/>
        <n v="30801"/>
        <n v="96271"/>
        <n v="54465"/>
        <n v="77720"/>
        <n v="77514"/>
        <n v="8718"/>
        <n v="72409"/>
        <n v="63687"/>
        <n v="14377"/>
        <n v="92259"/>
        <n v="53553"/>
        <n v="90964"/>
        <n v="55774"/>
        <n v="82291"/>
        <n v="98293"/>
        <n v="74966"/>
        <n v="20649"/>
        <n v="46781"/>
        <n v="13710"/>
        <n v="92910"/>
        <n v="45621"/>
        <n v="12340"/>
        <n v="8080"/>
        <n v="77820"/>
        <n v="27427"/>
        <n v="41716"/>
        <n v="90896"/>
        <n v="85352"/>
        <n v="34998"/>
        <n v="65272"/>
        <n v="8267"/>
        <n v="17180"/>
        <n v="31788"/>
        <n v="28189"/>
        <n v="41427"/>
        <n v="31565"/>
        <n v="45781"/>
        <n v="66019"/>
        <n v="92292"/>
        <n v="97653"/>
        <n v="53419"/>
        <n v="37670"/>
        <n v="33215"/>
        <n v="97417"/>
        <n v="99399"/>
        <n v="28041"/>
        <n v="73211"/>
        <n v="22650"/>
        <n v="55023"/>
        <n v="38567"/>
        <n v="90961"/>
        <n v="86785"/>
        <n v="57276"/>
        <n v="47655"/>
        <n v="34185"/>
        <n v="22693"/>
        <n v="33465"/>
        <n v="96334"/>
        <n v="83752"/>
        <n v="19913"/>
        <n v="12811"/>
        <n v="72401"/>
        <n v="95161"/>
        <n v="42138"/>
        <n v="73634"/>
        <n v="40592"/>
        <n v="91201"/>
        <n v="5847"/>
        <n v="99312"/>
        <n v="97357"/>
        <n v="23980"/>
        <n v="10710"/>
        <n v="5253"/>
        <n v="83548"/>
        <n v="77583"/>
        <n v="9330"/>
        <n v="80216"/>
        <n v="15867"/>
        <n v="32533"/>
        <n v="99693"/>
        <n v="66527"/>
        <n v="53968"/>
        <n v="88069"/>
        <n v="46892"/>
        <n v="29393"/>
        <n v="79732"/>
        <n v="51020"/>
        <n v="5457"/>
        <n v="22456"/>
        <n v="53027"/>
        <n v="60642"/>
        <n v="48295"/>
        <n v="55618"/>
        <n v="45710"/>
        <n v="18711"/>
        <n v="48129"/>
        <n v="70418"/>
        <n v="93148"/>
        <n v="63832"/>
        <n v="11781"/>
        <n v="78967"/>
        <n v="35892"/>
        <n v="55132"/>
        <n v="17254"/>
        <n v="45717"/>
        <n v="85096"/>
        <n v="66780"/>
        <n v="35812"/>
        <n v="55421"/>
        <n v="48433"/>
        <n v="93129"/>
        <n v="69116"/>
        <n v="82673"/>
        <n v="28997"/>
        <n v="80440"/>
        <n v="41476"/>
        <n v="62935"/>
        <n v="16243"/>
        <n v="5587"/>
        <n v="81220"/>
        <n v="41109"/>
        <n v="15509"/>
        <n v="33167"/>
        <n v="94149"/>
        <n v="66207"/>
        <n v="18923"/>
        <n v="52980"/>
        <n v="61465"/>
        <n v="64952"/>
        <n v="99709"/>
        <n v="62963"/>
        <n v="53692"/>
        <n v="15242"/>
        <n v="28437"/>
        <n v="61164"/>
        <n v="11691"/>
        <n v="5210"/>
        <n v="30227"/>
        <n v="58077"/>
        <n v="64733"/>
        <n v="43200"/>
        <n v="84464"/>
        <n v="44155"/>
        <n v="18219"/>
        <n v="17024"/>
        <n v="87892"/>
        <n v="14757"/>
        <n v="35276"/>
        <n v="77591"/>
        <n v="75655"/>
        <n v="8754"/>
        <n v="62266"/>
        <n v="38084"/>
        <n v="12915"/>
        <n v="29106"/>
        <n v="45338"/>
        <n v="39540"/>
        <n v="93751"/>
        <n v="33111"/>
        <n v="94345"/>
        <n v="80414"/>
        <n v="85316"/>
        <n v="65446"/>
        <n v="98460"/>
        <n v="58973"/>
        <n v="29839"/>
        <n v="17679"/>
        <n v="24710"/>
        <n v="24112"/>
        <n v="63543"/>
        <n v="44696"/>
        <n v="55384"/>
        <n v="42111"/>
        <n v="93231"/>
        <n v="19634"/>
        <n v="73218"/>
        <n v="14013"/>
        <n v="88022"/>
        <n v="91750"/>
        <n v="97449"/>
        <n v="99212"/>
        <n v="96574"/>
        <n v="88313"/>
        <n v="42805"/>
        <n v="28672"/>
        <n v="48048"/>
        <n v="12960"/>
        <n v="79012"/>
        <n v="15932"/>
        <n v="20429"/>
        <n v="21935"/>
        <n v="89902"/>
        <n v="88489"/>
        <n v="18082"/>
        <n v="16170"/>
        <n v="75384"/>
        <n v="81179"/>
        <n v="30983"/>
        <n v="86043"/>
        <n v="19802"/>
        <n v="72805"/>
        <n v="77067"/>
        <n v="75726"/>
        <n v="29733"/>
        <n v="44828"/>
        <n v="60918"/>
        <n v="95535"/>
        <n v="40409"/>
        <n v="21868"/>
        <n v="67826"/>
        <n v="96126"/>
        <n v="9089"/>
        <n v="9703"/>
        <n v="68025"/>
        <n v="91788"/>
        <n v="79649"/>
        <n v="18633"/>
        <n v="58700"/>
        <n v="32700"/>
        <n v="48081"/>
        <n v="86394"/>
        <n v="98960"/>
        <n v="34370"/>
        <n v="77471"/>
        <n v="29581"/>
        <n v="43110"/>
        <n v="21051"/>
        <n v="47105"/>
        <n v="17032"/>
        <n v="40308"/>
        <n v="64791"/>
        <n v="39202"/>
        <n v="60789"/>
        <n v="18173"/>
        <n v="22769"/>
        <n v="39070"/>
        <n v="30987"/>
        <n v="50774"/>
        <n v="39425"/>
        <n v="66688"/>
        <n v="79857"/>
        <n v="74817"/>
        <n v="49650"/>
        <n v="46587"/>
        <n v="84525"/>
        <n v="56402"/>
        <n v="56689"/>
        <n v="26805"/>
        <n v="23630"/>
        <n v="42095"/>
        <n v="46815"/>
        <n v="74651"/>
        <n v="74544"/>
        <n v="27309"/>
        <n v="75828"/>
        <n v="43974"/>
        <n v="77748"/>
        <n v="60845"/>
        <n v="89519"/>
        <n v="77286"/>
        <n v="67470"/>
        <n v="54698"/>
        <n v="59490"/>
        <n v="38020"/>
        <n v="60566"/>
        <n v="84306"/>
        <n v="56437"/>
        <n v="33729"/>
        <n v="72432"/>
        <n v="38538"/>
        <n v="37173"/>
        <n v="90447"/>
        <n v="18729"/>
        <n v="18102"/>
        <n v="82445"/>
        <n v="6452"/>
        <n v="15099"/>
        <n v="56672"/>
        <n v="99726"/>
        <n v="43393"/>
        <n v="54835"/>
        <n v="50020"/>
        <n v="43287"/>
        <n v="92773"/>
        <n v="82310"/>
        <n v="44011"/>
        <n v="93879"/>
        <n v="56469"/>
        <n v="90832"/>
        <n v="34548"/>
        <n v="27778"/>
        <n v="64079"/>
        <n v="54394"/>
        <n v="19884"/>
        <n v="77633"/>
        <n v="50241"/>
        <n v="20976"/>
        <n v="38081"/>
        <n v="10441"/>
        <n v="62005"/>
        <n v="54672"/>
        <n v="89807"/>
        <n v="75561"/>
        <n v="97776"/>
        <n v="49167"/>
        <n v="38377"/>
        <n v="9140"/>
        <n v="89039"/>
        <n v="28848"/>
        <n v="77751"/>
        <n v="46590"/>
        <n v="66430"/>
        <n v="56454"/>
        <n v="19585"/>
        <n v="99069"/>
        <n v="26057"/>
        <n v="66423"/>
        <n v="46466"/>
        <n v="72962"/>
        <n v="36598"/>
        <n v="54180"/>
        <n v="25376"/>
        <n v="58017"/>
        <n v="52887"/>
        <n v="80686"/>
        <n v="80032"/>
        <n v="42222"/>
        <n v="14409"/>
        <n v="98164"/>
        <n v="94984"/>
        <n v="41410"/>
        <n v="93258"/>
        <n v="91886"/>
        <n v="24516"/>
        <n v="87361"/>
        <n v="26068"/>
        <n v="37790"/>
        <n v="33487"/>
        <n v="10125"/>
        <n v="45379"/>
        <n v="50053"/>
        <n v="46866"/>
        <n v="70608"/>
        <n v="6791"/>
        <n v="61970"/>
        <n v="70173"/>
        <n v="88337"/>
        <n v="62296"/>
        <n v="58679"/>
        <n v="41091"/>
        <n v="18276"/>
        <n v="60103"/>
        <n v="5195"/>
        <n v="38333"/>
        <n v="33440"/>
        <n v="25527"/>
        <n v="44882"/>
        <n v="59177"/>
        <n v="85225"/>
        <n v="55698"/>
        <n v="39335"/>
        <n v="54490"/>
        <n v="61942"/>
        <n v="71094"/>
        <n v="41783"/>
        <n v="41947"/>
        <n v="66417"/>
        <n v="61596"/>
        <n v="13775"/>
        <n v="34980"/>
        <n v="26498"/>
        <n v="31112"/>
        <n v="40710"/>
        <n v="96657"/>
        <n v="22930"/>
        <n v="52223"/>
        <n v="84157"/>
        <n v="44248"/>
        <n v="53805"/>
        <n v="30999"/>
        <n v="8103"/>
        <n v="97341"/>
        <n v="82095"/>
        <n v="43694"/>
        <n v="59987"/>
        <n v="43483"/>
        <n v="89075"/>
        <n v="13439"/>
        <n v="17463"/>
        <n v="35393"/>
        <n v="64500"/>
        <n v="83414"/>
        <n v="9985"/>
        <n v="83679"/>
        <n v="72667"/>
        <n v="9965"/>
        <n v="75293"/>
        <n v="83443"/>
        <n v="17408"/>
        <n v="51847"/>
        <n v="76292"/>
        <n v="50712"/>
        <n v="45754"/>
        <n v="77977"/>
        <n v="96965"/>
        <n v="74891"/>
        <n v="90505"/>
        <n v="57695"/>
        <n v="39249"/>
        <n v="23934"/>
        <n v="20174"/>
        <n v="41667"/>
        <n v="61447"/>
        <n v="19769"/>
        <n v="42070"/>
        <n v="59907"/>
        <n v="19339"/>
        <n v="66424"/>
        <n v="17935"/>
        <n v="81757"/>
        <n v="68963"/>
        <n v="85644"/>
        <n v="52199"/>
        <n v="37041"/>
        <n v="51271"/>
        <n v="76538"/>
        <n v="32342"/>
        <n v="22141"/>
        <n v="12457"/>
        <n v="23096"/>
        <n v="73872"/>
        <n v="48938"/>
        <n v="53168"/>
        <n v="28043"/>
        <n v="35322"/>
        <n v="39842"/>
        <n v="76248"/>
        <n v="75827"/>
        <n v="72621"/>
        <n v="89981"/>
        <n v="76656"/>
        <n v="83726"/>
        <n v="61685"/>
        <n v="58743"/>
        <n v="57406"/>
        <n v="27791"/>
        <n v="35676"/>
        <n v="20268"/>
        <n v="11751"/>
        <n v="88052"/>
        <n v="77571"/>
        <n v="87283"/>
        <n v="81078"/>
        <n v="32898"/>
        <n v="82783"/>
        <n v="15470"/>
        <n v="20863"/>
        <n v="12928"/>
        <n v="47172"/>
        <n v="92120"/>
        <n v="98064"/>
        <n v="42841"/>
        <n v="59744"/>
        <n v="20886"/>
        <n v="88662"/>
        <n v="68136"/>
        <n v="8958"/>
        <n v="56405"/>
        <n v="56266"/>
        <n v="10427"/>
        <n v="79941"/>
        <n v="65159"/>
        <n v="48257"/>
        <n v="42032"/>
        <n v="90016"/>
        <n v="96954"/>
        <n v="26045"/>
        <n v="40093"/>
        <n v="64515"/>
        <n v="26471"/>
        <n v="21284"/>
        <n v="6638"/>
        <n v="74753"/>
        <n v="69829"/>
        <n v="92050"/>
        <n v="69285"/>
        <n v="92648"/>
        <n v="53698"/>
        <n v="84441"/>
        <n v="36423"/>
        <n v="93364"/>
        <n v="55832"/>
        <n v="9736"/>
        <n v="98263"/>
        <n v="17386"/>
        <n v="35150"/>
        <n v="42171"/>
        <n v="60882"/>
        <n v="25589"/>
        <n v="23421"/>
        <n v="21918"/>
        <n v="28484"/>
        <n v="92286"/>
        <n v="17494"/>
        <n v="10068"/>
        <n v="30896"/>
        <n v="50533"/>
        <n v="95541"/>
        <n v="89217"/>
        <n v="17286"/>
        <n v="96704"/>
        <n v="39026"/>
        <n v="97622"/>
        <n v="20478"/>
        <n v="44688"/>
        <n v="26765"/>
        <n v="33201"/>
        <n v="48986"/>
        <n v="52299"/>
        <n v="77786"/>
        <n v="28470"/>
        <n v="72806"/>
        <n v="51322"/>
        <n v="74893"/>
        <n v="66902"/>
        <n v="22754"/>
        <n v="13392"/>
        <n v="5288"/>
        <n v="72930"/>
        <n v="84974"/>
        <n v="52963"/>
        <n v="91494"/>
        <n v="51128"/>
        <n v="11459"/>
        <n v="54033"/>
        <n v="80976"/>
        <n v="23137"/>
        <n v="48749"/>
        <n v="32022"/>
        <n v="55793"/>
        <n v="66114"/>
        <n v="11348"/>
        <n v="92256"/>
        <n v="11789"/>
        <n v="26848"/>
        <n v="50562"/>
        <n v="40875"/>
        <n v="79910"/>
        <n v="38935"/>
        <n v="41831"/>
        <n v="59043"/>
        <n v="91067"/>
        <n v="44755"/>
        <n v="47926"/>
        <n v="28751"/>
        <n v="45135"/>
        <n v="12317"/>
        <n v="46992"/>
        <n v="78141"/>
        <n v="98312"/>
        <n v="98829"/>
        <n v="47492"/>
        <n v="36592"/>
        <n v="7375"/>
        <n v="11772"/>
        <n v="99687"/>
        <n v="28244"/>
        <n v="18426"/>
        <n v="33892"/>
        <n v="91911"/>
        <n v="79606"/>
        <n v="57973"/>
        <n v="74716"/>
        <n v="92667"/>
        <n v="60837"/>
        <n v="34546"/>
        <n v="6778"/>
        <n v="44395"/>
        <n v="70560"/>
        <n v="86330"/>
        <n v="21990"/>
        <n v="18420"/>
        <n v="79029"/>
        <n v="29436"/>
        <n v="43527"/>
        <n v="74099"/>
        <n v="96961"/>
        <n v="54004"/>
        <n v="92840"/>
        <n v="67676"/>
        <n v="41573"/>
        <n v="76731"/>
        <n v="31025"/>
        <n v="58450"/>
        <n v="70662"/>
        <n v="64153"/>
        <n v="86284"/>
        <n v="45237"/>
        <n v="43388"/>
        <n v="36479"/>
        <n v="53796"/>
        <n v="73901"/>
        <n v="68168"/>
        <n v="7731"/>
        <n v="79895"/>
        <n v="88019"/>
        <n v="99216"/>
        <n v="90508"/>
        <n v="11384"/>
        <n v="68114"/>
        <n v="22043"/>
        <n v="75370"/>
        <n v="12405"/>
        <n v="40439"/>
        <n v="23157"/>
        <n v="14068"/>
        <n v="26016"/>
        <n v="12019"/>
        <n v="47499"/>
        <n v="89018"/>
        <n v="99357"/>
        <n v="26501"/>
        <n v="91439"/>
        <n v="21181"/>
        <n v="80536"/>
        <n v="25196"/>
        <n v="73483"/>
        <n v="87539"/>
        <n v="50043"/>
        <n v="53156"/>
        <n v="59126"/>
        <n v="39833"/>
        <n v="99527"/>
        <n v="54955"/>
        <n v="8692"/>
        <n v="69266"/>
        <n v="90512"/>
        <n v="78827"/>
        <n v="26467"/>
        <n v="72669"/>
        <n v="93641"/>
        <n v="46862"/>
        <n v="38224"/>
        <n v="93368"/>
        <n v="59644"/>
        <n v="6557"/>
        <n v="63356"/>
        <n v="30478"/>
        <n v="94724"/>
        <n v="41845"/>
        <n v="78380"/>
        <n v="19547"/>
        <n v="32394"/>
        <n v="10694"/>
        <n v="55084"/>
        <n v="29184"/>
        <n v="87098"/>
        <n v="51458"/>
        <n v="88660"/>
        <n v="11509"/>
        <n v="39508"/>
        <n v="44459"/>
        <n v="80705"/>
        <n v="44849"/>
        <n v="51440"/>
        <n v="59200"/>
        <n v="60212"/>
        <n v="45531"/>
        <n v="25873"/>
        <n v="51631"/>
        <n v="12004"/>
        <n v="80078"/>
        <n v="53084"/>
        <n v="16201"/>
        <n v="23708"/>
        <n v="96336"/>
        <n v="41540"/>
        <n v="84317"/>
        <n v="15280"/>
        <n v="80821"/>
        <n v="52562"/>
        <n v="86185"/>
        <n v="85503"/>
        <n v="66396"/>
        <n v="98318"/>
        <n v="10802"/>
        <n v="29699"/>
        <n v="59280"/>
        <n v="34944"/>
        <n v="73941"/>
        <n v="79755"/>
        <n v="45620"/>
        <n v="74210"/>
        <n v="92479"/>
        <n v="6383"/>
        <n v="66534"/>
        <n v="10817"/>
        <n v="58187"/>
        <n v="27483"/>
        <n v="76626"/>
        <n v="44873"/>
        <n v="60261"/>
        <n v="35003"/>
        <n v="91225"/>
        <n v="58007"/>
        <n v="36002"/>
        <n v="78819"/>
        <n v="19560"/>
        <n v="70208"/>
        <n v="90763"/>
        <n v="28994"/>
        <n v="56254"/>
        <n v="53555"/>
        <n v="47296"/>
        <n v="92745"/>
        <n v="62383"/>
        <n v="56082"/>
        <n v="61318"/>
        <n v="57619"/>
        <n v="95480"/>
        <n v="38959"/>
        <n v="69090"/>
        <n v="7822"/>
        <n v="30921"/>
        <n v="77933"/>
        <n v="82395"/>
        <n v="55895"/>
        <n v="46802"/>
        <n v="95484"/>
        <n v="97173"/>
        <n v="14812"/>
        <n v="71026"/>
        <n v="95009"/>
        <n v="14748"/>
        <n v="75019"/>
        <n v="48774"/>
        <n v="13677"/>
        <n v="48659"/>
        <n v="14066"/>
        <n v="67237"/>
        <n v="45977"/>
        <n v="97950"/>
        <n v="12726"/>
        <n v="82759"/>
        <n v="87591"/>
        <n v="80760"/>
        <n v="57026"/>
        <n v="13274"/>
        <n v="63926"/>
        <n v="52610"/>
        <n v="36609"/>
        <n v="39714"/>
        <n v="52560"/>
        <n v="30136"/>
        <n v="10470"/>
        <n v="24799"/>
        <n v="69756"/>
        <n v="29233"/>
        <n v="69842"/>
        <n v="85618"/>
        <n v="15967"/>
        <n v="71576"/>
        <n v="64671"/>
        <n v="43857"/>
        <n v="89089"/>
        <n v="84654"/>
        <n v="98922"/>
        <n v="82450"/>
        <n v="12164"/>
        <n v="11685"/>
        <n v="39213"/>
        <n v="9485"/>
        <n v="24456"/>
        <n v="65523"/>
        <n v="77999"/>
        <n v="15311"/>
        <n v="58061"/>
        <n v="62571"/>
        <n v="9899"/>
        <n v="37123"/>
        <n v="22142"/>
        <n v="59024"/>
        <n v="5213"/>
        <n v="94957"/>
        <n v="15780"/>
        <n v="81381"/>
        <n v="73278"/>
        <n v="29343"/>
        <n v="70203"/>
        <n v="47110"/>
        <n v="47434"/>
        <n v="59165"/>
        <n v="91983"/>
        <n v="73616"/>
        <n v="86414"/>
        <n v="94636"/>
        <n v="42712"/>
        <n v="50022"/>
        <n v="68886"/>
        <n v="85948"/>
        <n v="40869"/>
        <n v="41474"/>
        <n v="34415"/>
        <n v="61778"/>
        <n v="70131"/>
        <n v="83959"/>
        <n v="56015"/>
        <n v="5533"/>
        <n v="52344"/>
        <n v="43194"/>
        <n v="76348"/>
        <n v="29302"/>
        <n v="14568"/>
        <n v="45132"/>
        <n v="27995"/>
        <n v="19588"/>
        <n v="38840"/>
        <n v="87860"/>
        <n v="85451"/>
        <n v="47387"/>
        <n v="19103"/>
        <n v="71097"/>
        <n v="58081"/>
        <n v="14670"/>
        <n v="84581"/>
        <n v="73647"/>
        <n v="82939"/>
        <n v="44901"/>
        <n v="35282"/>
        <n v="71806"/>
        <n v="50077"/>
        <n v="36118"/>
        <n v="61293"/>
        <n v="29584"/>
        <n v="32975"/>
        <n v="69672"/>
        <n v="82670"/>
        <n v="41449"/>
        <n v="70433"/>
        <n v="61204"/>
        <n v="99944"/>
        <n v="88865"/>
        <n v="84990"/>
        <n v="76575"/>
        <n v="75600"/>
        <n v="45690"/>
        <n v="70477"/>
        <n v="70472"/>
        <n v="31443"/>
        <n v="92103"/>
        <n v="40417"/>
        <n v="63044"/>
        <n v="70489"/>
        <n v="68485"/>
        <n v="17094"/>
        <n v="35376"/>
        <n v="40765"/>
        <n v="52660"/>
        <n v="79425"/>
        <n v="84276"/>
        <n v="56794"/>
        <n v="46656"/>
        <n v="21243"/>
        <n v="33330"/>
        <n v="86395"/>
        <n v="28460"/>
        <n v="80853"/>
        <n v="46903"/>
        <n v="63393"/>
        <n v="24563"/>
        <n v="39997"/>
        <n v="12080"/>
        <n v="17357"/>
        <n v="63861"/>
        <n v="99461"/>
        <n v="62392"/>
        <n v="28385"/>
        <n v="40604"/>
        <n v="73126"/>
        <n v="41995"/>
        <n v="65876"/>
        <n v="63731"/>
        <n v="54561"/>
        <n v="92533"/>
        <n v="58959"/>
        <n v="81629"/>
        <n v="9267"/>
      </sharedItems>
    </cacheField>
    <cacheField name="Insurance" numFmtId="3">
      <sharedItems count="2">
        <s v="No"/>
        <s v="Yes"/>
      </sharedItems>
    </cacheField>
    <cacheField name="Satisfaction_Score" numFmtId="1">
      <sharedItems containsSemiMixedTypes="0" containsString="0" containsNumber="1" containsInteger="1" minValue="1" maxValue="5" count="5">
        <n v="3"/>
        <n v="2"/>
        <n v="4"/>
        <n v="5"/>
        <n v="1"/>
      </sharedItems>
    </cacheField>
  </cacheFields>
  <extLst>
    <ext xmlns:x14="http://schemas.microsoft.com/office/spreadsheetml/2009/9/main" uri="{725AE2AE-9491-48be-B2B4-4EB974FC3084}">
      <x14:pivotCacheDefinition pivotCacheId="304561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x v="0"/>
    <x v="0"/>
  </r>
  <r>
    <x v="1"/>
    <x v="1"/>
    <x v="0"/>
    <x v="1"/>
    <x v="1"/>
    <x v="1"/>
    <x v="1"/>
    <x v="1"/>
    <x v="0"/>
    <x v="1"/>
  </r>
  <r>
    <x v="2"/>
    <x v="2"/>
    <x v="1"/>
    <x v="2"/>
    <x v="0"/>
    <x v="2"/>
    <x v="2"/>
    <x v="2"/>
    <x v="1"/>
    <x v="1"/>
  </r>
  <r>
    <x v="3"/>
    <x v="3"/>
    <x v="0"/>
    <x v="2"/>
    <x v="1"/>
    <x v="0"/>
    <x v="3"/>
    <x v="3"/>
    <x v="0"/>
    <x v="2"/>
  </r>
  <r>
    <x v="4"/>
    <x v="4"/>
    <x v="1"/>
    <x v="3"/>
    <x v="2"/>
    <x v="2"/>
    <x v="4"/>
    <x v="4"/>
    <x v="1"/>
    <x v="1"/>
  </r>
  <r>
    <x v="5"/>
    <x v="5"/>
    <x v="0"/>
    <x v="4"/>
    <x v="3"/>
    <x v="2"/>
    <x v="5"/>
    <x v="5"/>
    <x v="0"/>
    <x v="0"/>
  </r>
  <r>
    <x v="6"/>
    <x v="6"/>
    <x v="1"/>
    <x v="5"/>
    <x v="2"/>
    <x v="2"/>
    <x v="6"/>
    <x v="6"/>
    <x v="1"/>
    <x v="3"/>
  </r>
  <r>
    <x v="7"/>
    <x v="7"/>
    <x v="1"/>
    <x v="6"/>
    <x v="4"/>
    <x v="1"/>
    <x v="7"/>
    <x v="7"/>
    <x v="0"/>
    <x v="3"/>
  </r>
  <r>
    <x v="8"/>
    <x v="8"/>
    <x v="1"/>
    <x v="4"/>
    <x v="5"/>
    <x v="0"/>
    <x v="8"/>
    <x v="8"/>
    <x v="0"/>
    <x v="1"/>
  </r>
  <r>
    <x v="9"/>
    <x v="9"/>
    <x v="1"/>
    <x v="6"/>
    <x v="0"/>
    <x v="1"/>
    <x v="7"/>
    <x v="9"/>
    <x v="0"/>
    <x v="4"/>
  </r>
  <r>
    <x v="10"/>
    <x v="3"/>
    <x v="1"/>
    <x v="7"/>
    <x v="2"/>
    <x v="0"/>
    <x v="5"/>
    <x v="10"/>
    <x v="1"/>
    <x v="1"/>
  </r>
  <r>
    <x v="11"/>
    <x v="10"/>
    <x v="0"/>
    <x v="3"/>
    <x v="6"/>
    <x v="0"/>
    <x v="2"/>
    <x v="11"/>
    <x v="0"/>
    <x v="3"/>
  </r>
  <r>
    <x v="12"/>
    <x v="11"/>
    <x v="1"/>
    <x v="6"/>
    <x v="5"/>
    <x v="0"/>
    <x v="9"/>
    <x v="12"/>
    <x v="1"/>
    <x v="3"/>
  </r>
  <r>
    <x v="13"/>
    <x v="12"/>
    <x v="0"/>
    <x v="8"/>
    <x v="0"/>
    <x v="2"/>
    <x v="1"/>
    <x v="13"/>
    <x v="1"/>
    <x v="2"/>
  </r>
  <r>
    <x v="14"/>
    <x v="13"/>
    <x v="1"/>
    <x v="1"/>
    <x v="5"/>
    <x v="1"/>
    <x v="10"/>
    <x v="14"/>
    <x v="1"/>
    <x v="3"/>
  </r>
  <r>
    <x v="15"/>
    <x v="14"/>
    <x v="0"/>
    <x v="7"/>
    <x v="5"/>
    <x v="2"/>
    <x v="7"/>
    <x v="15"/>
    <x v="1"/>
    <x v="2"/>
  </r>
  <r>
    <x v="16"/>
    <x v="15"/>
    <x v="1"/>
    <x v="5"/>
    <x v="7"/>
    <x v="0"/>
    <x v="5"/>
    <x v="16"/>
    <x v="0"/>
    <x v="4"/>
  </r>
  <r>
    <x v="17"/>
    <x v="12"/>
    <x v="0"/>
    <x v="7"/>
    <x v="2"/>
    <x v="2"/>
    <x v="0"/>
    <x v="17"/>
    <x v="1"/>
    <x v="0"/>
  </r>
  <r>
    <x v="18"/>
    <x v="16"/>
    <x v="0"/>
    <x v="3"/>
    <x v="3"/>
    <x v="0"/>
    <x v="4"/>
    <x v="18"/>
    <x v="1"/>
    <x v="0"/>
  </r>
  <r>
    <x v="19"/>
    <x v="17"/>
    <x v="1"/>
    <x v="9"/>
    <x v="1"/>
    <x v="0"/>
    <x v="11"/>
    <x v="19"/>
    <x v="0"/>
    <x v="0"/>
  </r>
  <r>
    <x v="20"/>
    <x v="18"/>
    <x v="0"/>
    <x v="1"/>
    <x v="4"/>
    <x v="1"/>
    <x v="9"/>
    <x v="20"/>
    <x v="1"/>
    <x v="1"/>
  </r>
  <r>
    <x v="21"/>
    <x v="19"/>
    <x v="0"/>
    <x v="3"/>
    <x v="8"/>
    <x v="0"/>
    <x v="1"/>
    <x v="21"/>
    <x v="1"/>
    <x v="4"/>
  </r>
  <r>
    <x v="22"/>
    <x v="20"/>
    <x v="1"/>
    <x v="7"/>
    <x v="4"/>
    <x v="1"/>
    <x v="7"/>
    <x v="22"/>
    <x v="1"/>
    <x v="3"/>
  </r>
  <r>
    <x v="23"/>
    <x v="21"/>
    <x v="0"/>
    <x v="7"/>
    <x v="8"/>
    <x v="2"/>
    <x v="7"/>
    <x v="23"/>
    <x v="0"/>
    <x v="0"/>
  </r>
  <r>
    <x v="24"/>
    <x v="4"/>
    <x v="1"/>
    <x v="2"/>
    <x v="2"/>
    <x v="0"/>
    <x v="12"/>
    <x v="24"/>
    <x v="0"/>
    <x v="2"/>
  </r>
  <r>
    <x v="25"/>
    <x v="22"/>
    <x v="0"/>
    <x v="3"/>
    <x v="7"/>
    <x v="1"/>
    <x v="9"/>
    <x v="25"/>
    <x v="0"/>
    <x v="4"/>
  </r>
  <r>
    <x v="26"/>
    <x v="23"/>
    <x v="0"/>
    <x v="1"/>
    <x v="0"/>
    <x v="2"/>
    <x v="5"/>
    <x v="26"/>
    <x v="1"/>
    <x v="0"/>
  </r>
  <r>
    <x v="27"/>
    <x v="24"/>
    <x v="1"/>
    <x v="2"/>
    <x v="9"/>
    <x v="0"/>
    <x v="7"/>
    <x v="27"/>
    <x v="0"/>
    <x v="0"/>
  </r>
  <r>
    <x v="28"/>
    <x v="19"/>
    <x v="1"/>
    <x v="2"/>
    <x v="4"/>
    <x v="1"/>
    <x v="1"/>
    <x v="28"/>
    <x v="1"/>
    <x v="1"/>
  </r>
  <r>
    <x v="29"/>
    <x v="21"/>
    <x v="0"/>
    <x v="6"/>
    <x v="8"/>
    <x v="0"/>
    <x v="4"/>
    <x v="29"/>
    <x v="1"/>
    <x v="4"/>
  </r>
  <r>
    <x v="30"/>
    <x v="14"/>
    <x v="0"/>
    <x v="4"/>
    <x v="2"/>
    <x v="2"/>
    <x v="4"/>
    <x v="30"/>
    <x v="0"/>
    <x v="1"/>
  </r>
  <r>
    <x v="31"/>
    <x v="25"/>
    <x v="1"/>
    <x v="8"/>
    <x v="6"/>
    <x v="2"/>
    <x v="10"/>
    <x v="31"/>
    <x v="1"/>
    <x v="3"/>
  </r>
  <r>
    <x v="32"/>
    <x v="26"/>
    <x v="0"/>
    <x v="5"/>
    <x v="5"/>
    <x v="0"/>
    <x v="2"/>
    <x v="32"/>
    <x v="1"/>
    <x v="2"/>
  </r>
  <r>
    <x v="33"/>
    <x v="27"/>
    <x v="0"/>
    <x v="3"/>
    <x v="4"/>
    <x v="2"/>
    <x v="9"/>
    <x v="33"/>
    <x v="1"/>
    <x v="3"/>
  </r>
  <r>
    <x v="34"/>
    <x v="23"/>
    <x v="1"/>
    <x v="4"/>
    <x v="1"/>
    <x v="1"/>
    <x v="3"/>
    <x v="34"/>
    <x v="0"/>
    <x v="4"/>
  </r>
  <r>
    <x v="35"/>
    <x v="8"/>
    <x v="1"/>
    <x v="4"/>
    <x v="0"/>
    <x v="1"/>
    <x v="0"/>
    <x v="35"/>
    <x v="0"/>
    <x v="3"/>
  </r>
  <r>
    <x v="36"/>
    <x v="12"/>
    <x v="0"/>
    <x v="8"/>
    <x v="6"/>
    <x v="1"/>
    <x v="13"/>
    <x v="36"/>
    <x v="0"/>
    <x v="3"/>
  </r>
  <r>
    <x v="37"/>
    <x v="18"/>
    <x v="0"/>
    <x v="6"/>
    <x v="0"/>
    <x v="2"/>
    <x v="8"/>
    <x v="37"/>
    <x v="1"/>
    <x v="4"/>
  </r>
  <r>
    <x v="38"/>
    <x v="28"/>
    <x v="1"/>
    <x v="4"/>
    <x v="5"/>
    <x v="1"/>
    <x v="4"/>
    <x v="38"/>
    <x v="1"/>
    <x v="4"/>
  </r>
  <r>
    <x v="39"/>
    <x v="29"/>
    <x v="1"/>
    <x v="7"/>
    <x v="3"/>
    <x v="2"/>
    <x v="11"/>
    <x v="39"/>
    <x v="1"/>
    <x v="0"/>
  </r>
  <r>
    <x v="40"/>
    <x v="30"/>
    <x v="0"/>
    <x v="5"/>
    <x v="4"/>
    <x v="0"/>
    <x v="11"/>
    <x v="40"/>
    <x v="0"/>
    <x v="4"/>
  </r>
  <r>
    <x v="41"/>
    <x v="31"/>
    <x v="1"/>
    <x v="6"/>
    <x v="8"/>
    <x v="1"/>
    <x v="9"/>
    <x v="41"/>
    <x v="1"/>
    <x v="3"/>
  </r>
  <r>
    <x v="42"/>
    <x v="23"/>
    <x v="0"/>
    <x v="5"/>
    <x v="3"/>
    <x v="1"/>
    <x v="3"/>
    <x v="42"/>
    <x v="1"/>
    <x v="2"/>
  </r>
  <r>
    <x v="43"/>
    <x v="32"/>
    <x v="1"/>
    <x v="5"/>
    <x v="9"/>
    <x v="0"/>
    <x v="9"/>
    <x v="43"/>
    <x v="1"/>
    <x v="1"/>
  </r>
  <r>
    <x v="44"/>
    <x v="33"/>
    <x v="0"/>
    <x v="4"/>
    <x v="1"/>
    <x v="2"/>
    <x v="3"/>
    <x v="44"/>
    <x v="1"/>
    <x v="2"/>
  </r>
  <r>
    <x v="45"/>
    <x v="34"/>
    <x v="1"/>
    <x v="6"/>
    <x v="8"/>
    <x v="1"/>
    <x v="13"/>
    <x v="45"/>
    <x v="1"/>
    <x v="2"/>
  </r>
  <r>
    <x v="46"/>
    <x v="24"/>
    <x v="1"/>
    <x v="1"/>
    <x v="3"/>
    <x v="1"/>
    <x v="2"/>
    <x v="46"/>
    <x v="0"/>
    <x v="4"/>
  </r>
  <r>
    <x v="47"/>
    <x v="35"/>
    <x v="1"/>
    <x v="8"/>
    <x v="7"/>
    <x v="1"/>
    <x v="8"/>
    <x v="47"/>
    <x v="0"/>
    <x v="3"/>
  </r>
  <r>
    <x v="48"/>
    <x v="36"/>
    <x v="0"/>
    <x v="7"/>
    <x v="6"/>
    <x v="0"/>
    <x v="10"/>
    <x v="48"/>
    <x v="0"/>
    <x v="2"/>
  </r>
  <r>
    <x v="49"/>
    <x v="7"/>
    <x v="0"/>
    <x v="8"/>
    <x v="3"/>
    <x v="0"/>
    <x v="1"/>
    <x v="49"/>
    <x v="0"/>
    <x v="3"/>
  </r>
  <r>
    <x v="50"/>
    <x v="36"/>
    <x v="0"/>
    <x v="5"/>
    <x v="5"/>
    <x v="1"/>
    <x v="10"/>
    <x v="50"/>
    <x v="0"/>
    <x v="2"/>
  </r>
  <r>
    <x v="51"/>
    <x v="37"/>
    <x v="1"/>
    <x v="9"/>
    <x v="0"/>
    <x v="1"/>
    <x v="9"/>
    <x v="51"/>
    <x v="1"/>
    <x v="2"/>
  </r>
  <r>
    <x v="52"/>
    <x v="30"/>
    <x v="1"/>
    <x v="1"/>
    <x v="7"/>
    <x v="1"/>
    <x v="4"/>
    <x v="52"/>
    <x v="1"/>
    <x v="3"/>
  </r>
  <r>
    <x v="53"/>
    <x v="28"/>
    <x v="1"/>
    <x v="5"/>
    <x v="4"/>
    <x v="1"/>
    <x v="7"/>
    <x v="53"/>
    <x v="0"/>
    <x v="2"/>
  </r>
  <r>
    <x v="54"/>
    <x v="38"/>
    <x v="1"/>
    <x v="0"/>
    <x v="6"/>
    <x v="0"/>
    <x v="13"/>
    <x v="54"/>
    <x v="0"/>
    <x v="2"/>
  </r>
  <r>
    <x v="55"/>
    <x v="39"/>
    <x v="0"/>
    <x v="7"/>
    <x v="3"/>
    <x v="2"/>
    <x v="9"/>
    <x v="55"/>
    <x v="1"/>
    <x v="2"/>
  </r>
  <r>
    <x v="56"/>
    <x v="15"/>
    <x v="1"/>
    <x v="1"/>
    <x v="8"/>
    <x v="0"/>
    <x v="0"/>
    <x v="56"/>
    <x v="0"/>
    <x v="1"/>
  </r>
  <r>
    <x v="57"/>
    <x v="40"/>
    <x v="0"/>
    <x v="8"/>
    <x v="3"/>
    <x v="0"/>
    <x v="14"/>
    <x v="57"/>
    <x v="1"/>
    <x v="0"/>
  </r>
  <r>
    <x v="58"/>
    <x v="41"/>
    <x v="0"/>
    <x v="0"/>
    <x v="8"/>
    <x v="0"/>
    <x v="14"/>
    <x v="58"/>
    <x v="1"/>
    <x v="1"/>
  </r>
  <r>
    <x v="59"/>
    <x v="28"/>
    <x v="0"/>
    <x v="7"/>
    <x v="3"/>
    <x v="0"/>
    <x v="8"/>
    <x v="59"/>
    <x v="1"/>
    <x v="1"/>
  </r>
  <r>
    <x v="60"/>
    <x v="11"/>
    <x v="0"/>
    <x v="9"/>
    <x v="5"/>
    <x v="1"/>
    <x v="11"/>
    <x v="60"/>
    <x v="1"/>
    <x v="4"/>
  </r>
  <r>
    <x v="61"/>
    <x v="32"/>
    <x v="1"/>
    <x v="0"/>
    <x v="8"/>
    <x v="1"/>
    <x v="0"/>
    <x v="61"/>
    <x v="1"/>
    <x v="1"/>
  </r>
  <r>
    <x v="62"/>
    <x v="9"/>
    <x v="0"/>
    <x v="0"/>
    <x v="7"/>
    <x v="0"/>
    <x v="1"/>
    <x v="62"/>
    <x v="0"/>
    <x v="1"/>
  </r>
  <r>
    <x v="63"/>
    <x v="42"/>
    <x v="0"/>
    <x v="6"/>
    <x v="5"/>
    <x v="2"/>
    <x v="10"/>
    <x v="63"/>
    <x v="0"/>
    <x v="0"/>
  </r>
  <r>
    <x v="64"/>
    <x v="43"/>
    <x v="0"/>
    <x v="7"/>
    <x v="6"/>
    <x v="0"/>
    <x v="10"/>
    <x v="64"/>
    <x v="0"/>
    <x v="1"/>
  </r>
  <r>
    <x v="65"/>
    <x v="36"/>
    <x v="0"/>
    <x v="3"/>
    <x v="7"/>
    <x v="0"/>
    <x v="2"/>
    <x v="65"/>
    <x v="1"/>
    <x v="3"/>
  </r>
  <r>
    <x v="66"/>
    <x v="0"/>
    <x v="1"/>
    <x v="9"/>
    <x v="7"/>
    <x v="2"/>
    <x v="5"/>
    <x v="66"/>
    <x v="0"/>
    <x v="4"/>
  </r>
  <r>
    <x v="67"/>
    <x v="34"/>
    <x v="0"/>
    <x v="7"/>
    <x v="5"/>
    <x v="0"/>
    <x v="0"/>
    <x v="67"/>
    <x v="0"/>
    <x v="0"/>
  </r>
  <r>
    <x v="68"/>
    <x v="19"/>
    <x v="1"/>
    <x v="9"/>
    <x v="0"/>
    <x v="2"/>
    <x v="6"/>
    <x v="68"/>
    <x v="0"/>
    <x v="0"/>
  </r>
  <r>
    <x v="69"/>
    <x v="6"/>
    <x v="0"/>
    <x v="6"/>
    <x v="6"/>
    <x v="1"/>
    <x v="13"/>
    <x v="69"/>
    <x v="0"/>
    <x v="2"/>
  </r>
  <r>
    <x v="70"/>
    <x v="0"/>
    <x v="0"/>
    <x v="2"/>
    <x v="9"/>
    <x v="0"/>
    <x v="14"/>
    <x v="70"/>
    <x v="1"/>
    <x v="1"/>
  </r>
  <r>
    <x v="71"/>
    <x v="44"/>
    <x v="0"/>
    <x v="3"/>
    <x v="1"/>
    <x v="1"/>
    <x v="2"/>
    <x v="71"/>
    <x v="0"/>
    <x v="1"/>
  </r>
  <r>
    <x v="72"/>
    <x v="21"/>
    <x v="0"/>
    <x v="1"/>
    <x v="7"/>
    <x v="1"/>
    <x v="1"/>
    <x v="72"/>
    <x v="0"/>
    <x v="4"/>
  </r>
  <r>
    <x v="73"/>
    <x v="45"/>
    <x v="0"/>
    <x v="3"/>
    <x v="5"/>
    <x v="1"/>
    <x v="14"/>
    <x v="73"/>
    <x v="1"/>
    <x v="3"/>
  </r>
  <r>
    <x v="74"/>
    <x v="10"/>
    <x v="0"/>
    <x v="1"/>
    <x v="7"/>
    <x v="1"/>
    <x v="0"/>
    <x v="74"/>
    <x v="1"/>
    <x v="1"/>
  </r>
  <r>
    <x v="75"/>
    <x v="46"/>
    <x v="1"/>
    <x v="0"/>
    <x v="5"/>
    <x v="1"/>
    <x v="0"/>
    <x v="75"/>
    <x v="1"/>
    <x v="4"/>
  </r>
  <r>
    <x v="76"/>
    <x v="6"/>
    <x v="0"/>
    <x v="5"/>
    <x v="3"/>
    <x v="1"/>
    <x v="9"/>
    <x v="76"/>
    <x v="1"/>
    <x v="3"/>
  </r>
  <r>
    <x v="77"/>
    <x v="14"/>
    <x v="0"/>
    <x v="4"/>
    <x v="2"/>
    <x v="1"/>
    <x v="1"/>
    <x v="77"/>
    <x v="1"/>
    <x v="0"/>
  </r>
  <r>
    <x v="78"/>
    <x v="47"/>
    <x v="1"/>
    <x v="7"/>
    <x v="6"/>
    <x v="1"/>
    <x v="9"/>
    <x v="78"/>
    <x v="1"/>
    <x v="0"/>
  </r>
  <r>
    <x v="79"/>
    <x v="19"/>
    <x v="0"/>
    <x v="8"/>
    <x v="7"/>
    <x v="1"/>
    <x v="12"/>
    <x v="79"/>
    <x v="1"/>
    <x v="0"/>
  </r>
  <r>
    <x v="80"/>
    <x v="1"/>
    <x v="0"/>
    <x v="4"/>
    <x v="2"/>
    <x v="0"/>
    <x v="14"/>
    <x v="80"/>
    <x v="0"/>
    <x v="2"/>
  </r>
  <r>
    <x v="81"/>
    <x v="48"/>
    <x v="1"/>
    <x v="0"/>
    <x v="1"/>
    <x v="0"/>
    <x v="14"/>
    <x v="81"/>
    <x v="1"/>
    <x v="2"/>
  </r>
  <r>
    <x v="82"/>
    <x v="11"/>
    <x v="1"/>
    <x v="9"/>
    <x v="1"/>
    <x v="0"/>
    <x v="5"/>
    <x v="82"/>
    <x v="1"/>
    <x v="4"/>
  </r>
  <r>
    <x v="83"/>
    <x v="2"/>
    <x v="1"/>
    <x v="2"/>
    <x v="0"/>
    <x v="2"/>
    <x v="4"/>
    <x v="83"/>
    <x v="1"/>
    <x v="4"/>
  </r>
  <r>
    <x v="84"/>
    <x v="49"/>
    <x v="1"/>
    <x v="7"/>
    <x v="4"/>
    <x v="2"/>
    <x v="1"/>
    <x v="84"/>
    <x v="1"/>
    <x v="4"/>
  </r>
  <r>
    <x v="85"/>
    <x v="50"/>
    <x v="0"/>
    <x v="8"/>
    <x v="8"/>
    <x v="1"/>
    <x v="5"/>
    <x v="85"/>
    <x v="0"/>
    <x v="2"/>
  </r>
  <r>
    <x v="86"/>
    <x v="51"/>
    <x v="0"/>
    <x v="0"/>
    <x v="3"/>
    <x v="0"/>
    <x v="2"/>
    <x v="86"/>
    <x v="0"/>
    <x v="1"/>
  </r>
  <r>
    <x v="87"/>
    <x v="52"/>
    <x v="1"/>
    <x v="2"/>
    <x v="7"/>
    <x v="2"/>
    <x v="9"/>
    <x v="87"/>
    <x v="0"/>
    <x v="1"/>
  </r>
  <r>
    <x v="88"/>
    <x v="34"/>
    <x v="1"/>
    <x v="3"/>
    <x v="5"/>
    <x v="0"/>
    <x v="13"/>
    <x v="88"/>
    <x v="1"/>
    <x v="2"/>
  </r>
  <r>
    <x v="89"/>
    <x v="3"/>
    <x v="1"/>
    <x v="8"/>
    <x v="7"/>
    <x v="0"/>
    <x v="12"/>
    <x v="89"/>
    <x v="1"/>
    <x v="3"/>
  </r>
  <r>
    <x v="90"/>
    <x v="35"/>
    <x v="1"/>
    <x v="1"/>
    <x v="9"/>
    <x v="2"/>
    <x v="2"/>
    <x v="90"/>
    <x v="1"/>
    <x v="0"/>
  </r>
  <r>
    <x v="91"/>
    <x v="6"/>
    <x v="0"/>
    <x v="5"/>
    <x v="7"/>
    <x v="2"/>
    <x v="2"/>
    <x v="91"/>
    <x v="0"/>
    <x v="3"/>
  </r>
  <r>
    <x v="92"/>
    <x v="20"/>
    <x v="1"/>
    <x v="2"/>
    <x v="8"/>
    <x v="0"/>
    <x v="8"/>
    <x v="92"/>
    <x v="0"/>
    <x v="0"/>
  </r>
  <r>
    <x v="93"/>
    <x v="53"/>
    <x v="1"/>
    <x v="7"/>
    <x v="0"/>
    <x v="1"/>
    <x v="2"/>
    <x v="93"/>
    <x v="0"/>
    <x v="0"/>
  </r>
  <r>
    <x v="94"/>
    <x v="54"/>
    <x v="1"/>
    <x v="4"/>
    <x v="2"/>
    <x v="1"/>
    <x v="4"/>
    <x v="94"/>
    <x v="0"/>
    <x v="0"/>
  </r>
  <r>
    <x v="95"/>
    <x v="55"/>
    <x v="0"/>
    <x v="6"/>
    <x v="6"/>
    <x v="1"/>
    <x v="3"/>
    <x v="95"/>
    <x v="1"/>
    <x v="4"/>
  </r>
  <r>
    <x v="96"/>
    <x v="15"/>
    <x v="1"/>
    <x v="2"/>
    <x v="5"/>
    <x v="1"/>
    <x v="13"/>
    <x v="96"/>
    <x v="0"/>
    <x v="2"/>
  </r>
  <r>
    <x v="97"/>
    <x v="56"/>
    <x v="0"/>
    <x v="0"/>
    <x v="2"/>
    <x v="2"/>
    <x v="9"/>
    <x v="97"/>
    <x v="1"/>
    <x v="4"/>
  </r>
  <r>
    <x v="98"/>
    <x v="3"/>
    <x v="0"/>
    <x v="2"/>
    <x v="6"/>
    <x v="1"/>
    <x v="12"/>
    <x v="98"/>
    <x v="0"/>
    <x v="0"/>
  </r>
  <r>
    <x v="99"/>
    <x v="26"/>
    <x v="1"/>
    <x v="8"/>
    <x v="1"/>
    <x v="1"/>
    <x v="13"/>
    <x v="99"/>
    <x v="1"/>
    <x v="3"/>
  </r>
  <r>
    <x v="100"/>
    <x v="57"/>
    <x v="0"/>
    <x v="2"/>
    <x v="9"/>
    <x v="2"/>
    <x v="13"/>
    <x v="100"/>
    <x v="1"/>
    <x v="1"/>
  </r>
  <r>
    <x v="101"/>
    <x v="58"/>
    <x v="0"/>
    <x v="5"/>
    <x v="5"/>
    <x v="2"/>
    <x v="14"/>
    <x v="101"/>
    <x v="0"/>
    <x v="3"/>
  </r>
  <r>
    <x v="102"/>
    <x v="15"/>
    <x v="1"/>
    <x v="4"/>
    <x v="0"/>
    <x v="1"/>
    <x v="7"/>
    <x v="102"/>
    <x v="1"/>
    <x v="0"/>
  </r>
  <r>
    <x v="103"/>
    <x v="14"/>
    <x v="0"/>
    <x v="5"/>
    <x v="4"/>
    <x v="1"/>
    <x v="11"/>
    <x v="103"/>
    <x v="0"/>
    <x v="0"/>
  </r>
  <r>
    <x v="104"/>
    <x v="51"/>
    <x v="0"/>
    <x v="4"/>
    <x v="5"/>
    <x v="0"/>
    <x v="5"/>
    <x v="104"/>
    <x v="0"/>
    <x v="1"/>
  </r>
  <r>
    <x v="105"/>
    <x v="29"/>
    <x v="0"/>
    <x v="2"/>
    <x v="6"/>
    <x v="0"/>
    <x v="8"/>
    <x v="105"/>
    <x v="0"/>
    <x v="1"/>
  </r>
  <r>
    <x v="106"/>
    <x v="59"/>
    <x v="0"/>
    <x v="9"/>
    <x v="1"/>
    <x v="2"/>
    <x v="14"/>
    <x v="106"/>
    <x v="1"/>
    <x v="2"/>
  </r>
  <r>
    <x v="107"/>
    <x v="60"/>
    <x v="0"/>
    <x v="6"/>
    <x v="2"/>
    <x v="2"/>
    <x v="0"/>
    <x v="107"/>
    <x v="0"/>
    <x v="4"/>
  </r>
  <r>
    <x v="108"/>
    <x v="14"/>
    <x v="0"/>
    <x v="5"/>
    <x v="6"/>
    <x v="0"/>
    <x v="1"/>
    <x v="108"/>
    <x v="1"/>
    <x v="0"/>
  </r>
  <r>
    <x v="109"/>
    <x v="47"/>
    <x v="0"/>
    <x v="1"/>
    <x v="1"/>
    <x v="0"/>
    <x v="2"/>
    <x v="109"/>
    <x v="1"/>
    <x v="4"/>
  </r>
  <r>
    <x v="110"/>
    <x v="52"/>
    <x v="0"/>
    <x v="3"/>
    <x v="1"/>
    <x v="1"/>
    <x v="11"/>
    <x v="110"/>
    <x v="1"/>
    <x v="0"/>
  </r>
  <r>
    <x v="111"/>
    <x v="61"/>
    <x v="0"/>
    <x v="6"/>
    <x v="5"/>
    <x v="2"/>
    <x v="4"/>
    <x v="111"/>
    <x v="1"/>
    <x v="2"/>
  </r>
  <r>
    <x v="112"/>
    <x v="5"/>
    <x v="1"/>
    <x v="2"/>
    <x v="6"/>
    <x v="1"/>
    <x v="10"/>
    <x v="112"/>
    <x v="0"/>
    <x v="3"/>
  </r>
  <r>
    <x v="113"/>
    <x v="5"/>
    <x v="1"/>
    <x v="5"/>
    <x v="4"/>
    <x v="2"/>
    <x v="13"/>
    <x v="113"/>
    <x v="1"/>
    <x v="4"/>
  </r>
  <r>
    <x v="114"/>
    <x v="62"/>
    <x v="1"/>
    <x v="8"/>
    <x v="3"/>
    <x v="2"/>
    <x v="9"/>
    <x v="114"/>
    <x v="1"/>
    <x v="2"/>
  </r>
  <r>
    <x v="115"/>
    <x v="61"/>
    <x v="0"/>
    <x v="8"/>
    <x v="9"/>
    <x v="0"/>
    <x v="2"/>
    <x v="115"/>
    <x v="0"/>
    <x v="4"/>
  </r>
  <r>
    <x v="116"/>
    <x v="6"/>
    <x v="0"/>
    <x v="8"/>
    <x v="4"/>
    <x v="0"/>
    <x v="7"/>
    <x v="116"/>
    <x v="1"/>
    <x v="0"/>
  </r>
  <r>
    <x v="117"/>
    <x v="63"/>
    <x v="1"/>
    <x v="6"/>
    <x v="6"/>
    <x v="0"/>
    <x v="11"/>
    <x v="117"/>
    <x v="0"/>
    <x v="0"/>
  </r>
  <r>
    <x v="118"/>
    <x v="61"/>
    <x v="1"/>
    <x v="4"/>
    <x v="4"/>
    <x v="1"/>
    <x v="13"/>
    <x v="118"/>
    <x v="1"/>
    <x v="1"/>
  </r>
  <r>
    <x v="119"/>
    <x v="9"/>
    <x v="0"/>
    <x v="9"/>
    <x v="0"/>
    <x v="1"/>
    <x v="2"/>
    <x v="119"/>
    <x v="1"/>
    <x v="3"/>
  </r>
  <r>
    <x v="120"/>
    <x v="57"/>
    <x v="1"/>
    <x v="0"/>
    <x v="6"/>
    <x v="2"/>
    <x v="4"/>
    <x v="120"/>
    <x v="0"/>
    <x v="4"/>
  </r>
  <r>
    <x v="121"/>
    <x v="27"/>
    <x v="1"/>
    <x v="3"/>
    <x v="8"/>
    <x v="0"/>
    <x v="6"/>
    <x v="121"/>
    <x v="1"/>
    <x v="0"/>
  </r>
  <r>
    <x v="122"/>
    <x v="64"/>
    <x v="1"/>
    <x v="0"/>
    <x v="2"/>
    <x v="1"/>
    <x v="6"/>
    <x v="122"/>
    <x v="1"/>
    <x v="0"/>
  </r>
  <r>
    <x v="123"/>
    <x v="20"/>
    <x v="1"/>
    <x v="6"/>
    <x v="3"/>
    <x v="2"/>
    <x v="6"/>
    <x v="123"/>
    <x v="1"/>
    <x v="1"/>
  </r>
  <r>
    <x v="124"/>
    <x v="0"/>
    <x v="1"/>
    <x v="6"/>
    <x v="4"/>
    <x v="2"/>
    <x v="5"/>
    <x v="124"/>
    <x v="0"/>
    <x v="3"/>
  </r>
  <r>
    <x v="125"/>
    <x v="22"/>
    <x v="1"/>
    <x v="4"/>
    <x v="8"/>
    <x v="0"/>
    <x v="0"/>
    <x v="125"/>
    <x v="1"/>
    <x v="4"/>
  </r>
  <r>
    <x v="126"/>
    <x v="1"/>
    <x v="1"/>
    <x v="1"/>
    <x v="9"/>
    <x v="1"/>
    <x v="13"/>
    <x v="126"/>
    <x v="1"/>
    <x v="0"/>
  </r>
  <r>
    <x v="127"/>
    <x v="18"/>
    <x v="1"/>
    <x v="7"/>
    <x v="8"/>
    <x v="0"/>
    <x v="0"/>
    <x v="127"/>
    <x v="0"/>
    <x v="0"/>
  </r>
  <r>
    <x v="128"/>
    <x v="8"/>
    <x v="1"/>
    <x v="7"/>
    <x v="7"/>
    <x v="0"/>
    <x v="9"/>
    <x v="128"/>
    <x v="1"/>
    <x v="0"/>
  </r>
  <r>
    <x v="129"/>
    <x v="41"/>
    <x v="0"/>
    <x v="5"/>
    <x v="8"/>
    <x v="0"/>
    <x v="0"/>
    <x v="129"/>
    <x v="0"/>
    <x v="4"/>
  </r>
  <r>
    <x v="130"/>
    <x v="65"/>
    <x v="0"/>
    <x v="1"/>
    <x v="4"/>
    <x v="1"/>
    <x v="9"/>
    <x v="130"/>
    <x v="1"/>
    <x v="1"/>
  </r>
  <r>
    <x v="131"/>
    <x v="66"/>
    <x v="0"/>
    <x v="0"/>
    <x v="6"/>
    <x v="0"/>
    <x v="1"/>
    <x v="131"/>
    <x v="0"/>
    <x v="2"/>
  </r>
  <r>
    <x v="132"/>
    <x v="67"/>
    <x v="1"/>
    <x v="0"/>
    <x v="1"/>
    <x v="2"/>
    <x v="5"/>
    <x v="132"/>
    <x v="1"/>
    <x v="1"/>
  </r>
  <r>
    <x v="133"/>
    <x v="67"/>
    <x v="1"/>
    <x v="7"/>
    <x v="6"/>
    <x v="0"/>
    <x v="5"/>
    <x v="133"/>
    <x v="0"/>
    <x v="4"/>
  </r>
  <r>
    <x v="134"/>
    <x v="36"/>
    <x v="1"/>
    <x v="1"/>
    <x v="0"/>
    <x v="2"/>
    <x v="6"/>
    <x v="134"/>
    <x v="0"/>
    <x v="3"/>
  </r>
  <r>
    <x v="135"/>
    <x v="57"/>
    <x v="1"/>
    <x v="2"/>
    <x v="8"/>
    <x v="2"/>
    <x v="13"/>
    <x v="135"/>
    <x v="1"/>
    <x v="4"/>
  </r>
  <r>
    <x v="136"/>
    <x v="11"/>
    <x v="1"/>
    <x v="5"/>
    <x v="0"/>
    <x v="2"/>
    <x v="11"/>
    <x v="136"/>
    <x v="1"/>
    <x v="4"/>
  </r>
  <r>
    <x v="137"/>
    <x v="68"/>
    <x v="1"/>
    <x v="5"/>
    <x v="5"/>
    <x v="1"/>
    <x v="8"/>
    <x v="137"/>
    <x v="1"/>
    <x v="2"/>
  </r>
  <r>
    <x v="138"/>
    <x v="24"/>
    <x v="0"/>
    <x v="3"/>
    <x v="6"/>
    <x v="0"/>
    <x v="5"/>
    <x v="138"/>
    <x v="0"/>
    <x v="1"/>
  </r>
  <r>
    <x v="139"/>
    <x v="10"/>
    <x v="0"/>
    <x v="7"/>
    <x v="1"/>
    <x v="0"/>
    <x v="11"/>
    <x v="139"/>
    <x v="1"/>
    <x v="1"/>
  </r>
  <r>
    <x v="140"/>
    <x v="28"/>
    <x v="1"/>
    <x v="6"/>
    <x v="9"/>
    <x v="1"/>
    <x v="2"/>
    <x v="140"/>
    <x v="0"/>
    <x v="3"/>
  </r>
  <r>
    <x v="141"/>
    <x v="27"/>
    <x v="1"/>
    <x v="4"/>
    <x v="5"/>
    <x v="0"/>
    <x v="6"/>
    <x v="141"/>
    <x v="1"/>
    <x v="3"/>
  </r>
  <r>
    <x v="142"/>
    <x v="34"/>
    <x v="1"/>
    <x v="0"/>
    <x v="3"/>
    <x v="2"/>
    <x v="11"/>
    <x v="142"/>
    <x v="1"/>
    <x v="0"/>
  </r>
  <r>
    <x v="143"/>
    <x v="33"/>
    <x v="1"/>
    <x v="5"/>
    <x v="2"/>
    <x v="2"/>
    <x v="4"/>
    <x v="143"/>
    <x v="0"/>
    <x v="3"/>
  </r>
  <r>
    <x v="144"/>
    <x v="2"/>
    <x v="0"/>
    <x v="5"/>
    <x v="1"/>
    <x v="2"/>
    <x v="6"/>
    <x v="144"/>
    <x v="0"/>
    <x v="4"/>
  </r>
  <r>
    <x v="145"/>
    <x v="69"/>
    <x v="1"/>
    <x v="3"/>
    <x v="3"/>
    <x v="1"/>
    <x v="0"/>
    <x v="145"/>
    <x v="0"/>
    <x v="1"/>
  </r>
  <r>
    <x v="146"/>
    <x v="15"/>
    <x v="0"/>
    <x v="6"/>
    <x v="4"/>
    <x v="2"/>
    <x v="2"/>
    <x v="146"/>
    <x v="1"/>
    <x v="0"/>
  </r>
  <r>
    <x v="147"/>
    <x v="52"/>
    <x v="1"/>
    <x v="6"/>
    <x v="7"/>
    <x v="2"/>
    <x v="1"/>
    <x v="147"/>
    <x v="1"/>
    <x v="3"/>
  </r>
  <r>
    <x v="148"/>
    <x v="58"/>
    <x v="1"/>
    <x v="6"/>
    <x v="7"/>
    <x v="0"/>
    <x v="12"/>
    <x v="148"/>
    <x v="1"/>
    <x v="4"/>
  </r>
  <r>
    <x v="149"/>
    <x v="61"/>
    <x v="1"/>
    <x v="1"/>
    <x v="2"/>
    <x v="0"/>
    <x v="8"/>
    <x v="149"/>
    <x v="1"/>
    <x v="1"/>
  </r>
  <r>
    <x v="150"/>
    <x v="56"/>
    <x v="0"/>
    <x v="4"/>
    <x v="7"/>
    <x v="2"/>
    <x v="6"/>
    <x v="150"/>
    <x v="0"/>
    <x v="4"/>
  </r>
  <r>
    <x v="151"/>
    <x v="70"/>
    <x v="0"/>
    <x v="6"/>
    <x v="5"/>
    <x v="2"/>
    <x v="4"/>
    <x v="151"/>
    <x v="0"/>
    <x v="1"/>
  </r>
  <r>
    <x v="152"/>
    <x v="71"/>
    <x v="0"/>
    <x v="2"/>
    <x v="3"/>
    <x v="0"/>
    <x v="5"/>
    <x v="152"/>
    <x v="1"/>
    <x v="3"/>
  </r>
  <r>
    <x v="153"/>
    <x v="18"/>
    <x v="0"/>
    <x v="7"/>
    <x v="3"/>
    <x v="0"/>
    <x v="12"/>
    <x v="153"/>
    <x v="0"/>
    <x v="1"/>
  </r>
  <r>
    <x v="154"/>
    <x v="15"/>
    <x v="1"/>
    <x v="1"/>
    <x v="3"/>
    <x v="1"/>
    <x v="11"/>
    <x v="154"/>
    <x v="1"/>
    <x v="1"/>
  </r>
  <r>
    <x v="155"/>
    <x v="67"/>
    <x v="0"/>
    <x v="3"/>
    <x v="0"/>
    <x v="0"/>
    <x v="5"/>
    <x v="155"/>
    <x v="1"/>
    <x v="2"/>
  </r>
  <r>
    <x v="156"/>
    <x v="65"/>
    <x v="1"/>
    <x v="9"/>
    <x v="5"/>
    <x v="1"/>
    <x v="5"/>
    <x v="156"/>
    <x v="1"/>
    <x v="4"/>
  </r>
  <r>
    <x v="157"/>
    <x v="63"/>
    <x v="1"/>
    <x v="8"/>
    <x v="6"/>
    <x v="1"/>
    <x v="11"/>
    <x v="157"/>
    <x v="1"/>
    <x v="2"/>
  </r>
  <r>
    <x v="158"/>
    <x v="25"/>
    <x v="0"/>
    <x v="0"/>
    <x v="6"/>
    <x v="2"/>
    <x v="4"/>
    <x v="158"/>
    <x v="0"/>
    <x v="0"/>
  </r>
  <r>
    <x v="159"/>
    <x v="72"/>
    <x v="1"/>
    <x v="5"/>
    <x v="8"/>
    <x v="0"/>
    <x v="8"/>
    <x v="159"/>
    <x v="0"/>
    <x v="4"/>
  </r>
  <r>
    <x v="160"/>
    <x v="31"/>
    <x v="0"/>
    <x v="6"/>
    <x v="7"/>
    <x v="2"/>
    <x v="12"/>
    <x v="160"/>
    <x v="1"/>
    <x v="1"/>
  </r>
  <r>
    <x v="161"/>
    <x v="41"/>
    <x v="1"/>
    <x v="9"/>
    <x v="4"/>
    <x v="1"/>
    <x v="0"/>
    <x v="161"/>
    <x v="0"/>
    <x v="3"/>
  </r>
  <r>
    <x v="162"/>
    <x v="40"/>
    <x v="0"/>
    <x v="1"/>
    <x v="9"/>
    <x v="1"/>
    <x v="7"/>
    <x v="162"/>
    <x v="0"/>
    <x v="3"/>
  </r>
  <r>
    <x v="163"/>
    <x v="54"/>
    <x v="1"/>
    <x v="1"/>
    <x v="7"/>
    <x v="0"/>
    <x v="9"/>
    <x v="163"/>
    <x v="1"/>
    <x v="3"/>
  </r>
  <r>
    <x v="164"/>
    <x v="28"/>
    <x v="1"/>
    <x v="4"/>
    <x v="4"/>
    <x v="0"/>
    <x v="10"/>
    <x v="164"/>
    <x v="1"/>
    <x v="4"/>
  </r>
  <r>
    <x v="165"/>
    <x v="31"/>
    <x v="1"/>
    <x v="8"/>
    <x v="6"/>
    <x v="2"/>
    <x v="9"/>
    <x v="165"/>
    <x v="1"/>
    <x v="4"/>
  </r>
  <r>
    <x v="166"/>
    <x v="54"/>
    <x v="1"/>
    <x v="5"/>
    <x v="5"/>
    <x v="1"/>
    <x v="7"/>
    <x v="166"/>
    <x v="1"/>
    <x v="2"/>
  </r>
  <r>
    <x v="167"/>
    <x v="57"/>
    <x v="1"/>
    <x v="0"/>
    <x v="0"/>
    <x v="2"/>
    <x v="3"/>
    <x v="167"/>
    <x v="1"/>
    <x v="4"/>
  </r>
  <r>
    <x v="168"/>
    <x v="66"/>
    <x v="0"/>
    <x v="0"/>
    <x v="8"/>
    <x v="0"/>
    <x v="12"/>
    <x v="168"/>
    <x v="1"/>
    <x v="1"/>
  </r>
  <r>
    <x v="169"/>
    <x v="26"/>
    <x v="1"/>
    <x v="5"/>
    <x v="2"/>
    <x v="2"/>
    <x v="14"/>
    <x v="169"/>
    <x v="1"/>
    <x v="2"/>
  </r>
  <r>
    <x v="170"/>
    <x v="73"/>
    <x v="1"/>
    <x v="0"/>
    <x v="4"/>
    <x v="2"/>
    <x v="12"/>
    <x v="170"/>
    <x v="0"/>
    <x v="0"/>
  </r>
  <r>
    <x v="171"/>
    <x v="57"/>
    <x v="1"/>
    <x v="6"/>
    <x v="6"/>
    <x v="1"/>
    <x v="8"/>
    <x v="171"/>
    <x v="0"/>
    <x v="0"/>
  </r>
  <r>
    <x v="172"/>
    <x v="74"/>
    <x v="1"/>
    <x v="3"/>
    <x v="3"/>
    <x v="2"/>
    <x v="9"/>
    <x v="172"/>
    <x v="0"/>
    <x v="3"/>
  </r>
  <r>
    <x v="173"/>
    <x v="36"/>
    <x v="1"/>
    <x v="2"/>
    <x v="9"/>
    <x v="1"/>
    <x v="14"/>
    <x v="173"/>
    <x v="0"/>
    <x v="2"/>
  </r>
  <r>
    <x v="174"/>
    <x v="7"/>
    <x v="1"/>
    <x v="9"/>
    <x v="8"/>
    <x v="0"/>
    <x v="13"/>
    <x v="174"/>
    <x v="1"/>
    <x v="1"/>
  </r>
  <r>
    <x v="175"/>
    <x v="45"/>
    <x v="1"/>
    <x v="5"/>
    <x v="9"/>
    <x v="1"/>
    <x v="13"/>
    <x v="175"/>
    <x v="1"/>
    <x v="1"/>
  </r>
  <r>
    <x v="176"/>
    <x v="5"/>
    <x v="0"/>
    <x v="6"/>
    <x v="6"/>
    <x v="2"/>
    <x v="1"/>
    <x v="176"/>
    <x v="1"/>
    <x v="2"/>
  </r>
  <r>
    <x v="177"/>
    <x v="41"/>
    <x v="1"/>
    <x v="4"/>
    <x v="0"/>
    <x v="2"/>
    <x v="1"/>
    <x v="177"/>
    <x v="0"/>
    <x v="2"/>
  </r>
  <r>
    <x v="178"/>
    <x v="70"/>
    <x v="1"/>
    <x v="9"/>
    <x v="7"/>
    <x v="1"/>
    <x v="14"/>
    <x v="178"/>
    <x v="1"/>
    <x v="1"/>
  </r>
  <r>
    <x v="179"/>
    <x v="75"/>
    <x v="0"/>
    <x v="7"/>
    <x v="8"/>
    <x v="2"/>
    <x v="7"/>
    <x v="179"/>
    <x v="0"/>
    <x v="0"/>
  </r>
  <r>
    <x v="180"/>
    <x v="33"/>
    <x v="0"/>
    <x v="0"/>
    <x v="4"/>
    <x v="2"/>
    <x v="12"/>
    <x v="180"/>
    <x v="0"/>
    <x v="4"/>
  </r>
  <r>
    <x v="181"/>
    <x v="62"/>
    <x v="0"/>
    <x v="3"/>
    <x v="1"/>
    <x v="1"/>
    <x v="2"/>
    <x v="181"/>
    <x v="1"/>
    <x v="0"/>
  </r>
  <r>
    <x v="182"/>
    <x v="69"/>
    <x v="0"/>
    <x v="9"/>
    <x v="4"/>
    <x v="1"/>
    <x v="4"/>
    <x v="182"/>
    <x v="1"/>
    <x v="0"/>
  </r>
  <r>
    <x v="183"/>
    <x v="53"/>
    <x v="0"/>
    <x v="1"/>
    <x v="0"/>
    <x v="1"/>
    <x v="3"/>
    <x v="183"/>
    <x v="0"/>
    <x v="3"/>
  </r>
  <r>
    <x v="184"/>
    <x v="11"/>
    <x v="0"/>
    <x v="6"/>
    <x v="9"/>
    <x v="1"/>
    <x v="13"/>
    <x v="184"/>
    <x v="0"/>
    <x v="4"/>
  </r>
  <r>
    <x v="185"/>
    <x v="58"/>
    <x v="0"/>
    <x v="0"/>
    <x v="6"/>
    <x v="1"/>
    <x v="13"/>
    <x v="185"/>
    <x v="1"/>
    <x v="2"/>
  </r>
  <r>
    <x v="186"/>
    <x v="2"/>
    <x v="0"/>
    <x v="2"/>
    <x v="3"/>
    <x v="0"/>
    <x v="13"/>
    <x v="186"/>
    <x v="1"/>
    <x v="1"/>
  </r>
  <r>
    <x v="187"/>
    <x v="1"/>
    <x v="1"/>
    <x v="3"/>
    <x v="0"/>
    <x v="1"/>
    <x v="2"/>
    <x v="187"/>
    <x v="0"/>
    <x v="2"/>
  </r>
  <r>
    <x v="188"/>
    <x v="65"/>
    <x v="1"/>
    <x v="8"/>
    <x v="1"/>
    <x v="2"/>
    <x v="7"/>
    <x v="188"/>
    <x v="1"/>
    <x v="2"/>
  </r>
  <r>
    <x v="189"/>
    <x v="40"/>
    <x v="1"/>
    <x v="5"/>
    <x v="4"/>
    <x v="1"/>
    <x v="3"/>
    <x v="189"/>
    <x v="1"/>
    <x v="0"/>
  </r>
  <r>
    <x v="190"/>
    <x v="60"/>
    <x v="1"/>
    <x v="7"/>
    <x v="3"/>
    <x v="0"/>
    <x v="14"/>
    <x v="190"/>
    <x v="1"/>
    <x v="2"/>
  </r>
  <r>
    <x v="191"/>
    <x v="29"/>
    <x v="1"/>
    <x v="3"/>
    <x v="2"/>
    <x v="0"/>
    <x v="9"/>
    <x v="191"/>
    <x v="1"/>
    <x v="2"/>
  </r>
  <r>
    <x v="192"/>
    <x v="40"/>
    <x v="1"/>
    <x v="3"/>
    <x v="3"/>
    <x v="0"/>
    <x v="9"/>
    <x v="192"/>
    <x v="0"/>
    <x v="1"/>
  </r>
  <r>
    <x v="193"/>
    <x v="50"/>
    <x v="0"/>
    <x v="9"/>
    <x v="0"/>
    <x v="1"/>
    <x v="9"/>
    <x v="193"/>
    <x v="1"/>
    <x v="0"/>
  </r>
  <r>
    <x v="194"/>
    <x v="60"/>
    <x v="1"/>
    <x v="7"/>
    <x v="7"/>
    <x v="1"/>
    <x v="11"/>
    <x v="194"/>
    <x v="1"/>
    <x v="0"/>
  </r>
  <r>
    <x v="195"/>
    <x v="76"/>
    <x v="0"/>
    <x v="6"/>
    <x v="6"/>
    <x v="2"/>
    <x v="11"/>
    <x v="195"/>
    <x v="1"/>
    <x v="1"/>
  </r>
  <r>
    <x v="196"/>
    <x v="1"/>
    <x v="1"/>
    <x v="4"/>
    <x v="8"/>
    <x v="2"/>
    <x v="4"/>
    <x v="196"/>
    <x v="0"/>
    <x v="0"/>
  </r>
  <r>
    <x v="197"/>
    <x v="61"/>
    <x v="0"/>
    <x v="6"/>
    <x v="8"/>
    <x v="2"/>
    <x v="1"/>
    <x v="197"/>
    <x v="1"/>
    <x v="2"/>
  </r>
  <r>
    <x v="198"/>
    <x v="72"/>
    <x v="0"/>
    <x v="5"/>
    <x v="4"/>
    <x v="1"/>
    <x v="7"/>
    <x v="198"/>
    <x v="0"/>
    <x v="4"/>
  </r>
  <r>
    <x v="199"/>
    <x v="77"/>
    <x v="1"/>
    <x v="3"/>
    <x v="9"/>
    <x v="2"/>
    <x v="7"/>
    <x v="199"/>
    <x v="0"/>
    <x v="2"/>
  </r>
  <r>
    <x v="200"/>
    <x v="63"/>
    <x v="0"/>
    <x v="3"/>
    <x v="0"/>
    <x v="0"/>
    <x v="3"/>
    <x v="200"/>
    <x v="0"/>
    <x v="3"/>
  </r>
  <r>
    <x v="201"/>
    <x v="20"/>
    <x v="0"/>
    <x v="1"/>
    <x v="6"/>
    <x v="2"/>
    <x v="8"/>
    <x v="201"/>
    <x v="1"/>
    <x v="2"/>
  </r>
  <r>
    <x v="202"/>
    <x v="25"/>
    <x v="0"/>
    <x v="3"/>
    <x v="4"/>
    <x v="0"/>
    <x v="12"/>
    <x v="202"/>
    <x v="1"/>
    <x v="1"/>
  </r>
  <r>
    <x v="203"/>
    <x v="78"/>
    <x v="0"/>
    <x v="6"/>
    <x v="1"/>
    <x v="1"/>
    <x v="3"/>
    <x v="203"/>
    <x v="0"/>
    <x v="0"/>
  </r>
  <r>
    <x v="204"/>
    <x v="73"/>
    <x v="1"/>
    <x v="8"/>
    <x v="4"/>
    <x v="2"/>
    <x v="5"/>
    <x v="204"/>
    <x v="1"/>
    <x v="2"/>
  </r>
  <r>
    <x v="205"/>
    <x v="23"/>
    <x v="1"/>
    <x v="2"/>
    <x v="8"/>
    <x v="1"/>
    <x v="14"/>
    <x v="205"/>
    <x v="0"/>
    <x v="4"/>
  </r>
  <r>
    <x v="206"/>
    <x v="60"/>
    <x v="1"/>
    <x v="2"/>
    <x v="8"/>
    <x v="1"/>
    <x v="2"/>
    <x v="206"/>
    <x v="0"/>
    <x v="0"/>
  </r>
  <r>
    <x v="207"/>
    <x v="40"/>
    <x v="0"/>
    <x v="6"/>
    <x v="4"/>
    <x v="2"/>
    <x v="13"/>
    <x v="207"/>
    <x v="1"/>
    <x v="3"/>
  </r>
  <r>
    <x v="208"/>
    <x v="45"/>
    <x v="0"/>
    <x v="5"/>
    <x v="6"/>
    <x v="0"/>
    <x v="0"/>
    <x v="208"/>
    <x v="0"/>
    <x v="0"/>
  </r>
  <r>
    <x v="209"/>
    <x v="79"/>
    <x v="0"/>
    <x v="3"/>
    <x v="9"/>
    <x v="1"/>
    <x v="9"/>
    <x v="209"/>
    <x v="1"/>
    <x v="3"/>
  </r>
  <r>
    <x v="210"/>
    <x v="34"/>
    <x v="0"/>
    <x v="7"/>
    <x v="9"/>
    <x v="0"/>
    <x v="3"/>
    <x v="210"/>
    <x v="1"/>
    <x v="1"/>
  </r>
  <r>
    <x v="211"/>
    <x v="27"/>
    <x v="0"/>
    <x v="2"/>
    <x v="5"/>
    <x v="2"/>
    <x v="7"/>
    <x v="211"/>
    <x v="1"/>
    <x v="3"/>
  </r>
  <r>
    <x v="212"/>
    <x v="10"/>
    <x v="1"/>
    <x v="2"/>
    <x v="9"/>
    <x v="1"/>
    <x v="8"/>
    <x v="212"/>
    <x v="1"/>
    <x v="2"/>
  </r>
  <r>
    <x v="213"/>
    <x v="67"/>
    <x v="0"/>
    <x v="8"/>
    <x v="4"/>
    <x v="0"/>
    <x v="12"/>
    <x v="213"/>
    <x v="0"/>
    <x v="4"/>
  </r>
  <r>
    <x v="214"/>
    <x v="20"/>
    <x v="1"/>
    <x v="4"/>
    <x v="7"/>
    <x v="1"/>
    <x v="1"/>
    <x v="214"/>
    <x v="1"/>
    <x v="3"/>
  </r>
  <r>
    <x v="215"/>
    <x v="80"/>
    <x v="0"/>
    <x v="6"/>
    <x v="4"/>
    <x v="2"/>
    <x v="10"/>
    <x v="215"/>
    <x v="1"/>
    <x v="2"/>
  </r>
  <r>
    <x v="216"/>
    <x v="31"/>
    <x v="0"/>
    <x v="9"/>
    <x v="0"/>
    <x v="0"/>
    <x v="7"/>
    <x v="216"/>
    <x v="1"/>
    <x v="0"/>
  </r>
  <r>
    <x v="217"/>
    <x v="11"/>
    <x v="1"/>
    <x v="1"/>
    <x v="5"/>
    <x v="2"/>
    <x v="12"/>
    <x v="217"/>
    <x v="0"/>
    <x v="2"/>
  </r>
  <r>
    <x v="218"/>
    <x v="7"/>
    <x v="1"/>
    <x v="1"/>
    <x v="6"/>
    <x v="2"/>
    <x v="4"/>
    <x v="218"/>
    <x v="0"/>
    <x v="0"/>
  </r>
  <r>
    <x v="219"/>
    <x v="0"/>
    <x v="1"/>
    <x v="6"/>
    <x v="4"/>
    <x v="1"/>
    <x v="12"/>
    <x v="219"/>
    <x v="0"/>
    <x v="2"/>
  </r>
  <r>
    <x v="220"/>
    <x v="31"/>
    <x v="1"/>
    <x v="5"/>
    <x v="4"/>
    <x v="1"/>
    <x v="10"/>
    <x v="220"/>
    <x v="1"/>
    <x v="3"/>
  </r>
  <r>
    <x v="221"/>
    <x v="12"/>
    <x v="1"/>
    <x v="6"/>
    <x v="0"/>
    <x v="1"/>
    <x v="9"/>
    <x v="221"/>
    <x v="0"/>
    <x v="4"/>
  </r>
  <r>
    <x v="222"/>
    <x v="64"/>
    <x v="1"/>
    <x v="4"/>
    <x v="7"/>
    <x v="2"/>
    <x v="5"/>
    <x v="222"/>
    <x v="1"/>
    <x v="0"/>
  </r>
  <r>
    <x v="223"/>
    <x v="42"/>
    <x v="0"/>
    <x v="4"/>
    <x v="0"/>
    <x v="1"/>
    <x v="14"/>
    <x v="223"/>
    <x v="0"/>
    <x v="0"/>
  </r>
  <r>
    <x v="224"/>
    <x v="57"/>
    <x v="0"/>
    <x v="8"/>
    <x v="2"/>
    <x v="0"/>
    <x v="9"/>
    <x v="224"/>
    <x v="1"/>
    <x v="0"/>
  </r>
  <r>
    <x v="225"/>
    <x v="55"/>
    <x v="0"/>
    <x v="8"/>
    <x v="8"/>
    <x v="2"/>
    <x v="14"/>
    <x v="225"/>
    <x v="1"/>
    <x v="1"/>
  </r>
  <r>
    <x v="226"/>
    <x v="50"/>
    <x v="0"/>
    <x v="9"/>
    <x v="2"/>
    <x v="2"/>
    <x v="8"/>
    <x v="226"/>
    <x v="0"/>
    <x v="3"/>
  </r>
  <r>
    <x v="227"/>
    <x v="81"/>
    <x v="0"/>
    <x v="9"/>
    <x v="3"/>
    <x v="2"/>
    <x v="6"/>
    <x v="227"/>
    <x v="1"/>
    <x v="2"/>
  </r>
  <r>
    <x v="228"/>
    <x v="4"/>
    <x v="0"/>
    <x v="1"/>
    <x v="4"/>
    <x v="0"/>
    <x v="11"/>
    <x v="228"/>
    <x v="0"/>
    <x v="3"/>
  </r>
  <r>
    <x v="229"/>
    <x v="21"/>
    <x v="0"/>
    <x v="7"/>
    <x v="6"/>
    <x v="2"/>
    <x v="8"/>
    <x v="229"/>
    <x v="0"/>
    <x v="4"/>
  </r>
  <r>
    <x v="230"/>
    <x v="20"/>
    <x v="0"/>
    <x v="1"/>
    <x v="6"/>
    <x v="2"/>
    <x v="6"/>
    <x v="230"/>
    <x v="0"/>
    <x v="1"/>
  </r>
  <r>
    <x v="231"/>
    <x v="82"/>
    <x v="1"/>
    <x v="4"/>
    <x v="5"/>
    <x v="1"/>
    <x v="3"/>
    <x v="231"/>
    <x v="0"/>
    <x v="0"/>
  </r>
  <r>
    <x v="232"/>
    <x v="83"/>
    <x v="0"/>
    <x v="3"/>
    <x v="9"/>
    <x v="2"/>
    <x v="5"/>
    <x v="232"/>
    <x v="1"/>
    <x v="1"/>
  </r>
  <r>
    <x v="233"/>
    <x v="67"/>
    <x v="1"/>
    <x v="9"/>
    <x v="7"/>
    <x v="2"/>
    <x v="6"/>
    <x v="233"/>
    <x v="1"/>
    <x v="2"/>
  </r>
  <r>
    <x v="234"/>
    <x v="12"/>
    <x v="0"/>
    <x v="9"/>
    <x v="2"/>
    <x v="2"/>
    <x v="2"/>
    <x v="234"/>
    <x v="1"/>
    <x v="2"/>
  </r>
  <r>
    <x v="235"/>
    <x v="46"/>
    <x v="0"/>
    <x v="8"/>
    <x v="4"/>
    <x v="2"/>
    <x v="7"/>
    <x v="235"/>
    <x v="0"/>
    <x v="1"/>
  </r>
  <r>
    <x v="236"/>
    <x v="71"/>
    <x v="1"/>
    <x v="9"/>
    <x v="8"/>
    <x v="0"/>
    <x v="11"/>
    <x v="236"/>
    <x v="1"/>
    <x v="1"/>
  </r>
  <r>
    <x v="237"/>
    <x v="14"/>
    <x v="1"/>
    <x v="3"/>
    <x v="7"/>
    <x v="0"/>
    <x v="5"/>
    <x v="237"/>
    <x v="1"/>
    <x v="3"/>
  </r>
  <r>
    <x v="238"/>
    <x v="46"/>
    <x v="0"/>
    <x v="2"/>
    <x v="1"/>
    <x v="0"/>
    <x v="12"/>
    <x v="238"/>
    <x v="1"/>
    <x v="1"/>
  </r>
  <r>
    <x v="239"/>
    <x v="72"/>
    <x v="1"/>
    <x v="3"/>
    <x v="2"/>
    <x v="2"/>
    <x v="7"/>
    <x v="239"/>
    <x v="0"/>
    <x v="2"/>
  </r>
  <r>
    <x v="240"/>
    <x v="9"/>
    <x v="0"/>
    <x v="1"/>
    <x v="0"/>
    <x v="1"/>
    <x v="14"/>
    <x v="240"/>
    <x v="1"/>
    <x v="2"/>
  </r>
  <r>
    <x v="241"/>
    <x v="4"/>
    <x v="0"/>
    <x v="7"/>
    <x v="2"/>
    <x v="1"/>
    <x v="3"/>
    <x v="241"/>
    <x v="0"/>
    <x v="2"/>
  </r>
  <r>
    <x v="242"/>
    <x v="77"/>
    <x v="1"/>
    <x v="1"/>
    <x v="3"/>
    <x v="1"/>
    <x v="13"/>
    <x v="242"/>
    <x v="0"/>
    <x v="3"/>
  </r>
  <r>
    <x v="243"/>
    <x v="43"/>
    <x v="1"/>
    <x v="5"/>
    <x v="6"/>
    <x v="0"/>
    <x v="3"/>
    <x v="243"/>
    <x v="1"/>
    <x v="2"/>
  </r>
  <r>
    <x v="244"/>
    <x v="46"/>
    <x v="0"/>
    <x v="3"/>
    <x v="0"/>
    <x v="0"/>
    <x v="3"/>
    <x v="244"/>
    <x v="0"/>
    <x v="0"/>
  </r>
  <r>
    <x v="245"/>
    <x v="80"/>
    <x v="1"/>
    <x v="4"/>
    <x v="1"/>
    <x v="0"/>
    <x v="14"/>
    <x v="245"/>
    <x v="0"/>
    <x v="2"/>
  </r>
  <r>
    <x v="246"/>
    <x v="31"/>
    <x v="1"/>
    <x v="2"/>
    <x v="7"/>
    <x v="2"/>
    <x v="3"/>
    <x v="246"/>
    <x v="1"/>
    <x v="3"/>
  </r>
  <r>
    <x v="247"/>
    <x v="43"/>
    <x v="0"/>
    <x v="7"/>
    <x v="0"/>
    <x v="1"/>
    <x v="0"/>
    <x v="247"/>
    <x v="0"/>
    <x v="2"/>
  </r>
  <r>
    <x v="248"/>
    <x v="84"/>
    <x v="0"/>
    <x v="9"/>
    <x v="6"/>
    <x v="2"/>
    <x v="10"/>
    <x v="248"/>
    <x v="0"/>
    <x v="3"/>
  </r>
  <r>
    <x v="249"/>
    <x v="10"/>
    <x v="0"/>
    <x v="1"/>
    <x v="2"/>
    <x v="2"/>
    <x v="14"/>
    <x v="249"/>
    <x v="1"/>
    <x v="2"/>
  </r>
  <r>
    <x v="250"/>
    <x v="10"/>
    <x v="0"/>
    <x v="0"/>
    <x v="4"/>
    <x v="0"/>
    <x v="9"/>
    <x v="250"/>
    <x v="1"/>
    <x v="3"/>
  </r>
  <r>
    <x v="251"/>
    <x v="35"/>
    <x v="1"/>
    <x v="1"/>
    <x v="9"/>
    <x v="0"/>
    <x v="6"/>
    <x v="251"/>
    <x v="0"/>
    <x v="1"/>
  </r>
  <r>
    <x v="252"/>
    <x v="16"/>
    <x v="1"/>
    <x v="0"/>
    <x v="3"/>
    <x v="0"/>
    <x v="14"/>
    <x v="252"/>
    <x v="0"/>
    <x v="4"/>
  </r>
  <r>
    <x v="253"/>
    <x v="39"/>
    <x v="1"/>
    <x v="0"/>
    <x v="8"/>
    <x v="0"/>
    <x v="0"/>
    <x v="253"/>
    <x v="1"/>
    <x v="1"/>
  </r>
  <r>
    <x v="254"/>
    <x v="16"/>
    <x v="1"/>
    <x v="8"/>
    <x v="9"/>
    <x v="1"/>
    <x v="7"/>
    <x v="254"/>
    <x v="1"/>
    <x v="3"/>
  </r>
  <r>
    <x v="255"/>
    <x v="39"/>
    <x v="1"/>
    <x v="6"/>
    <x v="3"/>
    <x v="1"/>
    <x v="12"/>
    <x v="255"/>
    <x v="0"/>
    <x v="3"/>
  </r>
  <r>
    <x v="256"/>
    <x v="85"/>
    <x v="1"/>
    <x v="7"/>
    <x v="8"/>
    <x v="2"/>
    <x v="12"/>
    <x v="256"/>
    <x v="1"/>
    <x v="3"/>
  </r>
  <r>
    <x v="257"/>
    <x v="28"/>
    <x v="0"/>
    <x v="3"/>
    <x v="7"/>
    <x v="0"/>
    <x v="9"/>
    <x v="257"/>
    <x v="0"/>
    <x v="4"/>
  </r>
  <r>
    <x v="258"/>
    <x v="5"/>
    <x v="0"/>
    <x v="3"/>
    <x v="2"/>
    <x v="1"/>
    <x v="11"/>
    <x v="258"/>
    <x v="1"/>
    <x v="1"/>
  </r>
  <r>
    <x v="259"/>
    <x v="25"/>
    <x v="0"/>
    <x v="8"/>
    <x v="5"/>
    <x v="2"/>
    <x v="0"/>
    <x v="259"/>
    <x v="1"/>
    <x v="2"/>
  </r>
  <r>
    <x v="260"/>
    <x v="28"/>
    <x v="1"/>
    <x v="6"/>
    <x v="9"/>
    <x v="1"/>
    <x v="3"/>
    <x v="260"/>
    <x v="1"/>
    <x v="1"/>
  </r>
  <r>
    <x v="261"/>
    <x v="83"/>
    <x v="1"/>
    <x v="1"/>
    <x v="8"/>
    <x v="0"/>
    <x v="12"/>
    <x v="261"/>
    <x v="0"/>
    <x v="0"/>
  </r>
  <r>
    <x v="262"/>
    <x v="56"/>
    <x v="0"/>
    <x v="2"/>
    <x v="0"/>
    <x v="2"/>
    <x v="6"/>
    <x v="262"/>
    <x v="0"/>
    <x v="0"/>
  </r>
  <r>
    <x v="263"/>
    <x v="80"/>
    <x v="1"/>
    <x v="1"/>
    <x v="3"/>
    <x v="2"/>
    <x v="9"/>
    <x v="263"/>
    <x v="1"/>
    <x v="4"/>
  </r>
  <r>
    <x v="264"/>
    <x v="25"/>
    <x v="0"/>
    <x v="0"/>
    <x v="1"/>
    <x v="0"/>
    <x v="0"/>
    <x v="264"/>
    <x v="0"/>
    <x v="1"/>
  </r>
  <r>
    <x v="265"/>
    <x v="29"/>
    <x v="1"/>
    <x v="9"/>
    <x v="3"/>
    <x v="1"/>
    <x v="4"/>
    <x v="265"/>
    <x v="0"/>
    <x v="2"/>
  </r>
  <r>
    <x v="266"/>
    <x v="65"/>
    <x v="1"/>
    <x v="0"/>
    <x v="0"/>
    <x v="1"/>
    <x v="0"/>
    <x v="266"/>
    <x v="0"/>
    <x v="0"/>
  </r>
  <r>
    <x v="267"/>
    <x v="65"/>
    <x v="0"/>
    <x v="6"/>
    <x v="5"/>
    <x v="2"/>
    <x v="1"/>
    <x v="267"/>
    <x v="0"/>
    <x v="4"/>
  </r>
  <r>
    <x v="268"/>
    <x v="71"/>
    <x v="0"/>
    <x v="7"/>
    <x v="0"/>
    <x v="1"/>
    <x v="3"/>
    <x v="268"/>
    <x v="0"/>
    <x v="1"/>
  </r>
  <r>
    <x v="269"/>
    <x v="76"/>
    <x v="1"/>
    <x v="9"/>
    <x v="5"/>
    <x v="2"/>
    <x v="7"/>
    <x v="269"/>
    <x v="0"/>
    <x v="4"/>
  </r>
  <r>
    <x v="270"/>
    <x v="72"/>
    <x v="1"/>
    <x v="8"/>
    <x v="9"/>
    <x v="0"/>
    <x v="14"/>
    <x v="270"/>
    <x v="1"/>
    <x v="1"/>
  </r>
  <r>
    <x v="271"/>
    <x v="50"/>
    <x v="1"/>
    <x v="4"/>
    <x v="0"/>
    <x v="1"/>
    <x v="8"/>
    <x v="271"/>
    <x v="0"/>
    <x v="1"/>
  </r>
  <r>
    <x v="272"/>
    <x v="10"/>
    <x v="1"/>
    <x v="5"/>
    <x v="0"/>
    <x v="1"/>
    <x v="3"/>
    <x v="272"/>
    <x v="0"/>
    <x v="2"/>
  </r>
  <r>
    <x v="273"/>
    <x v="81"/>
    <x v="0"/>
    <x v="5"/>
    <x v="8"/>
    <x v="0"/>
    <x v="1"/>
    <x v="273"/>
    <x v="1"/>
    <x v="1"/>
  </r>
  <r>
    <x v="274"/>
    <x v="67"/>
    <x v="1"/>
    <x v="5"/>
    <x v="0"/>
    <x v="2"/>
    <x v="14"/>
    <x v="274"/>
    <x v="1"/>
    <x v="3"/>
  </r>
  <r>
    <x v="275"/>
    <x v="22"/>
    <x v="0"/>
    <x v="6"/>
    <x v="5"/>
    <x v="2"/>
    <x v="10"/>
    <x v="275"/>
    <x v="1"/>
    <x v="3"/>
  </r>
  <r>
    <x v="276"/>
    <x v="17"/>
    <x v="1"/>
    <x v="6"/>
    <x v="0"/>
    <x v="1"/>
    <x v="12"/>
    <x v="276"/>
    <x v="0"/>
    <x v="2"/>
  </r>
  <r>
    <x v="277"/>
    <x v="31"/>
    <x v="0"/>
    <x v="3"/>
    <x v="9"/>
    <x v="1"/>
    <x v="4"/>
    <x v="277"/>
    <x v="1"/>
    <x v="3"/>
  </r>
  <r>
    <x v="278"/>
    <x v="43"/>
    <x v="1"/>
    <x v="0"/>
    <x v="5"/>
    <x v="2"/>
    <x v="0"/>
    <x v="2"/>
    <x v="1"/>
    <x v="4"/>
  </r>
  <r>
    <x v="279"/>
    <x v="7"/>
    <x v="0"/>
    <x v="2"/>
    <x v="1"/>
    <x v="0"/>
    <x v="3"/>
    <x v="278"/>
    <x v="0"/>
    <x v="0"/>
  </r>
  <r>
    <x v="280"/>
    <x v="56"/>
    <x v="1"/>
    <x v="0"/>
    <x v="9"/>
    <x v="2"/>
    <x v="1"/>
    <x v="279"/>
    <x v="0"/>
    <x v="0"/>
  </r>
  <r>
    <x v="281"/>
    <x v="13"/>
    <x v="1"/>
    <x v="2"/>
    <x v="5"/>
    <x v="1"/>
    <x v="4"/>
    <x v="280"/>
    <x v="1"/>
    <x v="2"/>
  </r>
  <r>
    <x v="282"/>
    <x v="71"/>
    <x v="1"/>
    <x v="8"/>
    <x v="2"/>
    <x v="0"/>
    <x v="11"/>
    <x v="281"/>
    <x v="0"/>
    <x v="4"/>
  </r>
  <r>
    <x v="283"/>
    <x v="46"/>
    <x v="0"/>
    <x v="8"/>
    <x v="3"/>
    <x v="2"/>
    <x v="10"/>
    <x v="282"/>
    <x v="0"/>
    <x v="1"/>
  </r>
  <r>
    <x v="284"/>
    <x v="62"/>
    <x v="0"/>
    <x v="2"/>
    <x v="1"/>
    <x v="2"/>
    <x v="4"/>
    <x v="283"/>
    <x v="0"/>
    <x v="1"/>
  </r>
  <r>
    <x v="285"/>
    <x v="44"/>
    <x v="1"/>
    <x v="8"/>
    <x v="3"/>
    <x v="2"/>
    <x v="11"/>
    <x v="284"/>
    <x v="0"/>
    <x v="1"/>
  </r>
  <r>
    <x v="286"/>
    <x v="39"/>
    <x v="1"/>
    <x v="1"/>
    <x v="5"/>
    <x v="2"/>
    <x v="8"/>
    <x v="285"/>
    <x v="1"/>
    <x v="3"/>
  </r>
  <r>
    <x v="287"/>
    <x v="55"/>
    <x v="1"/>
    <x v="1"/>
    <x v="8"/>
    <x v="0"/>
    <x v="4"/>
    <x v="286"/>
    <x v="1"/>
    <x v="4"/>
  </r>
  <r>
    <x v="288"/>
    <x v="17"/>
    <x v="0"/>
    <x v="7"/>
    <x v="8"/>
    <x v="2"/>
    <x v="14"/>
    <x v="287"/>
    <x v="0"/>
    <x v="0"/>
  </r>
  <r>
    <x v="289"/>
    <x v="80"/>
    <x v="0"/>
    <x v="2"/>
    <x v="5"/>
    <x v="0"/>
    <x v="14"/>
    <x v="288"/>
    <x v="0"/>
    <x v="3"/>
  </r>
  <r>
    <x v="290"/>
    <x v="36"/>
    <x v="1"/>
    <x v="3"/>
    <x v="6"/>
    <x v="0"/>
    <x v="1"/>
    <x v="289"/>
    <x v="1"/>
    <x v="3"/>
  </r>
  <r>
    <x v="291"/>
    <x v="30"/>
    <x v="1"/>
    <x v="3"/>
    <x v="8"/>
    <x v="1"/>
    <x v="14"/>
    <x v="290"/>
    <x v="1"/>
    <x v="3"/>
  </r>
  <r>
    <x v="292"/>
    <x v="62"/>
    <x v="0"/>
    <x v="9"/>
    <x v="8"/>
    <x v="0"/>
    <x v="14"/>
    <x v="291"/>
    <x v="0"/>
    <x v="3"/>
  </r>
  <r>
    <x v="293"/>
    <x v="6"/>
    <x v="1"/>
    <x v="2"/>
    <x v="8"/>
    <x v="2"/>
    <x v="13"/>
    <x v="292"/>
    <x v="1"/>
    <x v="1"/>
  </r>
  <r>
    <x v="294"/>
    <x v="64"/>
    <x v="1"/>
    <x v="1"/>
    <x v="5"/>
    <x v="2"/>
    <x v="12"/>
    <x v="293"/>
    <x v="0"/>
    <x v="4"/>
  </r>
  <r>
    <x v="295"/>
    <x v="66"/>
    <x v="1"/>
    <x v="2"/>
    <x v="0"/>
    <x v="0"/>
    <x v="10"/>
    <x v="294"/>
    <x v="1"/>
    <x v="2"/>
  </r>
  <r>
    <x v="296"/>
    <x v="66"/>
    <x v="0"/>
    <x v="0"/>
    <x v="6"/>
    <x v="2"/>
    <x v="13"/>
    <x v="295"/>
    <x v="1"/>
    <x v="2"/>
  </r>
  <r>
    <x v="297"/>
    <x v="55"/>
    <x v="0"/>
    <x v="3"/>
    <x v="4"/>
    <x v="2"/>
    <x v="13"/>
    <x v="296"/>
    <x v="0"/>
    <x v="3"/>
  </r>
  <r>
    <x v="298"/>
    <x v="83"/>
    <x v="1"/>
    <x v="7"/>
    <x v="7"/>
    <x v="2"/>
    <x v="14"/>
    <x v="297"/>
    <x v="0"/>
    <x v="4"/>
  </r>
  <r>
    <x v="299"/>
    <x v="35"/>
    <x v="1"/>
    <x v="7"/>
    <x v="2"/>
    <x v="1"/>
    <x v="11"/>
    <x v="298"/>
    <x v="1"/>
    <x v="3"/>
  </r>
  <r>
    <x v="300"/>
    <x v="79"/>
    <x v="1"/>
    <x v="4"/>
    <x v="1"/>
    <x v="0"/>
    <x v="3"/>
    <x v="299"/>
    <x v="0"/>
    <x v="2"/>
  </r>
  <r>
    <x v="301"/>
    <x v="59"/>
    <x v="1"/>
    <x v="6"/>
    <x v="8"/>
    <x v="2"/>
    <x v="3"/>
    <x v="300"/>
    <x v="1"/>
    <x v="2"/>
  </r>
  <r>
    <x v="302"/>
    <x v="64"/>
    <x v="0"/>
    <x v="5"/>
    <x v="4"/>
    <x v="0"/>
    <x v="8"/>
    <x v="301"/>
    <x v="1"/>
    <x v="4"/>
  </r>
  <r>
    <x v="303"/>
    <x v="42"/>
    <x v="0"/>
    <x v="2"/>
    <x v="3"/>
    <x v="1"/>
    <x v="12"/>
    <x v="302"/>
    <x v="1"/>
    <x v="4"/>
  </r>
  <r>
    <x v="304"/>
    <x v="8"/>
    <x v="0"/>
    <x v="3"/>
    <x v="2"/>
    <x v="1"/>
    <x v="4"/>
    <x v="303"/>
    <x v="0"/>
    <x v="0"/>
  </r>
  <r>
    <x v="305"/>
    <x v="9"/>
    <x v="0"/>
    <x v="1"/>
    <x v="1"/>
    <x v="1"/>
    <x v="1"/>
    <x v="304"/>
    <x v="0"/>
    <x v="3"/>
  </r>
  <r>
    <x v="306"/>
    <x v="8"/>
    <x v="0"/>
    <x v="2"/>
    <x v="8"/>
    <x v="0"/>
    <x v="3"/>
    <x v="305"/>
    <x v="1"/>
    <x v="3"/>
  </r>
  <r>
    <x v="307"/>
    <x v="15"/>
    <x v="1"/>
    <x v="2"/>
    <x v="5"/>
    <x v="1"/>
    <x v="3"/>
    <x v="306"/>
    <x v="0"/>
    <x v="4"/>
  </r>
  <r>
    <x v="308"/>
    <x v="49"/>
    <x v="0"/>
    <x v="3"/>
    <x v="1"/>
    <x v="2"/>
    <x v="11"/>
    <x v="307"/>
    <x v="1"/>
    <x v="4"/>
  </r>
  <r>
    <x v="309"/>
    <x v="17"/>
    <x v="0"/>
    <x v="9"/>
    <x v="3"/>
    <x v="1"/>
    <x v="10"/>
    <x v="308"/>
    <x v="1"/>
    <x v="3"/>
  </r>
  <r>
    <x v="310"/>
    <x v="18"/>
    <x v="0"/>
    <x v="8"/>
    <x v="0"/>
    <x v="0"/>
    <x v="3"/>
    <x v="309"/>
    <x v="1"/>
    <x v="0"/>
  </r>
  <r>
    <x v="311"/>
    <x v="86"/>
    <x v="0"/>
    <x v="9"/>
    <x v="4"/>
    <x v="1"/>
    <x v="12"/>
    <x v="310"/>
    <x v="0"/>
    <x v="2"/>
  </r>
  <r>
    <x v="312"/>
    <x v="36"/>
    <x v="0"/>
    <x v="2"/>
    <x v="6"/>
    <x v="0"/>
    <x v="5"/>
    <x v="311"/>
    <x v="1"/>
    <x v="2"/>
  </r>
  <r>
    <x v="313"/>
    <x v="23"/>
    <x v="0"/>
    <x v="7"/>
    <x v="8"/>
    <x v="1"/>
    <x v="9"/>
    <x v="312"/>
    <x v="0"/>
    <x v="4"/>
  </r>
  <r>
    <x v="314"/>
    <x v="31"/>
    <x v="0"/>
    <x v="5"/>
    <x v="0"/>
    <x v="1"/>
    <x v="12"/>
    <x v="313"/>
    <x v="0"/>
    <x v="3"/>
  </r>
  <r>
    <x v="315"/>
    <x v="87"/>
    <x v="0"/>
    <x v="0"/>
    <x v="8"/>
    <x v="2"/>
    <x v="13"/>
    <x v="314"/>
    <x v="1"/>
    <x v="3"/>
  </r>
  <r>
    <x v="316"/>
    <x v="69"/>
    <x v="1"/>
    <x v="3"/>
    <x v="6"/>
    <x v="0"/>
    <x v="0"/>
    <x v="315"/>
    <x v="1"/>
    <x v="0"/>
  </r>
  <r>
    <x v="317"/>
    <x v="82"/>
    <x v="0"/>
    <x v="3"/>
    <x v="9"/>
    <x v="2"/>
    <x v="14"/>
    <x v="316"/>
    <x v="1"/>
    <x v="3"/>
  </r>
  <r>
    <x v="318"/>
    <x v="80"/>
    <x v="0"/>
    <x v="1"/>
    <x v="6"/>
    <x v="1"/>
    <x v="2"/>
    <x v="317"/>
    <x v="0"/>
    <x v="1"/>
  </r>
  <r>
    <x v="319"/>
    <x v="86"/>
    <x v="0"/>
    <x v="4"/>
    <x v="4"/>
    <x v="2"/>
    <x v="4"/>
    <x v="318"/>
    <x v="0"/>
    <x v="2"/>
  </r>
  <r>
    <x v="320"/>
    <x v="42"/>
    <x v="0"/>
    <x v="3"/>
    <x v="0"/>
    <x v="0"/>
    <x v="6"/>
    <x v="319"/>
    <x v="1"/>
    <x v="0"/>
  </r>
  <r>
    <x v="321"/>
    <x v="66"/>
    <x v="0"/>
    <x v="7"/>
    <x v="1"/>
    <x v="1"/>
    <x v="5"/>
    <x v="320"/>
    <x v="1"/>
    <x v="4"/>
  </r>
  <r>
    <x v="322"/>
    <x v="77"/>
    <x v="0"/>
    <x v="8"/>
    <x v="9"/>
    <x v="1"/>
    <x v="13"/>
    <x v="321"/>
    <x v="0"/>
    <x v="0"/>
  </r>
  <r>
    <x v="323"/>
    <x v="20"/>
    <x v="0"/>
    <x v="0"/>
    <x v="8"/>
    <x v="0"/>
    <x v="4"/>
    <x v="322"/>
    <x v="0"/>
    <x v="3"/>
  </r>
  <r>
    <x v="324"/>
    <x v="9"/>
    <x v="0"/>
    <x v="3"/>
    <x v="5"/>
    <x v="1"/>
    <x v="4"/>
    <x v="323"/>
    <x v="1"/>
    <x v="4"/>
  </r>
  <r>
    <x v="325"/>
    <x v="78"/>
    <x v="1"/>
    <x v="0"/>
    <x v="3"/>
    <x v="0"/>
    <x v="13"/>
    <x v="324"/>
    <x v="0"/>
    <x v="0"/>
  </r>
  <r>
    <x v="326"/>
    <x v="72"/>
    <x v="1"/>
    <x v="5"/>
    <x v="9"/>
    <x v="2"/>
    <x v="11"/>
    <x v="325"/>
    <x v="1"/>
    <x v="2"/>
  </r>
  <r>
    <x v="327"/>
    <x v="19"/>
    <x v="0"/>
    <x v="7"/>
    <x v="6"/>
    <x v="0"/>
    <x v="13"/>
    <x v="326"/>
    <x v="0"/>
    <x v="0"/>
  </r>
  <r>
    <x v="328"/>
    <x v="40"/>
    <x v="1"/>
    <x v="2"/>
    <x v="4"/>
    <x v="2"/>
    <x v="14"/>
    <x v="327"/>
    <x v="0"/>
    <x v="1"/>
  </r>
  <r>
    <x v="329"/>
    <x v="4"/>
    <x v="0"/>
    <x v="6"/>
    <x v="9"/>
    <x v="1"/>
    <x v="2"/>
    <x v="328"/>
    <x v="0"/>
    <x v="3"/>
  </r>
  <r>
    <x v="330"/>
    <x v="78"/>
    <x v="1"/>
    <x v="8"/>
    <x v="7"/>
    <x v="0"/>
    <x v="12"/>
    <x v="329"/>
    <x v="0"/>
    <x v="2"/>
  </r>
  <r>
    <x v="331"/>
    <x v="7"/>
    <x v="0"/>
    <x v="5"/>
    <x v="1"/>
    <x v="2"/>
    <x v="13"/>
    <x v="330"/>
    <x v="1"/>
    <x v="2"/>
  </r>
  <r>
    <x v="332"/>
    <x v="74"/>
    <x v="0"/>
    <x v="0"/>
    <x v="7"/>
    <x v="0"/>
    <x v="7"/>
    <x v="331"/>
    <x v="0"/>
    <x v="1"/>
  </r>
  <r>
    <x v="333"/>
    <x v="37"/>
    <x v="0"/>
    <x v="1"/>
    <x v="2"/>
    <x v="1"/>
    <x v="2"/>
    <x v="332"/>
    <x v="1"/>
    <x v="0"/>
  </r>
  <r>
    <x v="334"/>
    <x v="67"/>
    <x v="1"/>
    <x v="4"/>
    <x v="2"/>
    <x v="0"/>
    <x v="12"/>
    <x v="333"/>
    <x v="1"/>
    <x v="4"/>
  </r>
  <r>
    <x v="335"/>
    <x v="62"/>
    <x v="1"/>
    <x v="4"/>
    <x v="2"/>
    <x v="2"/>
    <x v="11"/>
    <x v="334"/>
    <x v="0"/>
    <x v="1"/>
  </r>
  <r>
    <x v="336"/>
    <x v="29"/>
    <x v="0"/>
    <x v="0"/>
    <x v="2"/>
    <x v="1"/>
    <x v="11"/>
    <x v="335"/>
    <x v="0"/>
    <x v="4"/>
  </r>
  <r>
    <x v="337"/>
    <x v="65"/>
    <x v="0"/>
    <x v="1"/>
    <x v="8"/>
    <x v="0"/>
    <x v="10"/>
    <x v="336"/>
    <x v="0"/>
    <x v="1"/>
  </r>
  <r>
    <x v="338"/>
    <x v="6"/>
    <x v="0"/>
    <x v="5"/>
    <x v="2"/>
    <x v="1"/>
    <x v="1"/>
    <x v="337"/>
    <x v="1"/>
    <x v="0"/>
  </r>
  <r>
    <x v="339"/>
    <x v="9"/>
    <x v="1"/>
    <x v="1"/>
    <x v="1"/>
    <x v="2"/>
    <x v="1"/>
    <x v="338"/>
    <x v="0"/>
    <x v="3"/>
  </r>
  <r>
    <x v="340"/>
    <x v="55"/>
    <x v="1"/>
    <x v="9"/>
    <x v="8"/>
    <x v="0"/>
    <x v="10"/>
    <x v="339"/>
    <x v="1"/>
    <x v="1"/>
  </r>
  <r>
    <x v="341"/>
    <x v="21"/>
    <x v="1"/>
    <x v="5"/>
    <x v="9"/>
    <x v="1"/>
    <x v="13"/>
    <x v="340"/>
    <x v="0"/>
    <x v="2"/>
  </r>
  <r>
    <x v="342"/>
    <x v="54"/>
    <x v="1"/>
    <x v="0"/>
    <x v="1"/>
    <x v="1"/>
    <x v="14"/>
    <x v="341"/>
    <x v="0"/>
    <x v="4"/>
  </r>
  <r>
    <x v="343"/>
    <x v="24"/>
    <x v="1"/>
    <x v="2"/>
    <x v="2"/>
    <x v="2"/>
    <x v="10"/>
    <x v="342"/>
    <x v="0"/>
    <x v="2"/>
  </r>
  <r>
    <x v="344"/>
    <x v="77"/>
    <x v="0"/>
    <x v="5"/>
    <x v="3"/>
    <x v="1"/>
    <x v="8"/>
    <x v="343"/>
    <x v="0"/>
    <x v="0"/>
  </r>
  <r>
    <x v="345"/>
    <x v="83"/>
    <x v="0"/>
    <x v="5"/>
    <x v="5"/>
    <x v="2"/>
    <x v="4"/>
    <x v="344"/>
    <x v="0"/>
    <x v="1"/>
  </r>
  <r>
    <x v="346"/>
    <x v="39"/>
    <x v="0"/>
    <x v="4"/>
    <x v="4"/>
    <x v="2"/>
    <x v="4"/>
    <x v="345"/>
    <x v="0"/>
    <x v="0"/>
  </r>
  <r>
    <x v="347"/>
    <x v="56"/>
    <x v="1"/>
    <x v="9"/>
    <x v="1"/>
    <x v="2"/>
    <x v="4"/>
    <x v="346"/>
    <x v="1"/>
    <x v="0"/>
  </r>
  <r>
    <x v="348"/>
    <x v="11"/>
    <x v="0"/>
    <x v="2"/>
    <x v="8"/>
    <x v="2"/>
    <x v="3"/>
    <x v="347"/>
    <x v="1"/>
    <x v="4"/>
  </r>
  <r>
    <x v="349"/>
    <x v="47"/>
    <x v="1"/>
    <x v="9"/>
    <x v="0"/>
    <x v="2"/>
    <x v="0"/>
    <x v="348"/>
    <x v="0"/>
    <x v="4"/>
  </r>
  <r>
    <x v="350"/>
    <x v="8"/>
    <x v="0"/>
    <x v="7"/>
    <x v="5"/>
    <x v="0"/>
    <x v="10"/>
    <x v="349"/>
    <x v="0"/>
    <x v="1"/>
  </r>
  <r>
    <x v="351"/>
    <x v="80"/>
    <x v="0"/>
    <x v="0"/>
    <x v="1"/>
    <x v="0"/>
    <x v="2"/>
    <x v="350"/>
    <x v="1"/>
    <x v="0"/>
  </r>
  <r>
    <x v="352"/>
    <x v="82"/>
    <x v="0"/>
    <x v="2"/>
    <x v="1"/>
    <x v="1"/>
    <x v="3"/>
    <x v="351"/>
    <x v="1"/>
    <x v="3"/>
  </r>
  <r>
    <x v="353"/>
    <x v="60"/>
    <x v="0"/>
    <x v="0"/>
    <x v="7"/>
    <x v="1"/>
    <x v="13"/>
    <x v="352"/>
    <x v="0"/>
    <x v="2"/>
  </r>
  <r>
    <x v="354"/>
    <x v="40"/>
    <x v="0"/>
    <x v="2"/>
    <x v="1"/>
    <x v="1"/>
    <x v="0"/>
    <x v="353"/>
    <x v="0"/>
    <x v="4"/>
  </r>
  <r>
    <x v="355"/>
    <x v="3"/>
    <x v="0"/>
    <x v="2"/>
    <x v="3"/>
    <x v="1"/>
    <x v="6"/>
    <x v="354"/>
    <x v="0"/>
    <x v="2"/>
  </r>
  <r>
    <x v="356"/>
    <x v="61"/>
    <x v="0"/>
    <x v="7"/>
    <x v="6"/>
    <x v="2"/>
    <x v="2"/>
    <x v="355"/>
    <x v="0"/>
    <x v="1"/>
  </r>
  <r>
    <x v="357"/>
    <x v="0"/>
    <x v="0"/>
    <x v="5"/>
    <x v="4"/>
    <x v="0"/>
    <x v="6"/>
    <x v="356"/>
    <x v="1"/>
    <x v="3"/>
  </r>
  <r>
    <x v="358"/>
    <x v="1"/>
    <x v="1"/>
    <x v="5"/>
    <x v="5"/>
    <x v="1"/>
    <x v="4"/>
    <x v="357"/>
    <x v="0"/>
    <x v="2"/>
  </r>
  <r>
    <x v="359"/>
    <x v="80"/>
    <x v="0"/>
    <x v="3"/>
    <x v="1"/>
    <x v="2"/>
    <x v="8"/>
    <x v="358"/>
    <x v="1"/>
    <x v="1"/>
  </r>
  <r>
    <x v="360"/>
    <x v="80"/>
    <x v="1"/>
    <x v="7"/>
    <x v="6"/>
    <x v="0"/>
    <x v="10"/>
    <x v="359"/>
    <x v="1"/>
    <x v="4"/>
  </r>
  <r>
    <x v="361"/>
    <x v="8"/>
    <x v="0"/>
    <x v="0"/>
    <x v="5"/>
    <x v="1"/>
    <x v="14"/>
    <x v="360"/>
    <x v="1"/>
    <x v="2"/>
  </r>
  <r>
    <x v="362"/>
    <x v="26"/>
    <x v="1"/>
    <x v="4"/>
    <x v="7"/>
    <x v="2"/>
    <x v="3"/>
    <x v="361"/>
    <x v="0"/>
    <x v="0"/>
  </r>
  <r>
    <x v="363"/>
    <x v="49"/>
    <x v="0"/>
    <x v="6"/>
    <x v="1"/>
    <x v="2"/>
    <x v="10"/>
    <x v="362"/>
    <x v="1"/>
    <x v="1"/>
  </r>
  <r>
    <x v="364"/>
    <x v="28"/>
    <x v="0"/>
    <x v="2"/>
    <x v="0"/>
    <x v="2"/>
    <x v="12"/>
    <x v="363"/>
    <x v="0"/>
    <x v="3"/>
  </r>
  <r>
    <x v="365"/>
    <x v="40"/>
    <x v="0"/>
    <x v="0"/>
    <x v="0"/>
    <x v="2"/>
    <x v="0"/>
    <x v="364"/>
    <x v="1"/>
    <x v="1"/>
  </r>
  <r>
    <x v="366"/>
    <x v="72"/>
    <x v="0"/>
    <x v="1"/>
    <x v="6"/>
    <x v="1"/>
    <x v="4"/>
    <x v="365"/>
    <x v="1"/>
    <x v="0"/>
  </r>
  <r>
    <x v="367"/>
    <x v="51"/>
    <x v="1"/>
    <x v="8"/>
    <x v="5"/>
    <x v="2"/>
    <x v="2"/>
    <x v="366"/>
    <x v="0"/>
    <x v="4"/>
  </r>
  <r>
    <x v="368"/>
    <x v="5"/>
    <x v="0"/>
    <x v="9"/>
    <x v="3"/>
    <x v="2"/>
    <x v="7"/>
    <x v="367"/>
    <x v="0"/>
    <x v="0"/>
  </r>
  <r>
    <x v="369"/>
    <x v="34"/>
    <x v="1"/>
    <x v="9"/>
    <x v="0"/>
    <x v="2"/>
    <x v="7"/>
    <x v="368"/>
    <x v="0"/>
    <x v="3"/>
  </r>
  <r>
    <x v="370"/>
    <x v="9"/>
    <x v="0"/>
    <x v="8"/>
    <x v="2"/>
    <x v="2"/>
    <x v="1"/>
    <x v="369"/>
    <x v="0"/>
    <x v="1"/>
  </r>
  <r>
    <x v="371"/>
    <x v="31"/>
    <x v="0"/>
    <x v="2"/>
    <x v="2"/>
    <x v="0"/>
    <x v="5"/>
    <x v="370"/>
    <x v="1"/>
    <x v="4"/>
  </r>
  <r>
    <x v="372"/>
    <x v="33"/>
    <x v="1"/>
    <x v="1"/>
    <x v="3"/>
    <x v="1"/>
    <x v="4"/>
    <x v="371"/>
    <x v="0"/>
    <x v="1"/>
  </r>
  <r>
    <x v="373"/>
    <x v="31"/>
    <x v="0"/>
    <x v="8"/>
    <x v="4"/>
    <x v="1"/>
    <x v="0"/>
    <x v="372"/>
    <x v="0"/>
    <x v="4"/>
  </r>
  <r>
    <x v="374"/>
    <x v="6"/>
    <x v="1"/>
    <x v="5"/>
    <x v="2"/>
    <x v="2"/>
    <x v="0"/>
    <x v="373"/>
    <x v="1"/>
    <x v="0"/>
  </r>
  <r>
    <x v="375"/>
    <x v="42"/>
    <x v="0"/>
    <x v="3"/>
    <x v="3"/>
    <x v="1"/>
    <x v="7"/>
    <x v="374"/>
    <x v="0"/>
    <x v="4"/>
  </r>
  <r>
    <x v="376"/>
    <x v="27"/>
    <x v="0"/>
    <x v="9"/>
    <x v="3"/>
    <x v="1"/>
    <x v="4"/>
    <x v="375"/>
    <x v="1"/>
    <x v="0"/>
  </r>
  <r>
    <x v="377"/>
    <x v="6"/>
    <x v="0"/>
    <x v="2"/>
    <x v="7"/>
    <x v="1"/>
    <x v="6"/>
    <x v="376"/>
    <x v="1"/>
    <x v="4"/>
  </r>
  <r>
    <x v="378"/>
    <x v="82"/>
    <x v="1"/>
    <x v="7"/>
    <x v="6"/>
    <x v="0"/>
    <x v="1"/>
    <x v="377"/>
    <x v="1"/>
    <x v="1"/>
  </r>
  <r>
    <x v="379"/>
    <x v="58"/>
    <x v="0"/>
    <x v="9"/>
    <x v="5"/>
    <x v="2"/>
    <x v="13"/>
    <x v="378"/>
    <x v="0"/>
    <x v="4"/>
  </r>
  <r>
    <x v="380"/>
    <x v="68"/>
    <x v="0"/>
    <x v="5"/>
    <x v="3"/>
    <x v="0"/>
    <x v="4"/>
    <x v="379"/>
    <x v="1"/>
    <x v="3"/>
  </r>
  <r>
    <x v="381"/>
    <x v="20"/>
    <x v="1"/>
    <x v="4"/>
    <x v="1"/>
    <x v="0"/>
    <x v="11"/>
    <x v="380"/>
    <x v="1"/>
    <x v="2"/>
  </r>
  <r>
    <x v="382"/>
    <x v="53"/>
    <x v="0"/>
    <x v="6"/>
    <x v="5"/>
    <x v="2"/>
    <x v="0"/>
    <x v="381"/>
    <x v="1"/>
    <x v="1"/>
  </r>
  <r>
    <x v="383"/>
    <x v="41"/>
    <x v="0"/>
    <x v="4"/>
    <x v="3"/>
    <x v="0"/>
    <x v="0"/>
    <x v="382"/>
    <x v="0"/>
    <x v="1"/>
  </r>
  <r>
    <x v="384"/>
    <x v="74"/>
    <x v="1"/>
    <x v="5"/>
    <x v="4"/>
    <x v="1"/>
    <x v="9"/>
    <x v="383"/>
    <x v="1"/>
    <x v="3"/>
  </r>
  <r>
    <x v="385"/>
    <x v="72"/>
    <x v="1"/>
    <x v="6"/>
    <x v="6"/>
    <x v="2"/>
    <x v="9"/>
    <x v="384"/>
    <x v="1"/>
    <x v="0"/>
  </r>
  <r>
    <x v="386"/>
    <x v="41"/>
    <x v="0"/>
    <x v="7"/>
    <x v="4"/>
    <x v="0"/>
    <x v="14"/>
    <x v="385"/>
    <x v="0"/>
    <x v="3"/>
  </r>
  <r>
    <x v="387"/>
    <x v="56"/>
    <x v="0"/>
    <x v="2"/>
    <x v="9"/>
    <x v="0"/>
    <x v="10"/>
    <x v="386"/>
    <x v="0"/>
    <x v="4"/>
  </r>
  <r>
    <x v="388"/>
    <x v="29"/>
    <x v="0"/>
    <x v="4"/>
    <x v="5"/>
    <x v="2"/>
    <x v="8"/>
    <x v="387"/>
    <x v="0"/>
    <x v="0"/>
  </r>
  <r>
    <x v="389"/>
    <x v="3"/>
    <x v="0"/>
    <x v="0"/>
    <x v="7"/>
    <x v="1"/>
    <x v="11"/>
    <x v="388"/>
    <x v="0"/>
    <x v="2"/>
  </r>
  <r>
    <x v="390"/>
    <x v="63"/>
    <x v="1"/>
    <x v="8"/>
    <x v="5"/>
    <x v="1"/>
    <x v="7"/>
    <x v="389"/>
    <x v="1"/>
    <x v="4"/>
  </r>
  <r>
    <x v="391"/>
    <x v="43"/>
    <x v="0"/>
    <x v="8"/>
    <x v="4"/>
    <x v="0"/>
    <x v="14"/>
    <x v="390"/>
    <x v="0"/>
    <x v="2"/>
  </r>
  <r>
    <x v="392"/>
    <x v="44"/>
    <x v="0"/>
    <x v="5"/>
    <x v="9"/>
    <x v="1"/>
    <x v="5"/>
    <x v="391"/>
    <x v="1"/>
    <x v="4"/>
  </r>
  <r>
    <x v="393"/>
    <x v="14"/>
    <x v="0"/>
    <x v="6"/>
    <x v="8"/>
    <x v="0"/>
    <x v="2"/>
    <x v="392"/>
    <x v="1"/>
    <x v="3"/>
  </r>
  <r>
    <x v="394"/>
    <x v="24"/>
    <x v="1"/>
    <x v="9"/>
    <x v="6"/>
    <x v="0"/>
    <x v="11"/>
    <x v="393"/>
    <x v="0"/>
    <x v="1"/>
  </r>
  <r>
    <x v="395"/>
    <x v="26"/>
    <x v="0"/>
    <x v="0"/>
    <x v="8"/>
    <x v="1"/>
    <x v="4"/>
    <x v="394"/>
    <x v="1"/>
    <x v="4"/>
  </r>
  <r>
    <x v="396"/>
    <x v="10"/>
    <x v="0"/>
    <x v="9"/>
    <x v="6"/>
    <x v="1"/>
    <x v="12"/>
    <x v="395"/>
    <x v="0"/>
    <x v="4"/>
  </r>
  <r>
    <x v="397"/>
    <x v="59"/>
    <x v="0"/>
    <x v="3"/>
    <x v="8"/>
    <x v="0"/>
    <x v="0"/>
    <x v="396"/>
    <x v="1"/>
    <x v="0"/>
  </r>
  <r>
    <x v="398"/>
    <x v="63"/>
    <x v="1"/>
    <x v="3"/>
    <x v="1"/>
    <x v="0"/>
    <x v="7"/>
    <x v="397"/>
    <x v="0"/>
    <x v="4"/>
  </r>
  <r>
    <x v="399"/>
    <x v="78"/>
    <x v="0"/>
    <x v="5"/>
    <x v="7"/>
    <x v="0"/>
    <x v="6"/>
    <x v="398"/>
    <x v="0"/>
    <x v="3"/>
  </r>
  <r>
    <x v="400"/>
    <x v="88"/>
    <x v="0"/>
    <x v="1"/>
    <x v="6"/>
    <x v="1"/>
    <x v="7"/>
    <x v="399"/>
    <x v="1"/>
    <x v="4"/>
  </r>
  <r>
    <x v="401"/>
    <x v="36"/>
    <x v="0"/>
    <x v="6"/>
    <x v="9"/>
    <x v="1"/>
    <x v="14"/>
    <x v="400"/>
    <x v="0"/>
    <x v="3"/>
  </r>
  <r>
    <x v="402"/>
    <x v="45"/>
    <x v="1"/>
    <x v="5"/>
    <x v="2"/>
    <x v="2"/>
    <x v="9"/>
    <x v="401"/>
    <x v="1"/>
    <x v="2"/>
  </r>
  <r>
    <x v="403"/>
    <x v="37"/>
    <x v="1"/>
    <x v="2"/>
    <x v="0"/>
    <x v="0"/>
    <x v="10"/>
    <x v="402"/>
    <x v="0"/>
    <x v="0"/>
  </r>
  <r>
    <x v="404"/>
    <x v="13"/>
    <x v="0"/>
    <x v="2"/>
    <x v="5"/>
    <x v="2"/>
    <x v="6"/>
    <x v="403"/>
    <x v="1"/>
    <x v="3"/>
  </r>
  <r>
    <x v="405"/>
    <x v="45"/>
    <x v="0"/>
    <x v="3"/>
    <x v="8"/>
    <x v="0"/>
    <x v="3"/>
    <x v="404"/>
    <x v="1"/>
    <x v="2"/>
  </r>
  <r>
    <x v="406"/>
    <x v="72"/>
    <x v="1"/>
    <x v="3"/>
    <x v="7"/>
    <x v="0"/>
    <x v="3"/>
    <x v="405"/>
    <x v="1"/>
    <x v="0"/>
  </r>
  <r>
    <x v="407"/>
    <x v="22"/>
    <x v="1"/>
    <x v="4"/>
    <x v="8"/>
    <x v="1"/>
    <x v="4"/>
    <x v="406"/>
    <x v="0"/>
    <x v="4"/>
  </r>
  <r>
    <x v="408"/>
    <x v="40"/>
    <x v="1"/>
    <x v="7"/>
    <x v="9"/>
    <x v="2"/>
    <x v="13"/>
    <x v="407"/>
    <x v="0"/>
    <x v="3"/>
  </r>
  <r>
    <x v="409"/>
    <x v="46"/>
    <x v="0"/>
    <x v="0"/>
    <x v="9"/>
    <x v="0"/>
    <x v="0"/>
    <x v="408"/>
    <x v="1"/>
    <x v="0"/>
  </r>
  <r>
    <x v="410"/>
    <x v="69"/>
    <x v="0"/>
    <x v="1"/>
    <x v="1"/>
    <x v="2"/>
    <x v="12"/>
    <x v="409"/>
    <x v="1"/>
    <x v="4"/>
  </r>
  <r>
    <x v="411"/>
    <x v="45"/>
    <x v="0"/>
    <x v="6"/>
    <x v="3"/>
    <x v="1"/>
    <x v="9"/>
    <x v="410"/>
    <x v="0"/>
    <x v="0"/>
  </r>
  <r>
    <x v="412"/>
    <x v="0"/>
    <x v="0"/>
    <x v="6"/>
    <x v="6"/>
    <x v="2"/>
    <x v="1"/>
    <x v="411"/>
    <x v="1"/>
    <x v="2"/>
  </r>
  <r>
    <x v="413"/>
    <x v="38"/>
    <x v="0"/>
    <x v="7"/>
    <x v="5"/>
    <x v="0"/>
    <x v="0"/>
    <x v="412"/>
    <x v="0"/>
    <x v="4"/>
  </r>
  <r>
    <x v="414"/>
    <x v="25"/>
    <x v="1"/>
    <x v="3"/>
    <x v="3"/>
    <x v="1"/>
    <x v="13"/>
    <x v="50"/>
    <x v="0"/>
    <x v="3"/>
  </r>
  <r>
    <x v="415"/>
    <x v="10"/>
    <x v="0"/>
    <x v="9"/>
    <x v="3"/>
    <x v="0"/>
    <x v="4"/>
    <x v="413"/>
    <x v="1"/>
    <x v="0"/>
  </r>
  <r>
    <x v="416"/>
    <x v="74"/>
    <x v="1"/>
    <x v="7"/>
    <x v="9"/>
    <x v="0"/>
    <x v="10"/>
    <x v="414"/>
    <x v="0"/>
    <x v="2"/>
  </r>
  <r>
    <x v="417"/>
    <x v="43"/>
    <x v="0"/>
    <x v="8"/>
    <x v="6"/>
    <x v="2"/>
    <x v="1"/>
    <x v="415"/>
    <x v="1"/>
    <x v="2"/>
  </r>
  <r>
    <x v="418"/>
    <x v="8"/>
    <x v="1"/>
    <x v="4"/>
    <x v="7"/>
    <x v="2"/>
    <x v="0"/>
    <x v="416"/>
    <x v="0"/>
    <x v="1"/>
  </r>
  <r>
    <x v="419"/>
    <x v="25"/>
    <x v="1"/>
    <x v="9"/>
    <x v="2"/>
    <x v="0"/>
    <x v="10"/>
    <x v="417"/>
    <x v="0"/>
    <x v="3"/>
  </r>
  <r>
    <x v="420"/>
    <x v="67"/>
    <x v="1"/>
    <x v="9"/>
    <x v="7"/>
    <x v="0"/>
    <x v="0"/>
    <x v="418"/>
    <x v="0"/>
    <x v="3"/>
  </r>
  <r>
    <x v="421"/>
    <x v="72"/>
    <x v="0"/>
    <x v="7"/>
    <x v="1"/>
    <x v="2"/>
    <x v="11"/>
    <x v="419"/>
    <x v="0"/>
    <x v="3"/>
  </r>
  <r>
    <x v="422"/>
    <x v="15"/>
    <x v="1"/>
    <x v="5"/>
    <x v="7"/>
    <x v="1"/>
    <x v="11"/>
    <x v="420"/>
    <x v="1"/>
    <x v="2"/>
  </r>
  <r>
    <x v="423"/>
    <x v="42"/>
    <x v="0"/>
    <x v="0"/>
    <x v="9"/>
    <x v="0"/>
    <x v="0"/>
    <x v="421"/>
    <x v="0"/>
    <x v="3"/>
  </r>
  <r>
    <x v="424"/>
    <x v="38"/>
    <x v="1"/>
    <x v="6"/>
    <x v="9"/>
    <x v="2"/>
    <x v="12"/>
    <x v="422"/>
    <x v="1"/>
    <x v="3"/>
  </r>
  <r>
    <x v="425"/>
    <x v="73"/>
    <x v="1"/>
    <x v="0"/>
    <x v="6"/>
    <x v="0"/>
    <x v="14"/>
    <x v="423"/>
    <x v="1"/>
    <x v="1"/>
  </r>
  <r>
    <x v="426"/>
    <x v="69"/>
    <x v="0"/>
    <x v="6"/>
    <x v="9"/>
    <x v="1"/>
    <x v="1"/>
    <x v="424"/>
    <x v="1"/>
    <x v="3"/>
  </r>
  <r>
    <x v="427"/>
    <x v="42"/>
    <x v="0"/>
    <x v="9"/>
    <x v="3"/>
    <x v="2"/>
    <x v="11"/>
    <x v="425"/>
    <x v="0"/>
    <x v="3"/>
  </r>
  <r>
    <x v="428"/>
    <x v="29"/>
    <x v="1"/>
    <x v="6"/>
    <x v="1"/>
    <x v="0"/>
    <x v="12"/>
    <x v="426"/>
    <x v="0"/>
    <x v="3"/>
  </r>
  <r>
    <x v="429"/>
    <x v="51"/>
    <x v="0"/>
    <x v="8"/>
    <x v="6"/>
    <x v="0"/>
    <x v="14"/>
    <x v="427"/>
    <x v="0"/>
    <x v="1"/>
  </r>
  <r>
    <x v="430"/>
    <x v="77"/>
    <x v="1"/>
    <x v="2"/>
    <x v="1"/>
    <x v="0"/>
    <x v="14"/>
    <x v="428"/>
    <x v="0"/>
    <x v="4"/>
  </r>
  <r>
    <x v="431"/>
    <x v="83"/>
    <x v="1"/>
    <x v="0"/>
    <x v="1"/>
    <x v="0"/>
    <x v="7"/>
    <x v="429"/>
    <x v="1"/>
    <x v="3"/>
  </r>
  <r>
    <x v="432"/>
    <x v="66"/>
    <x v="1"/>
    <x v="6"/>
    <x v="9"/>
    <x v="2"/>
    <x v="12"/>
    <x v="430"/>
    <x v="0"/>
    <x v="0"/>
  </r>
  <r>
    <x v="433"/>
    <x v="33"/>
    <x v="0"/>
    <x v="4"/>
    <x v="8"/>
    <x v="2"/>
    <x v="14"/>
    <x v="431"/>
    <x v="1"/>
    <x v="0"/>
  </r>
  <r>
    <x v="434"/>
    <x v="36"/>
    <x v="0"/>
    <x v="9"/>
    <x v="6"/>
    <x v="2"/>
    <x v="12"/>
    <x v="432"/>
    <x v="0"/>
    <x v="2"/>
  </r>
  <r>
    <x v="435"/>
    <x v="48"/>
    <x v="0"/>
    <x v="0"/>
    <x v="9"/>
    <x v="1"/>
    <x v="10"/>
    <x v="433"/>
    <x v="1"/>
    <x v="0"/>
  </r>
  <r>
    <x v="436"/>
    <x v="18"/>
    <x v="0"/>
    <x v="5"/>
    <x v="5"/>
    <x v="2"/>
    <x v="7"/>
    <x v="434"/>
    <x v="1"/>
    <x v="4"/>
  </r>
  <r>
    <x v="437"/>
    <x v="86"/>
    <x v="0"/>
    <x v="5"/>
    <x v="1"/>
    <x v="1"/>
    <x v="3"/>
    <x v="435"/>
    <x v="0"/>
    <x v="4"/>
  </r>
  <r>
    <x v="438"/>
    <x v="45"/>
    <x v="1"/>
    <x v="8"/>
    <x v="7"/>
    <x v="1"/>
    <x v="14"/>
    <x v="436"/>
    <x v="0"/>
    <x v="1"/>
  </r>
  <r>
    <x v="439"/>
    <x v="63"/>
    <x v="0"/>
    <x v="8"/>
    <x v="8"/>
    <x v="0"/>
    <x v="11"/>
    <x v="437"/>
    <x v="0"/>
    <x v="3"/>
  </r>
  <r>
    <x v="440"/>
    <x v="5"/>
    <x v="1"/>
    <x v="5"/>
    <x v="8"/>
    <x v="0"/>
    <x v="1"/>
    <x v="438"/>
    <x v="0"/>
    <x v="3"/>
  </r>
  <r>
    <x v="441"/>
    <x v="45"/>
    <x v="0"/>
    <x v="6"/>
    <x v="1"/>
    <x v="0"/>
    <x v="3"/>
    <x v="439"/>
    <x v="1"/>
    <x v="2"/>
  </r>
  <r>
    <x v="442"/>
    <x v="24"/>
    <x v="1"/>
    <x v="1"/>
    <x v="8"/>
    <x v="0"/>
    <x v="0"/>
    <x v="440"/>
    <x v="1"/>
    <x v="0"/>
  </r>
  <r>
    <x v="443"/>
    <x v="30"/>
    <x v="0"/>
    <x v="6"/>
    <x v="0"/>
    <x v="1"/>
    <x v="13"/>
    <x v="441"/>
    <x v="1"/>
    <x v="4"/>
  </r>
  <r>
    <x v="444"/>
    <x v="4"/>
    <x v="0"/>
    <x v="0"/>
    <x v="1"/>
    <x v="0"/>
    <x v="6"/>
    <x v="442"/>
    <x v="0"/>
    <x v="4"/>
  </r>
  <r>
    <x v="445"/>
    <x v="15"/>
    <x v="0"/>
    <x v="7"/>
    <x v="9"/>
    <x v="1"/>
    <x v="5"/>
    <x v="443"/>
    <x v="1"/>
    <x v="0"/>
  </r>
  <r>
    <x v="446"/>
    <x v="29"/>
    <x v="0"/>
    <x v="8"/>
    <x v="2"/>
    <x v="1"/>
    <x v="5"/>
    <x v="444"/>
    <x v="0"/>
    <x v="3"/>
  </r>
  <r>
    <x v="447"/>
    <x v="26"/>
    <x v="0"/>
    <x v="5"/>
    <x v="5"/>
    <x v="0"/>
    <x v="0"/>
    <x v="445"/>
    <x v="1"/>
    <x v="3"/>
  </r>
  <r>
    <x v="448"/>
    <x v="48"/>
    <x v="0"/>
    <x v="3"/>
    <x v="7"/>
    <x v="0"/>
    <x v="9"/>
    <x v="446"/>
    <x v="0"/>
    <x v="0"/>
  </r>
  <r>
    <x v="449"/>
    <x v="19"/>
    <x v="1"/>
    <x v="2"/>
    <x v="5"/>
    <x v="2"/>
    <x v="9"/>
    <x v="447"/>
    <x v="0"/>
    <x v="3"/>
  </r>
  <r>
    <x v="450"/>
    <x v="1"/>
    <x v="0"/>
    <x v="0"/>
    <x v="0"/>
    <x v="2"/>
    <x v="7"/>
    <x v="448"/>
    <x v="0"/>
    <x v="4"/>
  </r>
  <r>
    <x v="451"/>
    <x v="34"/>
    <x v="0"/>
    <x v="7"/>
    <x v="9"/>
    <x v="0"/>
    <x v="11"/>
    <x v="449"/>
    <x v="0"/>
    <x v="1"/>
  </r>
  <r>
    <x v="452"/>
    <x v="26"/>
    <x v="1"/>
    <x v="1"/>
    <x v="0"/>
    <x v="1"/>
    <x v="4"/>
    <x v="450"/>
    <x v="1"/>
    <x v="1"/>
  </r>
  <r>
    <x v="453"/>
    <x v="35"/>
    <x v="0"/>
    <x v="3"/>
    <x v="7"/>
    <x v="2"/>
    <x v="1"/>
    <x v="451"/>
    <x v="0"/>
    <x v="4"/>
  </r>
  <r>
    <x v="454"/>
    <x v="30"/>
    <x v="0"/>
    <x v="2"/>
    <x v="1"/>
    <x v="0"/>
    <x v="8"/>
    <x v="452"/>
    <x v="0"/>
    <x v="0"/>
  </r>
  <r>
    <x v="455"/>
    <x v="7"/>
    <x v="0"/>
    <x v="3"/>
    <x v="5"/>
    <x v="0"/>
    <x v="10"/>
    <x v="453"/>
    <x v="0"/>
    <x v="0"/>
  </r>
  <r>
    <x v="456"/>
    <x v="41"/>
    <x v="1"/>
    <x v="4"/>
    <x v="6"/>
    <x v="1"/>
    <x v="14"/>
    <x v="454"/>
    <x v="1"/>
    <x v="0"/>
  </r>
  <r>
    <x v="457"/>
    <x v="20"/>
    <x v="0"/>
    <x v="6"/>
    <x v="6"/>
    <x v="2"/>
    <x v="0"/>
    <x v="455"/>
    <x v="1"/>
    <x v="0"/>
  </r>
  <r>
    <x v="458"/>
    <x v="29"/>
    <x v="1"/>
    <x v="2"/>
    <x v="1"/>
    <x v="2"/>
    <x v="11"/>
    <x v="456"/>
    <x v="0"/>
    <x v="0"/>
  </r>
  <r>
    <x v="459"/>
    <x v="44"/>
    <x v="1"/>
    <x v="1"/>
    <x v="6"/>
    <x v="2"/>
    <x v="9"/>
    <x v="457"/>
    <x v="0"/>
    <x v="1"/>
  </r>
  <r>
    <x v="460"/>
    <x v="43"/>
    <x v="0"/>
    <x v="0"/>
    <x v="1"/>
    <x v="2"/>
    <x v="7"/>
    <x v="458"/>
    <x v="1"/>
    <x v="4"/>
  </r>
  <r>
    <x v="461"/>
    <x v="18"/>
    <x v="0"/>
    <x v="6"/>
    <x v="7"/>
    <x v="1"/>
    <x v="1"/>
    <x v="459"/>
    <x v="0"/>
    <x v="0"/>
  </r>
  <r>
    <x v="462"/>
    <x v="79"/>
    <x v="0"/>
    <x v="9"/>
    <x v="9"/>
    <x v="2"/>
    <x v="9"/>
    <x v="460"/>
    <x v="0"/>
    <x v="3"/>
  </r>
  <r>
    <x v="463"/>
    <x v="23"/>
    <x v="1"/>
    <x v="8"/>
    <x v="7"/>
    <x v="2"/>
    <x v="11"/>
    <x v="461"/>
    <x v="1"/>
    <x v="1"/>
  </r>
  <r>
    <x v="464"/>
    <x v="78"/>
    <x v="0"/>
    <x v="5"/>
    <x v="3"/>
    <x v="2"/>
    <x v="14"/>
    <x v="462"/>
    <x v="1"/>
    <x v="3"/>
  </r>
  <r>
    <x v="465"/>
    <x v="45"/>
    <x v="1"/>
    <x v="1"/>
    <x v="3"/>
    <x v="0"/>
    <x v="9"/>
    <x v="463"/>
    <x v="1"/>
    <x v="4"/>
  </r>
  <r>
    <x v="466"/>
    <x v="55"/>
    <x v="0"/>
    <x v="7"/>
    <x v="2"/>
    <x v="2"/>
    <x v="7"/>
    <x v="464"/>
    <x v="1"/>
    <x v="0"/>
  </r>
  <r>
    <x v="467"/>
    <x v="89"/>
    <x v="1"/>
    <x v="6"/>
    <x v="3"/>
    <x v="2"/>
    <x v="13"/>
    <x v="465"/>
    <x v="0"/>
    <x v="1"/>
  </r>
  <r>
    <x v="468"/>
    <x v="78"/>
    <x v="1"/>
    <x v="1"/>
    <x v="0"/>
    <x v="0"/>
    <x v="8"/>
    <x v="466"/>
    <x v="1"/>
    <x v="1"/>
  </r>
  <r>
    <x v="469"/>
    <x v="69"/>
    <x v="0"/>
    <x v="5"/>
    <x v="1"/>
    <x v="1"/>
    <x v="12"/>
    <x v="467"/>
    <x v="0"/>
    <x v="1"/>
  </r>
  <r>
    <x v="470"/>
    <x v="84"/>
    <x v="0"/>
    <x v="3"/>
    <x v="4"/>
    <x v="0"/>
    <x v="1"/>
    <x v="468"/>
    <x v="0"/>
    <x v="4"/>
  </r>
  <r>
    <x v="471"/>
    <x v="34"/>
    <x v="1"/>
    <x v="8"/>
    <x v="5"/>
    <x v="0"/>
    <x v="1"/>
    <x v="469"/>
    <x v="1"/>
    <x v="3"/>
  </r>
  <r>
    <x v="472"/>
    <x v="38"/>
    <x v="1"/>
    <x v="4"/>
    <x v="9"/>
    <x v="2"/>
    <x v="3"/>
    <x v="470"/>
    <x v="1"/>
    <x v="3"/>
  </r>
  <r>
    <x v="473"/>
    <x v="83"/>
    <x v="1"/>
    <x v="6"/>
    <x v="2"/>
    <x v="2"/>
    <x v="8"/>
    <x v="471"/>
    <x v="1"/>
    <x v="3"/>
  </r>
  <r>
    <x v="474"/>
    <x v="48"/>
    <x v="1"/>
    <x v="2"/>
    <x v="7"/>
    <x v="1"/>
    <x v="6"/>
    <x v="472"/>
    <x v="1"/>
    <x v="3"/>
  </r>
  <r>
    <x v="475"/>
    <x v="23"/>
    <x v="1"/>
    <x v="6"/>
    <x v="3"/>
    <x v="1"/>
    <x v="9"/>
    <x v="473"/>
    <x v="0"/>
    <x v="0"/>
  </r>
  <r>
    <x v="476"/>
    <x v="25"/>
    <x v="0"/>
    <x v="0"/>
    <x v="2"/>
    <x v="0"/>
    <x v="4"/>
    <x v="474"/>
    <x v="0"/>
    <x v="3"/>
  </r>
  <r>
    <x v="477"/>
    <x v="25"/>
    <x v="1"/>
    <x v="8"/>
    <x v="3"/>
    <x v="2"/>
    <x v="13"/>
    <x v="475"/>
    <x v="0"/>
    <x v="2"/>
  </r>
  <r>
    <x v="478"/>
    <x v="40"/>
    <x v="0"/>
    <x v="8"/>
    <x v="6"/>
    <x v="0"/>
    <x v="8"/>
    <x v="476"/>
    <x v="1"/>
    <x v="4"/>
  </r>
  <r>
    <x v="479"/>
    <x v="81"/>
    <x v="0"/>
    <x v="1"/>
    <x v="4"/>
    <x v="0"/>
    <x v="11"/>
    <x v="477"/>
    <x v="1"/>
    <x v="2"/>
  </r>
  <r>
    <x v="480"/>
    <x v="56"/>
    <x v="0"/>
    <x v="7"/>
    <x v="1"/>
    <x v="2"/>
    <x v="0"/>
    <x v="478"/>
    <x v="0"/>
    <x v="4"/>
  </r>
  <r>
    <x v="481"/>
    <x v="30"/>
    <x v="1"/>
    <x v="2"/>
    <x v="5"/>
    <x v="0"/>
    <x v="7"/>
    <x v="479"/>
    <x v="0"/>
    <x v="2"/>
  </r>
  <r>
    <x v="482"/>
    <x v="39"/>
    <x v="1"/>
    <x v="9"/>
    <x v="9"/>
    <x v="2"/>
    <x v="8"/>
    <x v="480"/>
    <x v="1"/>
    <x v="4"/>
  </r>
  <r>
    <x v="483"/>
    <x v="62"/>
    <x v="0"/>
    <x v="9"/>
    <x v="6"/>
    <x v="1"/>
    <x v="9"/>
    <x v="481"/>
    <x v="1"/>
    <x v="2"/>
  </r>
  <r>
    <x v="484"/>
    <x v="55"/>
    <x v="0"/>
    <x v="0"/>
    <x v="4"/>
    <x v="2"/>
    <x v="13"/>
    <x v="482"/>
    <x v="1"/>
    <x v="0"/>
  </r>
  <r>
    <x v="485"/>
    <x v="20"/>
    <x v="1"/>
    <x v="5"/>
    <x v="6"/>
    <x v="0"/>
    <x v="6"/>
    <x v="483"/>
    <x v="1"/>
    <x v="3"/>
  </r>
  <r>
    <x v="486"/>
    <x v="73"/>
    <x v="0"/>
    <x v="1"/>
    <x v="1"/>
    <x v="2"/>
    <x v="0"/>
    <x v="484"/>
    <x v="0"/>
    <x v="2"/>
  </r>
  <r>
    <x v="487"/>
    <x v="83"/>
    <x v="0"/>
    <x v="4"/>
    <x v="2"/>
    <x v="0"/>
    <x v="13"/>
    <x v="485"/>
    <x v="0"/>
    <x v="1"/>
  </r>
  <r>
    <x v="488"/>
    <x v="43"/>
    <x v="0"/>
    <x v="1"/>
    <x v="7"/>
    <x v="0"/>
    <x v="11"/>
    <x v="486"/>
    <x v="0"/>
    <x v="2"/>
  </r>
  <r>
    <x v="489"/>
    <x v="12"/>
    <x v="1"/>
    <x v="8"/>
    <x v="7"/>
    <x v="2"/>
    <x v="0"/>
    <x v="487"/>
    <x v="1"/>
    <x v="1"/>
  </r>
  <r>
    <x v="490"/>
    <x v="71"/>
    <x v="1"/>
    <x v="2"/>
    <x v="3"/>
    <x v="1"/>
    <x v="11"/>
    <x v="488"/>
    <x v="1"/>
    <x v="2"/>
  </r>
  <r>
    <x v="491"/>
    <x v="53"/>
    <x v="0"/>
    <x v="6"/>
    <x v="2"/>
    <x v="0"/>
    <x v="11"/>
    <x v="489"/>
    <x v="0"/>
    <x v="1"/>
  </r>
  <r>
    <x v="492"/>
    <x v="83"/>
    <x v="1"/>
    <x v="5"/>
    <x v="2"/>
    <x v="1"/>
    <x v="8"/>
    <x v="490"/>
    <x v="1"/>
    <x v="0"/>
  </r>
  <r>
    <x v="493"/>
    <x v="38"/>
    <x v="0"/>
    <x v="9"/>
    <x v="5"/>
    <x v="2"/>
    <x v="14"/>
    <x v="491"/>
    <x v="1"/>
    <x v="2"/>
  </r>
  <r>
    <x v="494"/>
    <x v="5"/>
    <x v="1"/>
    <x v="9"/>
    <x v="2"/>
    <x v="0"/>
    <x v="6"/>
    <x v="492"/>
    <x v="1"/>
    <x v="2"/>
  </r>
  <r>
    <x v="495"/>
    <x v="35"/>
    <x v="1"/>
    <x v="4"/>
    <x v="8"/>
    <x v="1"/>
    <x v="3"/>
    <x v="493"/>
    <x v="1"/>
    <x v="2"/>
  </r>
  <r>
    <x v="496"/>
    <x v="62"/>
    <x v="0"/>
    <x v="2"/>
    <x v="0"/>
    <x v="1"/>
    <x v="7"/>
    <x v="494"/>
    <x v="0"/>
    <x v="1"/>
  </r>
  <r>
    <x v="497"/>
    <x v="50"/>
    <x v="0"/>
    <x v="4"/>
    <x v="7"/>
    <x v="1"/>
    <x v="6"/>
    <x v="495"/>
    <x v="0"/>
    <x v="2"/>
  </r>
  <r>
    <x v="498"/>
    <x v="5"/>
    <x v="1"/>
    <x v="4"/>
    <x v="2"/>
    <x v="1"/>
    <x v="3"/>
    <x v="496"/>
    <x v="1"/>
    <x v="4"/>
  </r>
  <r>
    <x v="499"/>
    <x v="0"/>
    <x v="1"/>
    <x v="8"/>
    <x v="8"/>
    <x v="0"/>
    <x v="6"/>
    <x v="497"/>
    <x v="1"/>
    <x v="0"/>
  </r>
  <r>
    <x v="500"/>
    <x v="49"/>
    <x v="1"/>
    <x v="3"/>
    <x v="6"/>
    <x v="1"/>
    <x v="9"/>
    <x v="498"/>
    <x v="0"/>
    <x v="2"/>
  </r>
  <r>
    <x v="501"/>
    <x v="85"/>
    <x v="1"/>
    <x v="6"/>
    <x v="8"/>
    <x v="0"/>
    <x v="12"/>
    <x v="499"/>
    <x v="1"/>
    <x v="4"/>
  </r>
  <r>
    <x v="502"/>
    <x v="13"/>
    <x v="1"/>
    <x v="0"/>
    <x v="8"/>
    <x v="1"/>
    <x v="10"/>
    <x v="500"/>
    <x v="0"/>
    <x v="2"/>
  </r>
  <r>
    <x v="503"/>
    <x v="53"/>
    <x v="1"/>
    <x v="5"/>
    <x v="4"/>
    <x v="2"/>
    <x v="13"/>
    <x v="501"/>
    <x v="1"/>
    <x v="0"/>
  </r>
  <r>
    <x v="504"/>
    <x v="27"/>
    <x v="1"/>
    <x v="2"/>
    <x v="1"/>
    <x v="2"/>
    <x v="4"/>
    <x v="502"/>
    <x v="0"/>
    <x v="4"/>
  </r>
  <r>
    <x v="505"/>
    <x v="34"/>
    <x v="1"/>
    <x v="5"/>
    <x v="5"/>
    <x v="1"/>
    <x v="0"/>
    <x v="503"/>
    <x v="0"/>
    <x v="4"/>
  </r>
  <r>
    <x v="506"/>
    <x v="34"/>
    <x v="1"/>
    <x v="2"/>
    <x v="1"/>
    <x v="2"/>
    <x v="2"/>
    <x v="504"/>
    <x v="0"/>
    <x v="2"/>
  </r>
  <r>
    <x v="507"/>
    <x v="16"/>
    <x v="0"/>
    <x v="0"/>
    <x v="5"/>
    <x v="2"/>
    <x v="9"/>
    <x v="505"/>
    <x v="0"/>
    <x v="2"/>
  </r>
  <r>
    <x v="508"/>
    <x v="19"/>
    <x v="1"/>
    <x v="2"/>
    <x v="7"/>
    <x v="0"/>
    <x v="13"/>
    <x v="506"/>
    <x v="1"/>
    <x v="2"/>
  </r>
  <r>
    <x v="509"/>
    <x v="54"/>
    <x v="0"/>
    <x v="2"/>
    <x v="0"/>
    <x v="1"/>
    <x v="12"/>
    <x v="507"/>
    <x v="0"/>
    <x v="3"/>
  </r>
  <r>
    <x v="510"/>
    <x v="36"/>
    <x v="0"/>
    <x v="4"/>
    <x v="5"/>
    <x v="1"/>
    <x v="13"/>
    <x v="508"/>
    <x v="1"/>
    <x v="2"/>
  </r>
  <r>
    <x v="511"/>
    <x v="36"/>
    <x v="0"/>
    <x v="0"/>
    <x v="0"/>
    <x v="1"/>
    <x v="6"/>
    <x v="509"/>
    <x v="1"/>
    <x v="1"/>
  </r>
  <r>
    <x v="512"/>
    <x v="39"/>
    <x v="0"/>
    <x v="9"/>
    <x v="9"/>
    <x v="0"/>
    <x v="8"/>
    <x v="510"/>
    <x v="0"/>
    <x v="3"/>
  </r>
  <r>
    <x v="513"/>
    <x v="26"/>
    <x v="0"/>
    <x v="0"/>
    <x v="3"/>
    <x v="1"/>
    <x v="3"/>
    <x v="511"/>
    <x v="1"/>
    <x v="0"/>
  </r>
  <r>
    <x v="514"/>
    <x v="68"/>
    <x v="0"/>
    <x v="3"/>
    <x v="1"/>
    <x v="2"/>
    <x v="9"/>
    <x v="512"/>
    <x v="1"/>
    <x v="3"/>
  </r>
  <r>
    <x v="515"/>
    <x v="8"/>
    <x v="0"/>
    <x v="7"/>
    <x v="3"/>
    <x v="2"/>
    <x v="6"/>
    <x v="513"/>
    <x v="1"/>
    <x v="2"/>
  </r>
  <r>
    <x v="516"/>
    <x v="28"/>
    <x v="1"/>
    <x v="2"/>
    <x v="3"/>
    <x v="2"/>
    <x v="7"/>
    <x v="514"/>
    <x v="1"/>
    <x v="1"/>
  </r>
  <r>
    <x v="517"/>
    <x v="66"/>
    <x v="0"/>
    <x v="9"/>
    <x v="3"/>
    <x v="2"/>
    <x v="14"/>
    <x v="515"/>
    <x v="0"/>
    <x v="0"/>
  </r>
  <r>
    <x v="518"/>
    <x v="43"/>
    <x v="0"/>
    <x v="7"/>
    <x v="0"/>
    <x v="2"/>
    <x v="7"/>
    <x v="516"/>
    <x v="0"/>
    <x v="4"/>
  </r>
  <r>
    <x v="519"/>
    <x v="20"/>
    <x v="1"/>
    <x v="7"/>
    <x v="0"/>
    <x v="0"/>
    <x v="11"/>
    <x v="517"/>
    <x v="0"/>
    <x v="0"/>
  </r>
  <r>
    <x v="520"/>
    <x v="50"/>
    <x v="1"/>
    <x v="0"/>
    <x v="5"/>
    <x v="1"/>
    <x v="4"/>
    <x v="518"/>
    <x v="0"/>
    <x v="2"/>
  </r>
  <r>
    <x v="521"/>
    <x v="34"/>
    <x v="0"/>
    <x v="0"/>
    <x v="0"/>
    <x v="2"/>
    <x v="8"/>
    <x v="519"/>
    <x v="1"/>
    <x v="3"/>
  </r>
  <r>
    <x v="522"/>
    <x v="39"/>
    <x v="0"/>
    <x v="1"/>
    <x v="6"/>
    <x v="2"/>
    <x v="8"/>
    <x v="520"/>
    <x v="1"/>
    <x v="2"/>
  </r>
  <r>
    <x v="523"/>
    <x v="86"/>
    <x v="1"/>
    <x v="8"/>
    <x v="0"/>
    <x v="2"/>
    <x v="3"/>
    <x v="521"/>
    <x v="1"/>
    <x v="2"/>
  </r>
  <r>
    <x v="524"/>
    <x v="30"/>
    <x v="0"/>
    <x v="4"/>
    <x v="2"/>
    <x v="1"/>
    <x v="11"/>
    <x v="522"/>
    <x v="1"/>
    <x v="3"/>
  </r>
  <r>
    <x v="525"/>
    <x v="17"/>
    <x v="1"/>
    <x v="6"/>
    <x v="0"/>
    <x v="0"/>
    <x v="13"/>
    <x v="523"/>
    <x v="0"/>
    <x v="3"/>
  </r>
  <r>
    <x v="526"/>
    <x v="36"/>
    <x v="0"/>
    <x v="7"/>
    <x v="4"/>
    <x v="2"/>
    <x v="4"/>
    <x v="524"/>
    <x v="0"/>
    <x v="1"/>
  </r>
  <r>
    <x v="527"/>
    <x v="6"/>
    <x v="0"/>
    <x v="1"/>
    <x v="1"/>
    <x v="0"/>
    <x v="1"/>
    <x v="525"/>
    <x v="1"/>
    <x v="3"/>
  </r>
  <r>
    <x v="528"/>
    <x v="29"/>
    <x v="1"/>
    <x v="3"/>
    <x v="5"/>
    <x v="2"/>
    <x v="3"/>
    <x v="526"/>
    <x v="1"/>
    <x v="4"/>
  </r>
  <r>
    <x v="529"/>
    <x v="67"/>
    <x v="1"/>
    <x v="2"/>
    <x v="9"/>
    <x v="1"/>
    <x v="12"/>
    <x v="527"/>
    <x v="1"/>
    <x v="4"/>
  </r>
  <r>
    <x v="530"/>
    <x v="23"/>
    <x v="1"/>
    <x v="8"/>
    <x v="0"/>
    <x v="0"/>
    <x v="2"/>
    <x v="528"/>
    <x v="0"/>
    <x v="4"/>
  </r>
  <r>
    <x v="531"/>
    <x v="68"/>
    <x v="1"/>
    <x v="9"/>
    <x v="1"/>
    <x v="0"/>
    <x v="9"/>
    <x v="529"/>
    <x v="1"/>
    <x v="4"/>
  </r>
  <r>
    <x v="532"/>
    <x v="56"/>
    <x v="0"/>
    <x v="5"/>
    <x v="8"/>
    <x v="0"/>
    <x v="12"/>
    <x v="530"/>
    <x v="1"/>
    <x v="4"/>
  </r>
  <r>
    <x v="533"/>
    <x v="31"/>
    <x v="1"/>
    <x v="4"/>
    <x v="0"/>
    <x v="1"/>
    <x v="10"/>
    <x v="531"/>
    <x v="0"/>
    <x v="1"/>
  </r>
  <r>
    <x v="534"/>
    <x v="41"/>
    <x v="1"/>
    <x v="0"/>
    <x v="3"/>
    <x v="0"/>
    <x v="11"/>
    <x v="532"/>
    <x v="1"/>
    <x v="4"/>
  </r>
  <r>
    <x v="535"/>
    <x v="20"/>
    <x v="1"/>
    <x v="2"/>
    <x v="2"/>
    <x v="2"/>
    <x v="8"/>
    <x v="533"/>
    <x v="0"/>
    <x v="1"/>
  </r>
  <r>
    <x v="536"/>
    <x v="84"/>
    <x v="1"/>
    <x v="6"/>
    <x v="8"/>
    <x v="1"/>
    <x v="0"/>
    <x v="534"/>
    <x v="1"/>
    <x v="1"/>
  </r>
  <r>
    <x v="537"/>
    <x v="8"/>
    <x v="1"/>
    <x v="6"/>
    <x v="1"/>
    <x v="1"/>
    <x v="6"/>
    <x v="535"/>
    <x v="0"/>
    <x v="0"/>
  </r>
  <r>
    <x v="538"/>
    <x v="6"/>
    <x v="1"/>
    <x v="7"/>
    <x v="8"/>
    <x v="1"/>
    <x v="12"/>
    <x v="536"/>
    <x v="1"/>
    <x v="1"/>
  </r>
  <r>
    <x v="539"/>
    <x v="15"/>
    <x v="1"/>
    <x v="5"/>
    <x v="7"/>
    <x v="1"/>
    <x v="4"/>
    <x v="537"/>
    <x v="1"/>
    <x v="4"/>
  </r>
  <r>
    <x v="540"/>
    <x v="77"/>
    <x v="0"/>
    <x v="4"/>
    <x v="5"/>
    <x v="1"/>
    <x v="7"/>
    <x v="538"/>
    <x v="0"/>
    <x v="4"/>
  </r>
  <r>
    <x v="541"/>
    <x v="50"/>
    <x v="1"/>
    <x v="7"/>
    <x v="5"/>
    <x v="1"/>
    <x v="6"/>
    <x v="539"/>
    <x v="1"/>
    <x v="2"/>
  </r>
  <r>
    <x v="542"/>
    <x v="86"/>
    <x v="1"/>
    <x v="3"/>
    <x v="1"/>
    <x v="1"/>
    <x v="1"/>
    <x v="540"/>
    <x v="1"/>
    <x v="4"/>
  </r>
  <r>
    <x v="543"/>
    <x v="6"/>
    <x v="0"/>
    <x v="0"/>
    <x v="1"/>
    <x v="2"/>
    <x v="13"/>
    <x v="541"/>
    <x v="1"/>
    <x v="4"/>
  </r>
  <r>
    <x v="544"/>
    <x v="58"/>
    <x v="0"/>
    <x v="5"/>
    <x v="5"/>
    <x v="2"/>
    <x v="10"/>
    <x v="542"/>
    <x v="1"/>
    <x v="4"/>
  </r>
  <r>
    <x v="545"/>
    <x v="17"/>
    <x v="0"/>
    <x v="3"/>
    <x v="7"/>
    <x v="2"/>
    <x v="7"/>
    <x v="543"/>
    <x v="1"/>
    <x v="0"/>
  </r>
  <r>
    <x v="546"/>
    <x v="27"/>
    <x v="0"/>
    <x v="5"/>
    <x v="3"/>
    <x v="2"/>
    <x v="8"/>
    <x v="544"/>
    <x v="0"/>
    <x v="2"/>
  </r>
  <r>
    <x v="547"/>
    <x v="65"/>
    <x v="1"/>
    <x v="1"/>
    <x v="5"/>
    <x v="1"/>
    <x v="4"/>
    <x v="545"/>
    <x v="1"/>
    <x v="1"/>
  </r>
  <r>
    <x v="548"/>
    <x v="12"/>
    <x v="1"/>
    <x v="4"/>
    <x v="3"/>
    <x v="1"/>
    <x v="1"/>
    <x v="546"/>
    <x v="1"/>
    <x v="0"/>
  </r>
  <r>
    <x v="549"/>
    <x v="61"/>
    <x v="1"/>
    <x v="0"/>
    <x v="4"/>
    <x v="1"/>
    <x v="0"/>
    <x v="547"/>
    <x v="1"/>
    <x v="2"/>
  </r>
  <r>
    <x v="550"/>
    <x v="5"/>
    <x v="1"/>
    <x v="1"/>
    <x v="4"/>
    <x v="2"/>
    <x v="2"/>
    <x v="548"/>
    <x v="1"/>
    <x v="4"/>
  </r>
  <r>
    <x v="551"/>
    <x v="80"/>
    <x v="1"/>
    <x v="2"/>
    <x v="6"/>
    <x v="0"/>
    <x v="7"/>
    <x v="549"/>
    <x v="1"/>
    <x v="4"/>
  </r>
  <r>
    <x v="552"/>
    <x v="0"/>
    <x v="1"/>
    <x v="9"/>
    <x v="5"/>
    <x v="0"/>
    <x v="9"/>
    <x v="550"/>
    <x v="0"/>
    <x v="2"/>
  </r>
  <r>
    <x v="553"/>
    <x v="21"/>
    <x v="1"/>
    <x v="9"/>
    <x v="8"/>
    <x v="0"/>
    <x v="10"/>
    <x v="551"/>
    <x v="0"/>
    <x v="3"/>
  </r>
  <r>
    <x v="554"/>
    <x v="19"/>
    <x v="0"/>
    <x v="3"/>
    <x v="0"/>
    <x v="1"/>
    <x v="7"/>
    <x v="552"/>
    <x v="0"/>
    <x v="4"/>
  </r>
  <r>
    <x v="555"/>
    <x v="0"/>
    <x v="1"/>
    <x v="6"/>
    <x v="7"/>
    <x v="2"/>
    <x v="10"/>
    <x v="553"/>
    <x v="0"/>
    <x v="0"/>
  </r>
  <r>
    <x v="556"/>
    <x v="23"/>
    <x v="0"/>
    <x v="5"/>
    <x v="4"/>
    <x v="0"/>
    <x v="8"/>
    <x v="554"/>
    <x v="1"/>
    <x v="3"/>
  </r>
  <r>
    <x v="557"/>
    <x v="39"/>
    <x v="1"/>
    <x v="9"/>
    <x v="1"/>
    <x v="2"/>
    <x v="14"/>
    <x v="555"/>
    <x v="0"/>
    <x v="1"/>
  </r>
  <r>
    <x v="558"/>
    <x v="68"/>
    <x v="1"/>
    <x v="3"/>
    <x v="8"/>
    <x v="0"/>
    <x v="14"/>
    <x v="556"/>
    <x v="0"/>
    <x v="2"/>
  </r>
  <r>
    <x v="559"/>
    <x v="71"/>
    <x v="0"/>
    <x v="1"/>
    <x v="0"/>
    <x v="2"/>
    <x v="5"/>
    <x v="557"/>
    <x v="1"/>
    <x v="2"/>
  </r>
  <r>
    <x v="560"/>
    <x v="24"/>
    <x v="1"/>
    <x v="3"/>
    <x v="7"/>
    <x v="2"/>
    <x v="12"/>
    <x v="558"/>
    <x v="0"/>
    <x v="1"/>
  </r>
  <r>
    <x v="561"/>
    <x v="49"/>
    <x v="1"/>
    <x v="3"/>
    <x v="3"/>
    <x v="0"/>
    <x v="7"/>
    <x v="559"/>
    <x v="1"/>
    <x v="4"/>
  </r>
  <r>
    <x v="562"/>
    <x v="68"/>
    <x v="1"/>
    <x v="6"/>
    <x v="5"/>
    <x v="2"/>
    <x v="7"/>
    <x v="560"/>
    <x v="0"/>
    <x v="3"/>
  </r>
  <r>
    <x v="563"/>
    <x v="36"/>
    <x v="0"/>
    <x v="9"/>
    <x v="2"/>
    <x v="2"/>
    <x v="3"/>
    <x v="561"/>
    <x v="1"/>
    <x v="4"/>
  </r>
  <r>
    <x v="564"/>
    <x v="68"/>
    <x v="1"/>
    <x v="6"/>
    <x v="3"/>
    <x v="0"/>
    <x v="14"/>
    <x v="562"/>
    <x v="0"/>
    <x v="1"/>
  </r>
  <r>
    <x v="565"/>
    <x v="80"/>
    <x v="0"/>
    <x v="1"/>
    <x v="0"/>
    <x v="2"/>
    <x v="5"/>
    <x v="563"/>
    <x v="0"/>
    <x v="0"/>
  </r>
  <r>
    <x v="566"/>
    <x v="15"/>
    <x v="0"/>
    <x v="8"/>
    <x v="5"/>
    <x v="2"/>
    <x v="8"/>
    <x v="564"/>
    <x v="0"/>
    <x v="2"/>
  </r>
  <r>
    <x v="567"/>
    <x v="77"/>
    <x v="0"/>
    <x v="9"/>
    <x v="0"/>
    <x v="2"/>
    <x v="13"/>
    <x v="565"/>
    <x v="0"/>
    <x v="2"/>
  </r>
  <r>
    <x v="568"/>
    <x v="82"/>
    <x v="1"/>
    <x v="6"/>
    <x v="5"/>
    <x v="0"/>
    <x v="12"/>
    <x v="566"/>
    <x v="0"/>
    <x v="2"/>
  </r>
  <r>
    <x v="569"/>
    <x v="1"/>
    <x v="1"/>
    <x v="3"/>
    <x v="9"/>
    <x v="0"/>
    <x v="14"/>
    <x v="567"/>
    <x v="1"/>
    <x v="4"/>
  </r>
  <r>
    <x v="570"/>
    <x v="29"/>
    <x v="0"/>
    <x v="5"/>
    <x v="8"/>
    <x v="1"/>
    <x v="12"/>
    <x v="568"/>
    <x v="0"/>
    <x v="3"/>
  </r>
  <r>
    <x v="571"/>
    <x v="1"/>
    <x v="1"/>
    <x v="5"/>
    <x v="9"/>
    <x v="2"/>
    <x v="13"/>
    <x v="569"/>
    <x v="0"/>
    <x v="2"/>
  </r>
  <r>
    <x v="572"/>
    <x v="52"/>
    <x v="1"/>
    <x v="8"/>
    <x v="9"/>
    <x v="1"/>
    <x v="14"/>
    <x v="570"/>
    <x v="1"/>
    <x v="2"/>
  </r>
  <r>
    <x v="573"/>
    <x v="10"/>
    <x v="1"/>
    <x v="1"/>
    <x v="6"/>
    <x v="1"/>
    <x v="9"/>
    <x v="571"/>
    <x v="0"/>
    <x v="4"/>
  </r>
  <r>
    <x v="574"/>
    <x v="39"/>
    <x v="0"/>
    <x v="9"/>
    <x v="3"/>
    <x v="1"/>
    <x v="12"/>
    <x v="572"/>
    <x v="1"/>
    <x v="2"/>
  </r>
  <r>
    <x v="575"/>
    <x v="34"/>
    <x v="0"/>
    <x v="5"/>
    <x v="1"/>
    <x v="0"/>
    <x v="0"/>
    <x v="573"/>
    <x v="0"/>
    <x v="4"/>
  </r>
  <r>
    <x v="576"/>
    <x v="25"/>
    <x v="0"/>
    <x v="0"/>
    <x v="8"/>
    <x v="0"/>
    <x v="2"/>
    <x v="574"/>
    <x v="1"/>
    <x v="1"/>
  </r>
  <r>
    <x v="577"/>
    <x v="39"/>
    <x v="0"/>
    <x v="4"/>
    <x v="5"/>
    <x v="1"/>
    <x v="0"/>
    <x v="575"/>
    <x v="0"/>
    <x v="1"/>
  </r>
  <r>
    <x v="578"/>
    <x v="50"/>
    <x v="0"/>
    <x v="6"/>
    <x v="1"/>
    <x v="1"/>
    <x v="9"/>
    <x v="576"/>
    <x v="1"/>
    <x v="0"/>
  </r>
  <r>
    <x v="579"/>
    <x v="42"/>
    <x v="1"/>
    <x v="0"/>
    <x v="9"/>
    <x v="0"/>
    <x v="8"/>
    <x v="577"/>
    <x v="0"/>
    <x v="3"/>
  </r>
  <r>
    <x v="580"/>
    <x v="27"/>
    <x v="1"/>
    <x v="2"/>
    <x v="0"/>
    <x v="0"/>
    <x v="11"/>
    <x v="578"/>
    <x v="0"/>
    <x v="2"/>
  </r>
  <r>
    <x v="581"/>
    <x v="84"/>
    <x v="1"/>
    <x v="1"/>
    <x v="0"/>
    <x v="2"/>
    <x v="11"/>
    <x v="579"/>
    <x v="1"/>
    <x v="3"/>
  </r>
  <r>
    <x v="582"/>
    <x v="46"/>
    <x v="1"/>
    <x v="0"/>
    <x v="9"/>
    <x v="2"/>
    <x v="4"/>
    <x v="580"/>
    <x v="0"/>
    <x v="0"/>
  </r>
  <r>
    <x v="583"/>
    <x v="33"/>
    <x v="1"/>
    <x v="5"/>
    <x v="5"/>
    <x v="1"/>
    <x v="3"/>
    <x v="581"/>
    <x v="1"/>
    <x v="4"/>
  </r>
  <r>
    <x v="584"/>
    <x v="40"/>
    <x v="0"/>
    <x v="9"/>
    <x v="4"/>
    <x v="1"/>
    <x v="6"/>
    <x v="582"/>
    <x v="1"/>
    <x v="1"/>
  </r>
  <r>
    <x v="585"/>
    <x v="57"/>
    <x v="0"/>
    <x v="6"/>
    <x v="1"/>
    <x v="0"/>
    <x v="6"/>
    <x v="583"/>
    <x v="1"/>
    <x v="3"/>
  </r>
  <r>
    <x v="586"/>
    <x v="0"/>
    <x v="0"/>
    <x v="4"/>
    <x v="7"/>
    <x v="2"/>
    <x v="10"/>
    <x v="584"/>
    <x v="0"/>
    <x v="1"/>
  </r>
  <r>
    <x v="587"/>
    <x v="88"/>
    <x v="1"/>
    <x v="3"/>
    <x v="3"/>
    <x v="2"/>
    <x v="13"/>
    <x v="585"/>
    <x v="0"/>
    <x v="2"/>
  </r>
  <r>
    <x v="588"/>
    <x v="38"/>
    <x v="1"/>
    <x v="8"/>
    <x v="4"/>
    <x v="0"/>
    <x v="5"/>
    <x v="586"/>
    <x v="1"/>
    <x v="4"/>
  </r>
  <r>
    <x v="589"/>
    <x v="75"/>
    <x v="1"/>
    <x v="9"/>
    <x v="1"/>
    <x v="2"/>
    <x v="3"/>
    <x v="587"/>
    <x v="1"/>
    <x v="0"/>
  </r>
  <r>
    <x v="590"/>
    <x v="7"/>
    <x v="0"/>
    <x v="5"/>
    <x v="0"/>
    <x v="2"/>
    <x v="0"/>
    <x v="588"/>
    <x v="1"/>
    <x v="4"/>
  </r>
  <r>
    <x v="591"/>
    <x v="50"/>
    <x v="1"/>
    <x v="9"/>
    <x v="1"/>
    <x v="2"/>
    <x v="9"/>
    <x v="589"/>
    <x v="1"/>
    <x v="0"/>
  </r>
  <r>
    <x v="592"/>
    <x v="16"/>
    <x v="1"/>
    <x v="5"/>
    <x v="5"/>
    <x v="2"/>
    <x v="6"/>
    <x v="590"/>
    <x v="1"/>
    <x v="1"/>
  </r>
  <r>
    <x v="593"/>
    <x v="84"/>
    <x v="1"/>
    <x v="1"/>
    <x v="3"/>
    <x v="0"/>
    <x v="13"/>
    <x v="591"/>
    <x v="0"/>
    <x v="4"/>
  </r>
  <r>
    <x v="594"/>
    <x v="5"/>
    <x v="0"/>
    <x v="7"/>
    <x v="9"/>
    <x v="1"/>
    <x v="4"/>
    <x v="592"/>
    <x v="0"/>
    <x v="2"/>
  </r>
  <r>
    <x v="595"/>
    <x v="67"/>
    <x v="1"/>
    <x v="0"/>
    <x v="0"/>
    <x v="2"/>
    <x v="6"/>
    <x v="593"/>
    <x v="0"/>
    <x v="3"/>
  </r>
  <r>
    <x v="596"/>
    <x v="6"/>
    <x v="1"/>
    <x v="9"/>
    <x v="8"/>
    <x v="2"/>
    <x v="14"/>
    <x v="594"/>
    <x v="0"/>
    <x v="2"/>
  </r>
  <r>
    <x v="597"/>
    <x v="89"/>
    <x v="0"/>
    <x v="7"/>
    <x v="8"/>
    <x v="2"/>
    <x v="7"/>
    <x v="595"/>
    <x v="0"/>
    <x v="1"/>
  </r>
  <r>
    <x v="598"/>
    <x v="0"/>
    <x v="1"/>
    <x v="6"/>
    <x v="8"/>
    <x v="2"/>
    <x v="9"/>
    <x v="596"/>
    <x v="1"/>
    <x v="2"/>
  </r>
  <r>
    <x v="599"/>
    <x v="76"/>
    <x v="0"/>
    <x v="1"/>
    <x v="6"/>
    <x v="1"/>
    <x v="9"/>
    <x v="597"/>
    <x v="0"/>
    <x v="1"/>
  </r>
  <r>
    <x v="600"/>
    <x v="50"/>
    <x v="1"/>
    <x v="5"/>
    <x v="5"/>
    <x v="0"/>
    <x v="1"/>
    <x v="598"/>
    <x v="1"/>
    <x v="0"/>
  </r>
  <r>
    <x v="601"/>
    <x v="24"/>
    <x v="0"/>
    <x v="3"/>
    <x v="9"/>
    <x v="0"/>
    <x v="9"/>
    <x v="599"/>
    <x v="0"/>
    <x v="0"/>
  </r>
  <r>
    <x v="602"/>
    <x v="79"/>
    <x v="1"/>
    <x v="4"/>
    <x v="5"/>
    <x v="1"/>
    <x v="13"/>
    <x v="600"/>
    <x v="0"/>
    <x v="1"/>
  </r>
  <r>
    <x v="603"/>
    <x v="0"/>
    <x v="0"/>
    <x v="6"/>
    <x v="5"/>
    <x v="2"/>
    <x v="4"/>
    <x v="601"/>
    <x v="1"/>
    <x v="3"/>
  </r>
  <r>
    <x v="604"/>
    <x v="78"/>
    <x v="0"/>
    <x v="2"/>
    <x v="3"/>
    <x v="2"/>
    <x v="11"/>
    <x v="602"/>
    <x v="0"/>
    <x v="3"/>
  </r>
  <r>
    <x v="605"/>
    <x v="4"/>
    <x v="1"/>
    <x v="5"/>
    <x v="4"/>
    <x v="1"/>
    <x v="11"/>
    <x v="603"/>
    <x v="1"/>
    <x v="1"/>
  </r>
  <r>
    <x v="606"/>
    <x v="17"/>
    <x v="0"/>
    <x v="4"/>
    <x v="8"/>
    <x v="2"/>
    <x v="8"/>
    <x v="604"/>
    <x v="1"/>
    <x v="4"/>
  </r>
  <r>
    <x v="607"/>
    <x v="56"/>
    <x v="0"/>
    <x v="2"/>
    <x v="5"/>
    <x v="0"/>
    <x v="13"/>
    <x v="605"/>
    <x v="0"/>
    <x v="2"/>
  </r>
  <r>
    <x v="608"/>
    <x v="53"/>
    <x v="1"/>
    <x v="8"/>
    <x v="6"/>
    <x v="1"/>
    <x v="8"/>
    <x v="606"/>
    <x v="1"/>
    <x v="2"/>
  </r>
  <r>
    <x v="609"/>
    <x v="48"/>
    <x v="1"/>
    <x v="8"/>
    <x v="8"/>
    <x v="0"/>
    <x v="0"/>
    <x v="607"/>
    <x v="1"/>
    <x v="0"/>
  </r>
  <r>
    <x v="610"/>
    <x v="61"/>
    <x v="1"/>
    <x v="1"/>
    <x v="2"/>
    <x v="2"/>
    <x v="4"/>
    <x v="608"/>
    <x v="1"/>
    <x v="2"/>
  </r>
  <r>
    <x v="611"/>
    <x v="27"/>
    <x v="1"/>
    <x v="0"/>
    <x v="6"/>
    <x v="0"/>
    <x v="7"/>
    <x v="609"/>
    <x v="1"/>
    <x v="4"/>
  </r>
  <r>
    <x v="612"/>
    <x v="59"/>
    <x v="0"/>
    <x v="5"/>
    <x v="2"/>
    <x v="2"/>
    <x v="10"/>
    <x v="610"/>
    <x v="0"/>
    <x v="3"/>
  </r>
  <r>
    <x v="613"/>
    <x v="88"/>
    <x v="0"/>
    <x v="5"/>
    <x v="4"/>
    <x v="0"/>
    <x v="14"/>
    <x v="611"/>
    <x v="0"/>
    <x v="3"/>
  </r>
  <r>
    <x v="614"/>
    <x v="35"/>
    <x v="0"/>
    <x v="2"/>
    <x v="6"/>
    <x v="1"/>
    <x v="2"/>
    <x v="612"/>
    <x v="1"/>
    <x v="2"/>
  </r>
  <r>
    <x v="615"/>
    <x v="56"/>
    <x v="1"/>
    <x v="7"/>
    <x v="5"/>
    <x v="1"/>
    <x v="7"/>
    <x v="613"/>
    <x v="0"/>
    <x v="3"/>
  </r>
  <r>
    <x v="616"/>
    <x v="56"/>
    <x v="1"/>
    <x v="4"/>
    <x v="8"/>
    <x v="1"/>
    <x v="4"/>
    <x v="614"/>
    <x v="1"/>
    <x v="3"/>
  </r>
  <r>
    <x v="617"/>
    <x v="4"/>
    <x v="1"/>
    <x v="0"/>
    <x v="2"/>
    <x v="2"/>
    <x v="1"/>
    <x v="615"/>
    <x v="1"/>
    <x v="1"/>
  </r>
  <r>
    <x v="618"/>
    <x v="74"/>
    <x v="0"/>
    <x v="3"/>
    <x v="0"/>
    <x v="1"/>
    <x v="11"/>
    <x v="616"/>
    <x v="0"/>
    <x v="2"/>
  </r>
  <r>
    <x v="619"/>
    <x v="83"/>
    <x v="1"/>
    <x v="6"/>
    <x v="7"/>
    <x v="2"/>
    <x v="5"/>
    <x v="617"/>
    <x v="0"/>
    <x v="0"/>
  </r>
  <r>
    <x v="620"/>
    <x v="34"/>
    <x v="0"/>
    <x v="5"/>
    <x v="8"/>
    <x v="0"/>
    <x v="5"/>
    <x v="618"/>
    <x v="0"/>
    <x v="1"/>
  </r>
  <r>
    <x v="621"/>
    <x v="67"/>
    <x v="0"/>
    <x v="7"/>
    <x v="8"/>
    <x v="2"/>
    <x v="8"/>
    <x v="619"/>
    <x v="1"/>
    <x v="3"/>
  </r>
  <r>
    <x v="622"/>
    <x v="80"/>
    <x v="1"/>
    <x v="8"/>
    <x v="2"/>
    <x v="2"/>
    <x v="12"/>
    <x v="620"/>
    <x v="1"/>
    <x v="0"/>
  </r>
  <r>
    <x v="623"/>
    <x v="76"/>
    <x v="1"/>
    <x v="7"/>
    <x v="5"/>
    <x v="0"/>
    <x v="9"/>
    <x v="621"/>
    <x v="0"/>
    <x v="0"/>
  </r>
  <r>
    <x v="624"/>
    <x v="23"/>
    <x v="1"/>
    <x v="6"/>
    <x v="2"/>
    <x v="1"/>
    <x v="1"/>
    <x v="622"/>
    <x v="0"/>
    <x v="3"/>
  </r>
  <r>
    <x v="625"/>
    <x v="58"/>
    <x v="0"/>
    <x v="2"/>
    <x v="6"/>
    <x v="0"/>
    <x v="1"/>
    <x v="623"/>
    <x v="0"/>
    <x v="2"/>
  </r>
  <r>
    <x v="626"/>
    <x v="73"/>
    <x v="1"/>
    <x v="1"/>
    <x v="1"/>
    <x v="0"/>
    <x v="2"/>
    <x v="624"/>
    <x v="1"/>
    <x v="1"/>
  </r>
  <r>
    <x v="627"/>
    <x v="33"/>
    <x v="0"/>
    <x v="1"/>
    <x v="9"/>
    <x v="2"/>
    <x v="14"/>
    <x v="625"/>
    <x v="1"/>
    <x v="2"/>
  </r>
  <r>
    <x v="628"/>
    <x v="79"/>
    <x v="0"/>
    <x v="0"/>
    <x v="0"/>
    <x v="2"/>
    <x v="6"/>
    <x v="626"/>
    <x v="0"/>
    <x v="4"/>
  </r>
  <r>
    <x v="629"/>
    <x v="35"/>
    <x v="0"/>
    <x v="2"/>
    <x v="2"/>
    <x v="1"/>
    <x v="7"/>
    <x v="627"/>
    <x v="0"/>
    <x v="2"/>
  </r>
  <r>
    <x v="630"/>
    <x v="84"/>
    <x v="0"/>
    <x v="2"/>
    <x v="5"/>
    <x v="2"/>
    <x v="1"/>
    <x v="628"/>
    <x v="0"/>
    <x v="3"/>
  </r>
  <r>
    <x v="631"/>
    <x v="26"/>
    <x v="0"/>
    <x v="3"/>
    <x v="9"/>
    <x v="1"/>
    <x v="13"/>
    <x v="629"/>
    <x v="1"/>
    <x v="1"/>
  </r>
  <r>
    <x v="632"/>
    <x v="15"/>
    <x v="0"/>
    <x v="2"/>
    <x v="5"/>
    <x v="0"/>
    <x v="12"/>
    <x v="630"/>
    <x v="0"/>
    <x v="1"/>
  </r>
  <r>
    <x v="633"/>
    <x v="37"/>
    <x v="0"/>
    <x v="9"/>
    <x v="7"/>
    <x v="2"/>
    <x v="0"/>
    <x v="631"/>
    <x v="0"/>
    <x v="1"/>
  </r>
  <r>
    <x v="634"/>
    <x v="4"/>
    <x v="1"/>
    <x v="8"/>
    <x v="1"/>
    <x v="2"/>
    <x v="3"/>
    <x v="632"/>
    <x v="1"/>
    <x v="1"/>
  </r>
  <r>
    <x v="635"/>
    <x v="24"/>
    <x v="1"/>
    <x v="6"/>
    <x v="0"/>
    <x v="1"/>
    <x v="11"/>
    <x v="633"/>
    <x v="1"/>
    <x v="4"/>
  </r>
  <r>
    <x v="636"/>
    <x v="20"/>
    <x v="1"/>
    <x v="7"/>
    <x v="2"/>
    <x v="2"/>
    <x v="7"/>
    <x v="634"/>
    <x v="0"/>
    <x v="4"/>
  </r>
  <r>
    <x v="637"/>
    <x v="19"/>
    <x v="0"/>
    <x v="3"/>
    <x v="9"/>
    <x v="2"/>
    <x v="2"/>
    <x v="635"/>
    <x v="1"/>
    <x v="1"/>
  </r>
  <r>
    <x v="638"/>
    <x v="71"/>
    <x v="0"/>
    <x v="6"/>
    <x v="1"/>
    <x v="0"/>
    <x v="11"/>
    <x v="636"/>
    <x v="1"/>
    <x v="2"/>
  </r>
  <r>
    <x v="639"/>
    <x v="28"/>
    <x v="0"/>
    <x v="4"/>
    <x v="1"/>
    <x v="0"/>
    <x v="11"/>
    <x v="637"/>
    <x v="1"/>
    <x v="1"/>
  </r>
  <r>
    <x v="640"/>
    <x v="81"/>
    <x v="0"/>
    <x v="3"/>
    <x v="9"/>
    <x v="2"/>
    <x v="14"/>
    <x v="638"/>
    <x v="0"/>
    <x v="4"/>
  </r>
  <r>
    <x v="641"/>
    <x v="82"/>
    <x v="0"/>
    <x v="8"/>
    <x v="3"/>
    <x v="0"/>
    <x v="11"/>
    <x v="639"/>
    <x v="1"/>
    <x v="3"/>
  </r>
  <r>
    <x v="642"/>
    <x v="36"/>
    <x v="0"/>
    <x v="9"/>
    <x v="5"/>
    <x v="2"/>
    <x v="10"/>
    <x v="640"/>
    <x v="0"/>
    <x v="4"/>
  </r>
  <r>
    <x v="643"/>
    <x v="26"/>
    <x v="1"/>
    <x v="9"/>
    <x v="8"/>
    <x v="2"/>
    <x v="2"/>
    <x v="641"/>
    <x v="1"/>
    <x v="2"/>
  </r>
  <r>
    <x v="644"/>
    <x v="20"/>
    <x v="1"/>
    <x v="7"/>
    <x v="4"/>
    <x v="2"/>
    <x v="11"/>
    <x v="642"/>
    <x v="1"/>
    <x v="3"/>
  </r>
  <r>
    <x v="645"/>
    <x v="73"/>
    <x v="0"/>
    <x v="3"/>
    <x v="8"/>
    <x v="1"/>
    <x v="0"/>
    <x v="643"/>
    <x v="0"/>
    <x v="0"/>
  </r>
  <r>
    <x v="646"/>
    <x v="73"/>
    <x v="1"/>
    <x v="5"/>
    <x v="8"/>
    <x v="0"/>
    <x v="9"/>
    <x v="644"/>
    <x v="1"/>
    <x v="4"/>
  </r>
  <r>
    <x v="647"/>
    <x v="6"/>
    <x v="0"/>
    <x v="3"/>
    <x v="4"/>
    <x v="1"/>
    <x v="5"/>
    <x v="645"/>
    <x v="1"/>
    <x v="0"/>
  </r>
  <r>
    <x v="648"/>
    <x v="54"/>
    <x v="0"/>
    <x v="4"/>
    <x v="3"/>
    <x v="2"/>
    <x v="12"/>
    <x v="646"/>
    <x v="1"/>
    <x v="1"/>
  </r>
  <r>
    <x v="649"/>
    <x v="40"/>
    <x v="1"/>
    <x v="5"/>
    <x v="3"/>
    <x v="1"/>
    <x v="1"/>
    <x v="647"/>
    <x v="0"/>
    <x v="0"/>
  </r>
  <r>
    <x v="650"/>
    <x v="56"/>
    <x v="1"/>
    <x v="5"/>
    <x v="3"/>
    <x v="1"/>
    <x v="1"/>
    <x v="648"/>
    <x v="1"/>
    <x v="1"/>
  </r>
  <r>
    <x v="651"/>
    <x v="60"/>
    <x v="1"/>
    <x v="7"/>
    <x v="5"/>
    <x v="1"/>
    <x v="5"/>
    <x v="649"/>
    <x v="1"/>
    <x v="1"/>
  </r>
  <r>
    <x v="652"/>
    <x v="4"/>
    <x v="0"/>
    <x v="2"/>
    <x v="0"/>
    <x v="2"/>
    <x v="10"/>
    <x v="650"/>
    <x v="0"/>
    <x v="4"/>
  </r>
  <r>
    <x v="653"/>
    <x v="30"/>
    <x v="1"/>
    <x v="9"/>
    <x v="2"/>
    <x v="1"/>
    <x v="13"/>
    <x v="651"/>
    <x v="1"/>
    <x v="4"/>
  </r>
  <r>
    <x v="654"/>
    <x v="37"/>
    <x v="0"/>
    <x v="5"/>
    <x v="8"/>
    <x v="1"/>
    <x v="13"/>
    <x v="652"/>
    <x v="0"/>
    <x v="1"/>
  </r>
  <r>
    <x v="655"/>
    <x v="23"/>
    <x v="0"/>
    <x v="5"/>
    <x v="8"/>
    <x v="1"/>
    <x v="2"/>
    <x v="653"/>
    <x v="0"/>
    <x v="3"/>
  </r>
  <r>
    <x v="656"/>
    <x v="77"/>
    <x v="1"/>
    <x v="5"/>
    <x v="1"/>
    <x v="0"/>
    <x v="0"/>
    <x v="654"/>
    <x v="1"/>
    <x v="4"/>
  </r>
  <r>
    <x v="657"/>
    <x v="55"/>
    <x v="1"/>
    <x v="4"/>
    <x v="5"/>
    <x v="2"/>
    <x v="9"/>
    <x v="655"/>
    <x v="0"/>
    <x v="3"/>
  </r>
  <r>
    <x v="658"/>
    <x v="11"/>
    <x v="1"/>
    <x v="6"/>
    <x v="9"/>
    <x v="0"/>
    <x v="7"/>
    <x v="656"/>
    <x v="1"/>
    <x v="2"/>
  </r>
  <r>
    <x v="659"/>
    <x v="89"/>
    <x v="1"/>
    <x v="3"/>
    <x v="6"/>
    <x v="1"/>
    <x v="7"/>
    <x v="657"/>
    <x v="1"/>
    <x v="0"/>
  </r>
  <r>
    <x v="660"/>
    <x v="8"/>
    <x v="1"/>
    <x v="1"/>
    <x v="5"/>
    <x v="1"/>
    <x v="6"/>
    <x v="658"/>
    <x v="1"/>
    <x v="1"/>
  </r>
  <r>
    <x v="661"/>
    <x v="42"/>
    <x v="1"/>
    <x v="7"/>
    <x v="7"/>
    <x v="0"/>
    <x v="1"/>
    <x v="659"/>
    <x v="0"/>
    <x v="3"/>
  </r>
  <r>
    <x v="662"/>
    <x v="84"/>
    <x v="0"/>
    <x v="7"/>
    <x v="5"/>
    <x v="2"/>
    <x v="12"/>
    <x v="660"/>
    <x v="0"/>
    <x v="2"/>
  </r>
  <r>
    <x v="663"/>
    <x v="67"/>
    <x v="0"/>
    <x v="3"/>
    <x v="4"/>
    <x v="2"/>
    <x v="4"/>
    <x v="661"/>
    <x v="1"/>
    <x v="3"/>
  </r>
  <r>
    <x v="664"/>
    <x v="1"/>
    <x v="1"/>
    <x v="0"/>
    <x v="7"/>
    <x v="0"/>
    <x v="12"/>
    <x v="662"/>
    <x v="1"/>
    <x v="3"/>
  </r>
  <r>
    <x v="665"/>
    <x v="69"/>
    <x v="1"/>
    <x v="8"/>
    <x v="8"/>
    <x v="1"/>
    <x v="14"/>
    <x v="663"/>
    <x v="1"/>
    <x v="0"/>
  </r>
  <r>
    <x v="666"/>
    <x v="34"/>
    <x v="1"/>
    <x v="9"/>
    <x v="3"/>
    <x v="1"/>
    <x v="14"/>
    <x v="664"/>
    <x v="0"/>
    <x v="3"/>
  </r>
  <r>
    <x v="667"/>
    <x v="26"/>
    <x v="0"/>
    <x v="8"/>
    <x v="4"/>
    <x v="0"/>
    <x v="7"/>
    <x v="665"/>
    <x v="0"/>
    <x v="2"/>
  </r>
  <r>
    <x v="668"/>
    <x v="66"/>
    <x v="1"/>
    <x v="8"/>
    <x v="7"/>
    <x v="1"/>
    <x v="12"/>
    <x v="666"/>
    <x v="0"/>
    <x v="4"/>
  </r>
  <r>
    <x v="669"/>
    <x v="67"/>
    <x v="0"/>
    <x v="7"/>
    <x v="7"/>
    <x v="0"/>
    <x v="9"/>
    <x v="667"/>
    <x v="1"/>
    <x v="0"/>
  </r>
  <r>
    <x v="670"/>
    <x v="70"/>
    <x v="1"/>
    <x v="5"/>
    <x v="0"/>
    <x v="2"/>
    <x v="10"/>
    <x v="668"/>
    <x v="1"/>
    <x v="2"/>
  </r>
  <r>
    <x v="671"/>
    <x v="18"/>
    <x v="1"/>
    <x v="8"/>
    <x v="8"/>
    <x v="1"/>
    <x v="0"/>
    <x v="669"/>
    <x v="0"/>
    <x v="4"/>
  </r>
  <r>
    <x v="672"/>
    <x v="66"/>
    <x v="0"/>
    <x v="0"/>
    <x v="7"/>
    <x v="2"/>
    <x v="10"/>
    <x v="670"/>
    <x v="1"/>
    <x v="4"/>
  </r>
  <r>
    <x v="673"/>
    <x v="21"/>
    <x v="1"/>
    <x v="7"/>
    <x v="0"/>
    <x v="2"/>
    <x v="0"/>
    <x v="671"/>
    <x v="1"/>
    <x v="1"/>
  </r>
  <r>
    <x v="674"/>
    <x v="76"/>
    <x v="0"/>
    <x v="1"/>
    <x v="2"/>
    <x v="1"/>
    <x v="10"/>
    <x v="672"/>
    <x v="0"/>
    <x v="0"/>
  </r>
  <r>
    <x v="675"/>
    <x v="78"/>
    <x v="1"/>
    <x v="0"/>
    <x v="8"/>
    <x v="0"/>
    <x v="12"/>
    <x v="673"/>
    <x v="0"/>
    <x v="0"/>
  </r>
  <r>
    <x v="676"/>
    <x v="73"/>
    <x v="1"/>
    <x v="9"/>
    <x v="2"/>
    <x v="0"/>
    <x v="0"/>
    <x v="674"/>
    <x v="0"/>
    <x v="2"/>
  </r>
  <r>
    <x v="677"/>
    <x v="38"/>
    <x v="1"/>
    <x v="6"/>
    <x v="2"/>
    <x v="1"/>
    <x v="2"/>
    <x v="675"/>
    <x v="0"/>
    <x v="3"/>
  </r>
  <r>
    <x v="678"/>
    <x v="49"/>
    <x v="0"/>
    <x v="3"/>
    <x v="2"/>
    <x v="1"/>
    <x v="12"/>
    <x v="676"/>
    <x v="0"/>
    <x v="4"/>
  </r>
  <r>
    <x v="679"/>
    <x v="26"/>
    <x v="1"/>
    <x v="2"/>
    <x v="7"/>
    <x v="2"/>
    <x v="3"/>
    <x v="677"/>
    <x v="0"/>
    <x v="0"/>
  </r>
  <r>
    <x v="680"/>
    <x v="65"/>
    <x v="0"/>
    <x v="3"/>
    <x v="1"/>
    <x v="2"/>
    <x v="6"/>
    <x v="678"/>
    <x v="1"/>
    <x v="4"/>
  </r>
  <r>
    <x v="681"/>
    <x v="67"/>
    <x v="0"/>
    <x v="4"/>
    <x v="6"/>
    <x v="1"/>
    <x v="9"/>
    <x v="679"/>
    <x v="1"/>
    <x v="0"/>
  </r>
  <r>
    <x v="682"/>
    <x v="76"/>
    <x v="1"/>
    <x v="3"/>
    <x v="7"/>
    <x v="1"/>
    <x v="13"/>
    <x v="680"/>
    <x v="0"/>
    <x v="1"/>
  </r>
  <r>
    <x v="683"/>
    <x v="66"/>
    <x v="1"/>
    <x v="5"/>
    <x v="6"/>
    <x v="2"/>
    <x v="2"/>
    <x v="681"/>
    <x v="1"/>
    <x v="1"/>
  </r>
  <r>
    <x v="684"/>
    <x v="47"/>
    <x v="0"/>
    <x v="8"/>
    <x v="1"/>
    <x v="1"/>
    <x v="5"/>
    <x v="682"/>
    <x v="0"/>
    <x v="3"/>
  </r>
  <r>
    <x v="685"/>
    <x v="44"/>
    <x v="0"/>
    <x v="1"/>
    <x v="4"/>
    <x v="2"/>
    <x v="4"/>
    <x v="683"/>
    <x v="1"/>
    <x v="3"/>
  </r>
  <r>
    <x v="686"/>
    <x v="50"/>
    <x v="1"/>
    <x v="8"/>
    <x v="5"/>
    <x v="1"/>
    <x v="13"/>
    <x v="684"/>
    <x v="0"/>
    <x v="1"/>
  </r>
  <r>
    <x v="687"/>
    <x v="58"/>
    <x v="1"/>
    <x v="3"/>
    <x v="2"/>
    <x v="1"/>
    <x v="3"/>
    <x v="685"/>
    <x v="0"/>
    <x v="4"/>
  </r>
  <r>
    <x v="688"/>
    <x v="74"/>
    <x v="0"/>
    <x v="3"/>
    <x v="5"/>
    <x v="2"/>
    <x v="5"/>
    <x v="686"/>
    <x v="1"/>
    <x v="2"/>
  </r>
  <r>
    <x v="689"/>
    <x v="76"/>
    <x v="1"/>
    <x v="9"/>
    <x v="9"/>
    <x v="2"/>
    <x v="2"/>
    <x v="687"/>
    <x v="1"/>
    <x v="2"/>
  </r>
  <r>
    <x v="690"/>
    <x v="32"/>
    <x v="1"/>
    <x v="8"/>
    <x v="1"/>
    <x v="2"/>
    <x v="6"/>
    <x v="688"/>
    <x v="1"/>
    <x v="1"/>
  </r>
  <r>
    <x v="691"/>
    <x v="77"/>
    <x v="0"/>
    <x v="2"/>
    <x v="3"/>
    <x v="0"/>
    <x v="14"/>
    <x v="689"/>
    <x v="0"/>
    <x v="3"/>
  </r>
  <r>
    <x v="692"/>
    <x v="27"/>
    <x v="0"/>
    <x v="7"/>
    <x v="1"/>
    <x v="0"/>
    <x v="12"/>
    <x v="690"/>
    <x v="1"/>
    <x v="1"/>
  </r>
  <r>
    <x v="693"/>
    <x v="27"/>
    <x v="1"/>
    <x v="2"/>
    <x v="2"/>
    <x v="1"/>
    <x v="8"/>
    <x v="691"/>
    <x v="0"/>
    <x v="0"/>
  </r>
  <r>
    <x v="694"/>
    <x v="13"/>
    <x v="0"/>
    <x v="6"/>
    <x v="7"/>
    <x v="1"/>
    <x v="13"/>
    <x v="692"/>
    <x v="1"/>
    <x v="2"/>
  </r>
  <r>
    <x v="695"/>
    <x v="29"/>
    <x v="1"/>
    <x v="2"/>
    <x v="7"/>
    <x v="2"/>
    <x v="2"/>
    <x v="693"/>
    <x v="1"/>
    <x v="3"/>
  </r>
  <r>
    <x v="696"/>
    <x v="10"/>
    <x v="0"/>
    <x v="4"/>
    <x v="2"/>
    <x v="0"/>
    <x v="3"/>
    <x v="694"/>
    <x v="0"/>
    <x v="4"/>
  </r>
  <r>
    <x v="697"/>
    <x v="88"/>
    <x v="1"/>
    <x v="2"/>
    <x v="5"/>
    <x v="1"/>
    <x v="5"/>
    <x v="695"/>
    <x v="1"/>
    <x v="2"/>
  </r>
  <r>
    <x v="698"/>
    <x v="36"/>
    <x v="1"/>
    <x v="6"/>
    <x v="0"/>
    <x v="2"/>
    <x v="10"/>
    <x v="696"/>
    <x v="0"/>
    <x v="0"/>
  </r>
  <r>
    <x v="699"/>
    <x v="36"/>
    <x v="1"/>
    <x v="1"/>
    <x v="0"/>
    <x v="0"/>
    <x v="14"/>
    <x v="697"/>
    <x v="1"/>
    <x v="4"/>
  </r>
  <r>
    <x v="700"/>
    <x v="24"/>
    <x v="1"/>
    <x v="7"/>
    <x v="5"/>
    <x v="0"/>
    <x v="13"/>
    <x v="698"/>
    <x v="1"/>
    <x v="0"/>
  </r>
  <r>
    <x v="701"/>
    <x v="20"/>
    <x v="0"/>
    <x v="5"/>
    <x v="9"/>
    <x v="1"/>
    <x v="5"/>
    <x v="699"/>
    <x v="1"/>
    <x v="1"/>
  </r>
  <r>
    <x v="702"/>
    <x v="11"/>
    <x v="0"/>
    <x v="2"/>
    <x v="4"/>
    <x v="2"/>
    <x v="9"/>
    <x v="700"/>
    <x v="1"/>
    <x v="3"/>
  </r>
  <r>
    <x v="703"/>
    <x v="38"/>
    <x v="0"/>
    <x v="4"/>
    <x v="4"/>
    <x v="0"/>
    <x v="10"/>
    <x v="701"/>
    <x v="1"/>
    <x v="3"/>
  </r>
  <r>
    <x v="704"/>
    <x v="50"/>
    <x v="1"/>
    <x v="1"/>
    <x v="3"/>
    <x v="1"/>
    <x v="5"/>
    <x v="702"/>
    <x v="1"/>
    <x v="2"/>
  </r>
  <r>
    <x v="705"/>
    <x v="9"/>
    <x v="0"/>
    <x v="8"/>
    <x v="2"/>
    <x v="2"/>
    <x v="3"/>
    <x v="703"/>
    <x v="0"/>
    <x v="4"/>
  </r>
  <r>
    <x v="706"/>
    <x v="58"/>
    <x v="0"/>
    <x v="8"/>
    <x v="2"/>
    <x v="0"/>
    <x v="4"/>
    <x v="704"/>
    <x v="1"/>
    <x v="4"/>
  </r>
  <r>
    <x v="707"/>
    <x v="77"/>
    <x v="0"/>
    <x v="7"/>
    <x v="9"/>
    <x v="1"/>
    <x v="7"/>
    <x v="705"/>
    <x v="1"/>
    <x v="1"/>
  </r>
  <r>
    <x v="708"/>
    <x v="64"/>
    <x v="1"/>
    <x v="6"/>
    <x v="7"/>
    <x v="1"/>
    <x v="0"/>
    <x v="706"/>
    <x v="0"/>
    <x v="3"/>
  </r>
  <r>
    <x v="709"/>
    <x v="41"/>
    <x v="1"/>
    <x v="1"/>
    <x v="2"/>
    <x v="2"/>
    <x v="3"/>
    <x v="707"/>
    <x v="0"/>
    <x v="2"/>
  </r>
  <r>
    <x v="710"/>
    <x v="83"/>
    <x v="0"/>
    <x v="8"/>
    <x v="0"/>
    <x v="2"/>
    <x v="5"/>
    <x v="708"/>
    <x v="1"/>
    <x v="3"/>
  </r>
  <r>
    <x v="711"/>
    <x v="40"/>
    <x v="0"/>
    <x v="4"/>
    <x v="0"/>
    <x v="1"/>
    <x v="12"/>
    <x v="709"/>
    <x v="1"/>
    <x v="3"/>
  </r>
  <r>
    <x v="712"/>
    <x v="65"/>
    <x v="1"/>
    <x v="2"/>
    <x v="0"/>
    <x v="1"/>
    <x v="4"/>
    <x v="710"/>
    <x v="1"/>
    <x v="0"/>
  </r>
  <r>
    <x v="713"/>
    <x v="40"/>
    <x v="0"/>
    <x v="6"/>
    <x v="8"/>
    <x v="0"/>
    <x v="7"/>
    <x v="711"/>
    <x v="0"/>
    <x v="3"/>
  </r>
  <r>
    <x v="714"/>
    <x v="76"/>
    <x v="0"/>
    <x v="4"/>
    <x v="1"/>
    <x v="1"/>
    <x v="13"/>
    <x v="712"/>
    <x v="1"/>
    <x v="0"/>
  </r>
  <r>
    <x v="715"/>
    <x v="46"/>
    <x v="1"/>
    <x v="9"/>
    <x v="2"/>
    <x v="2"/>
    <x v="9"/>
    <x v="713"/>
    <x v="1"/>
    <x v="2"/>
  </r>
  <r>
    <x v="716"/>
    <x v="67"/>
    <x v="1"/>
    <x v="2"/>
    <x v="4"/>
    <x v="0"/>
    <x v="14"/>
    <x v="714"/>
    <x v="0"/>
    <x v="3"/>
  </r>
  <r>
    <x v="717"/>
    <x v="40"/>
    <x v="1"/>
    <x v="7"/>
    <x v="0"/>
    <x v="0"/>
    <x v="9"/>
    <x v="715"/>
    <x v="1"/>
    <x v="1"/>
  </r>
  <r>
    <x v="718"/>
    <x v="52"/>
    <x v="1"/>
    <x v="0"/>
    <x v="7"/>
    <x v="1"/>
    <x v="10"/>
    <x v="716"/>
    <x v="1"/>
    <x v="1"/>
  </r>
  <r>
    <x v="719"/>
    <x v="34"/>
    <x v="1"/>
    <x v="9"/>
    <x v="5"/>
    <x v="2"/>
    <x v="6"/>
    <x v="717"/>
    <x v="0"/>
    <x v="2"/>
  </r>
  <r>
    <x v="720"/>
    <x v="28"/>
    <x v="1"/>
    <x v="4"/>
    <x v="2"/>
    <x v="2"/>
    <x v="5"/>
    <x v="718"/>
    <x v="1"/>
    <x v="1"/>
  </r>
  <r>
    <x v="721"/>
    <x v="73"/>
    <x v="1"/>
    <x v="5"/>
    <x v="7"/>
    <x v="1"/>
    <x v="13"/>
    <x v="719"/>
    <x v="0"/>
    <x v="2"/>
  </r>
  <r>
    <x v="722"/>
    <x v="46"/>
    <x v="1"/>
    <x v="1"/>
    <x v="5"/>
    <x v="2"/>
    <x v="14"/>
    <x v="720"/>
    <x v="0"/>
    <x v="1"/>
  </r>
  <r>
    <x v="723"/>
    <x v="26"/>
    <x v="1"/>
    <x v="0"/>
    <x v="6"/>
    <x v="2"/>
    <x v="2"/>
    <x v="721"/>
    <x v="1"/>
    <x v="0"/>
  </r>
  <r>
    <x v="724"/>
    <x v="65"/>
    <x v="1"/>
    <x v="4"/>
    <x v="9"/>
    <x v="0"/>
    <x v="8"/>
    <x v="722"/>
    <x v="1"/>
    <x v="0"/>
  </r>
  <r>
    <x v="725"/>
    <x v="14"/>
    <x v="1"/>
    <x v="3"/>
    <x v="9"/>
    <x v="1"/>
    <x v="0"/>
    <x v="723"/>
    <x v="0"/>
    <x v="0"/>
  </r>
  <r>
    <x v="726"/>
    <x v="16"/>
    <x v="0"/>
    <x v="1"/>
    <x v="3"/>
    <x v="2"/>
    <x v="6"/>
    <x v="724"/>
    <x v="0"/>
    <x v="4"/>
  </r>
  <r>
    <x v="727"/>
    <x v="19"/>
    <x v="1"/>
    <x v="4"/>
    <x v="6"/>
    <x v="2"/>
    <x v="1"/>
    <x v="725"/>
    <x v="0"/>
    <x v="1"/>
  </r>
  <r>
    <x v="728"/>
    <x v="78"/>
    <x v="1"/>
    <x v="9"/>
    <x v="4"/>
    <x v="1"/>
    <x v="5"/>
    <x v="726"/>
    <x v="1"/>
    <x v="0"/>
  </r>
  <r>
    <x v="729"/>
    <x v="42"/>
    <x v="1"/>
    <x v="5"/>
    <x v="9"/>
    <x v="0"/>
    <x v="7"/>
    <x v="727"/>
    <x v="0"/>
    <x v="3"/>
  </r>
  <r>
    <x v="730"/>
    <x v="82"/>
    <x v="0"/>
    <x v="2"/>
    <x v="6"/>
    <x v="2"/>
    <x v="5"/>
    <x v="728"/>
    <x v="0"/>
    <x v="1"/>
  </r>
  <r>
    <x v="731"/>
    <x v="74"/>
    <x v="1"/>
    <x v="7"/>
    <x v="5"/>
    <x v="2"/>
    <x v="3"/>
    <x v="729"/>
    <x v="1"/>
    <x v="1"/>
  </r>
  <r>
    <x v="732"/>
    <x v="31"/>
    <x v="0"/>
    <x v="6"/>
    <x v="0"/>
    <x v="2"/>
    <x v="8"/>
    <x v="730"/>
    <x v="1"/>
    <x v="4"/>
  </r>
  <r>
    <x v="733"/>
    <x v="5"/>
    <x v="1"/>
    <x v="2"/>
    <x v="4"/>
    <x v="0"/>
    <x v="8"/>
    <x v="731"/>
    <x v="1"/>
    <x v="1"/>
  </r>
  <r>
    <x v="734"/>
    <x v="11"/>
    <x v="1"/>
    <x v="3"/>
    <x v="5"/>
    <x v="0"/>
    <x v="8"/>
    <x v="732"/>
    <x v="0"/>
    <x v="3"/>
  </r>
  <r>
    <x v="735"/>
    <x v="74"/>
    <x v="1"/>
    <x v="8"/>
    <x v="4"/>
    <x v="1"/>
    <x v="10"/>
    <x v="733"/>
    <x v="0"/>
    <x v="4"/>
  </r>
  <r>
    <x v="736"/>
    <x v="31"/>
    <x v="1"/>
    <x v="9"/>
    <x v="0"/>
    <x v="1"/>
    <x v="11"/>
    <x v="734"/>
    <x v="0"/>
    <x v="0"/>
  </r>
  <r>
    <x v="737"/>
    <x v="44"/>
    <x v="0"/>
    <x v="3"/>
    <x v="1"/>
    <x v="0"/>
    <x v="2"/>
    <x v="735"/>
    <x v="0"/>
    <x v="2"/>
  </r>
  <r>
    <x v="738"/>
    <x v="43"/>
    <x v="1"/>
    <x v="3"/>
    <x v="6"/>
    <x v="0"/>
    <x v="12"/>
    <x v="736"/>
    <x v="0"/>
    <x v="4"/>
  </r>
  <r>
    <x v="739"/>
    <x v="83"/>
    <x v="1"/>
    <x v="9"/>
    <x v="2"/>
    <x v="2"/>
    <x v="9"/>
    <x v="737"/>
    <x v="1"/>
    <x v="1"/>
  </r>
  <r>
    <x v="740"/>
    <x v="16"/>
    <x v="0"/>
    <x v="5"/>
    <x v="9"/>
    <x v="2"/>
    <x v="11"/>
    <x v="738"/>
    <x v="0"/>
    <x v="4"/>
  </r>
  <r>
    <x v="741"/>
    <x v="62"/>
    <x v="1"/>
    <x v="6"/>
    <x v="9"/>
    <x v="2"/>
    <x v="7"/>
    <x v="739"/>
    <x v="1"/>
    <x v="1"/>
  </r>
  <r>
    <x v="742"/>
    <x v="30"/>
    <x v="1"/>
    <x v="0"/>
    <x v="9"/>
    <x v="0"/>
    <x v="12"/>
    <x v="740"/>
    <x v="1"/>
    <x v="3"/>
  </r>
  <r>
    <x v="743"/>
    <x v="87"/>
    <x v="0"/>
    <x v="0"/>
    <x v="3"/>
    <x v="1"/>
    <x v="10"/>
    <x v="741"/>
    <x v="0"/>
    <x v="1"/>
  </r>
  <r>
    <x v="744"/>
    <x v="61"/>
    <x v="1"/>
    <x v="3"/>
    <x v="6"/>
    <x v="2"/>
    <x v="11"/>
    <x v="742"/>
    <x v="1"/>
    <x v="2"/>
  </r>
  <r>
    <x v="745"/>
    <x v="85"/>
    <x v="0"/>
    <x v="4"/>
    <x v="7"/>
    <x v="0"/>
    <x v="0"/>
    <x v="743"/>
    <x v="0"/>
    <x v="4"/>
  </r>
  <r>
    <x v="746"/>
    <x v="56"/>
    <x v="1"/>
    <x v="5"/>
    <x v="4"/>
    <x v="1"/>
    <x v="0"/>
    <x v="744"/>
    <x v="1"/>
    <x v="0"/>
  </r>
  <r>
    <x v="747"/>
    <x v="57"/>
    <x v="0"/>
    <x v="2"/>
    <x v="5"/>
    <x v="0"/>
    <x v="0"/>
    <x v="745"/>
    <x v="1"/>
    <x v="2"/>
  </r>
  <r>
    <x v="748"/>
    <x v="33"/>
    <x v="0"/>
    <x v="4"/>
    <x v="3"/>
    <x v="1"/>
    <x v="0"/>
    <x v="746"/>
    <x v="0"/>
    <x v="1"/>
  </r>
  <r>
    <x v="749"/>
    <x v="50"/>
    <x v="1"/>
    <x v="2"/>
    <x v="2"/>
    <x v="0"/>
    <x v="12"/>
    <x v="747"/>
    <x v="0"/>
    <x v="2"/>
  </r>
  <r>
    <x v="750"/>
    <x v="80"/>
    <x v="0"/>
    <x v="1"/>
    <x v="5"/>
    <x v="2"/>
    <x v="3"/>
    <x v="748"/>
    <x v="0"/>
    <x v="1"/>
  </r>
  <r>
    <x v="751"/>
    <x v="72"/>
    <x v="1"/>
    <x v="0"/>
    <x v="0"/>
    <x v="0"/>
    <x v="3"/>
    <x v="749"/>
    <x v="0"/>
    <x v="4"/>
  </r>
  <r>
    <x v="752"/>
    <x v="18"/>
    <x v="1"/>
    <x v="7"/>
    <x v="8"/>
    <x v="2"/>
    <x v="1"/>
    <x v="750"/>
    <x v="1"/>
    <x v="0"/>
  </r>
  <r>
    <x v="753"/>
    <x v="53"/>
    <x v="1"/>
    <x v="0"/>
    <x v="4"/>
    <x v="0"/>
    <x v="11"/>
    <x v="751"/>
    <x v="1"/>
    <x v="1"/>
  </r>
  <r>
    <x v="754"/>
    <x v="80"/>
    <x v="0"/>
    <x v="5"/>
    <x v="5"/>
    <x v="0"/>
    <x v="0"/>
    <x v="752"/>
    <x v="1"/>
    <x v="2"/>
  </r>
  <r>
    <x v="755"/>
    <x v="68"/>
    <x v="1"/>
    <x v="6"/>
    <x v="2"/>
    <x v="2"/>
    <x v="9"/>
    <x v="753"/>
    <x v="1"/>
    <x v="2"/>
  </r>
  <r>
    <x v="756"/>
    <x v="60"/>
    <x v="0"/>
    <x v="8"/>
    <x v="7"/>
    <x v="2"/>
    <x v="11"/>
    <x v="754"/>
    <x v="0"/>
    <x v="1"/>
  </r>
  <r>
    <x v="757"/>
    <x v="8"/>
    <x v="0"/>
    <x v="3"/>
    <x v="7"/>
    <x v="2"/>
    <x v="0"/>
    <x v="755"/>
    <x v="0"/>
    <x v="4"/>
  </r>
  <r>
    <x v="758"/>
    <x v="13"/>
    <x v="1"/>
    <x v="1"/>
    <x v="8"/>
    <x v="1"/>
    <x v="7"/>
    <x v="756"/>
    <x v="1"/>
    <x v="2"/>
  </r>
  <r>
    <x v="759"/>
    <x v="12"/>
    <x v="0"/>
    <x v="7"/>
    <x v="3"/>
    <x v="1"/>
    <x v="3"/>
    <x v="110"/>
    <x v="1"/>
    <x v="2"/>
  </r>
  <r>
    <x v="760"/>
    <x v="16"/>
    <x v="1"/>
    <x v="1"/>
    <x v="8"/>
    <x v="1"/>
    <x v="12"/>
    <x v="757"/>
    <x v="0"/>
    <x v="3"/>
  </r>
  <r>
    <x v="761"/>
    <x v="32"/>
    <x v="1"/>
    <x v="4"/>
    <x v="2"/>
    <x v="1"/>
    <x v="6"/>
    <x v="758"/>
    <x v="1"/>
    <x v="3"/>
  </r>
  <r>
    <x v="762"/>
    <x v="28"/>
    <x v="0"/>
    <x v="3"/>
    <x v="0"/>
    <x v="1"/>
    <x v="10"/>
    <x v="759"/>
    <x v="1"/>
    <x v="4"/>
  </r>
  <r>
    <x v="763"/>
    <x v="54"/>
    <x v="0"/>
    <x v="8"/>
    <x v="8"/>
    <x v="2"/>
    <x v="10"/>
    <x v="760"/>
    <x v="0"/>
    <x v="1"/>
  </r>
  <r>
    <x v="764"/>
    <x v="22"/>
    <x v="1"/>
    <x v="4"/>
    <x v="2"/>
    <x v="2"/>
    <x v="1"/>
    <x v="761"/>
    <x v="1"/>
    <x v="1"/>
  </r>
  <r>
    <x v="765"/>
    <x v="72"/>
    <x v="0"/>
    <x v="3"/>
    <x v="4"/>
    <x v="1"/>
    <x v="11"/>
    <x v="762"/>
    <x v="1"/>
    <x v="2"/>
  </r>
  <r>
    <x v="766"/>
    <x v="36"/>
    <x v="0"/>
    <x v="1"/>
    <x v="3"/>
    <x v="1"/>
    <x v="9"/>
    <x v="763"/>
    <x v="1"/>
    <x v="3"/>
  </r>
  <r>
    <x v="767"/>
    <x v="60"/>
    <x v="0"/>
    <x v="8"/>
    <x v="9"/>
    <x v="0"/>
    <x v="3"/>
    <x v="764"/>
    <x v="0"/>
    <x v="3"/>
  </r>
  <r>
    <x v="768"/>
    <x v="67"/>
    <x v="0"/>
    <x v="5"/>
    <x v="4"/>
    <x v="0"/>
    <x v="7"/>
    <x v="765"/>
    <x v="0"/>
    <x v="1"/>
  </r>
  <r>
    <x v="769"/>
    <x v="69"/>
    <x v="0"/>
    <x v="3"/>
    <x v="6"/>
    <x v="2"/>
    <x v="4"/>
    <x v="766"/>
    <x v="0"/>
    <x v="0"/>
  </r>
  <r>
    <x v="770"/>
    <x v="49"/>
    <x v="0"/>
    <x v="4"/>
    <x v="9"/>
    <x v="2"/>
    <x v="9"/>
    <x v="767"/>
    <x v="1"/>
    <x v="3"/>
  </r>
  <r>
    <x v="771"/>
    <x v="52"/>
    <x v="0"/>
    <x v="8"/>
    <x v="9"/>
    <x v="1"/>
    <x v="6"/>
    <x v="768"/>
    <x v="0"/>
    <x v="0"/>
  </r>
  <r>
    <x v="772"/>
    <x v="62"/>
    <x v="0"/>
    <x v="4"/>
    <x v="2"/>
    <x v="0"/>
    <x v="11"/>
    <x v="769"/>
    <x v="0"/>
    <x v="3"/>
  </r>
  <r>
    <x v="773"/>
    <x v="40"/>
    <x v="0"/>
    <x v="1"/>
    <x v="0"/>
    <x v="0"/>
    <x v="6"/>
    <x v="770"/>
    <x v="0"/>
    <x v="2"/>
  </r>
  <r>
    <x v="774"/>
    <x v="81"/>
    <x v="1"/>
    <x v="9"/>
    <x v="4"/>
    <x v="0"/>
    <x v="7"/>
    <x v="771"/>
    <x v="0"/>
    <x v="3"/>
  </r>
  <r>
    <x v="775"/>
    <x v="47"/>
    <x v="1"/>
    <x v="9"/>
    <x v="3"/>
    <x v="1"/>
    <x v="3"/>
    <x v="772"/>
    <x v="0"/>
    <x v="3"/>
  </r>
  <r>
    <x v="776"/>
    <x v="31"/>
    <x v="0"/>
    <x v="2"/>
    <x v="4"/>
    <x v="2"/>
    <x v="14"/>
    <x v="773"/>
    <x v="0"/>
    <x v="1"/>
  </r>
  <r>
    <x v="777"/>
    <x v="13"/>
    <x v="0"/>
    <x v="1"/>
    <x v="7"/>
    <x v="1"/>
    <x v="4"/>
    <x v="774"/>
    <x v="1"/>
    <x v="0"/>
  </r>
  <r>
    <x v="778"/>
    <x v="80"/>
    <x v="1"/>
    <x v="4"/>
    <x v="2"/>
    <x v="0"/>
    <x v="14"/>
    <x v="775"/>
    <x v="0"/>
    <x v="3"/>
  </r>
  <r>
    <x v="779"/>
    <x v="87"/>
    <x v="0"/>
    <x v="7"/>
    <x v="1"/>
    <x v="0"/>
    <x v="4"/>
    <x v="776"/>
    <x v="0"/>
    <x v="0"/>
  </r>
  <r>
    <x v="780"/>
    <x v="23"/>
    <x v="0"/>
    <x v="8"/>
    <x v="4"/>
    <x v="1"/>
    <x v="1"/>
    <x v="777"/>
    <x v="0"/>
    <x v="3"/>
  </r>
  <r>
    <x v="781"/>
    <x v="62"/>
    <x v="1"/>
    <x v="3"/>
    <x v="4"/>
    <x v="0"/>
    <x v="5"/>
    <x v="778"/>
    <x v="0"/>
    <x v="1"/>
  </r>
  <r>
    <x v="782"/>
    <x v="88"/>
    <x v="1"/>
    <x v="9"/>
    <x v="3"/>
    <x v="2"/>
    <x v="11"/>
    <x v="779"/>
    <x v="1"/>
    <x v="0"/>
  </r>
  <r>
    <x v="783"/>
    <x v="54"/>
    <x v="1"/>
    <x v="5"/>
    <x v="8"/>
    <x v="2"/>
    <x v="6"/>
    <x v="780"/>
    <x v="0"/>
    <x v="1"/>
  </r>
  <r>
    <x v="784"/>
    <x v="41"/>
    <x v="1"/>
    <x v="8"/>
    <x v="9"/>
    <x v="1"/>
    <x v="0"/>
    <x v="781"/>
    <x v="0"/>
    <x v="0"/>
  </r>
  <r>
    <x v="785"/>
    <x v="46"/>
    <x v="0"/>
    <x v="0"/>
    <x v="6"/>
    <x v="2"/>
    <x v="8"/>
    <x v="782"/>
    <x v="0"/>
    <x v="4"/>
  </r>
  <r>
    <x v="786"/>
    <x v="78"/>
    <x v="1"/>
    <x v="7"/>
    <x v="9"/>
    <x v="2"/>
    <x v="0"/>
    <x v="783"/>
    <x v="0"/>
    <x v="2"/>
  </r>
  <r>
    <x v="787"/>
    <x v="57"/>
    <x v="1"/>
    <x v="0"/>
    <x v="8"/>
    <x v="1"/>
    <x v="2"/>
    <x v="784"/>
    <x v="0"/>
    <x v="0"/>
  </r>
  <r>
    <x v="788"/>
    <x v="28"/>
    <x v="0"/>
    <x v="9"/>
    <x v="4"/>
    <x v="1"/>
    <x v="14"/>
    <x v="785"/>
    <x v="1"/>
    <x v="4"/>
  </r>
  <r>
    <x v="789"/>
    <x v="75"/>
    <x v="0"/>
    <x v="2"/>
    <x v="6"/>
    <x v="1"/>
    <x v="4"/>
    <x v="786"/>
    <x v="1"/>
    <x v="2"/>
  </r>
  <r>
    <x v="790"/>
    <x v="84"/>
    <x v="1"/>
    <x v="5"/>
    <x v="3"/>
    <x v="0"/>
    <x v="2"/>
    <x v="787"/>
    <x v="1"/>
    <x v="0"/>
  </r>
  <r>
    <x v="791"/>
    <x v="87"/>
    <x v="0"/>
    <x v="8"/>
    <x v="5"/>
    <x v="0"/>
    <x v="11"/>
    <x v="788"/>
    <x v="0"/>
    <x v="0"/>
  </r>
  <r>
    <x v="792"/>
    <x v="67"/>
    <x v="1"/>
    <x v="9"/>
    <x v="5"/>
    <x v="0"/>
    <x v="6"/>
    <x v="789"/>
    <x v="0"/>
    <x v="3"/>
  </r>
  <r>
    <x v="793"/>
    <x v="51"/>
    <x v="0"/>
    <x v="6"/>
    <x v="8"/>
    <x v="1"/>
    <x v="13"/>
    <x v="790"/>
    <x v="1"/>
    <x v="2"/>
  </r>
  <r>
    <x v="794"/>
    <x v="52"/>
    <x v="0"/>
    <x v="3"/>
    <x v="2"/>
    <x v="0"/>
    <x v="8"/>
    <x v="791"/>
    <x v="1"/>
    <x v="4"/>
  </r>
  <r>
    <x v="795"/>
    <x v="63"/>
    <x v="0"/>
    <x v="4"/>
    <x v="4"/>
    <x v="1"/>
    <x v="0"/>
    <x v="792"/>
    <x v="0"/>
    <x v="1"/>
  </r>
  <r>
    <x v="796"/>
    <x v="48"/>
    <x v="0"/>
    <x v="2"/>
    <x v="3"/>
    <x v="2"/>
    <x v="9"/>
    <x v="793"/>
    <x v="1"/>
    <x v="1"/>
  </r>
  <r>
    <x v="797"/>
    <x v="80"/>
    <x v="1"/>
    <x v="1"/>
    <x v="9"/>
    <x v="1"/>
    <x v="13"/>
    <x v="794"/>
    <x v="1"/>
    <x v="2"/>
  </r>
  <r>
    <x v="798"/>
    <x v="56"/>
    <x v="1"/>
    <x v="3"/>
    <x v="2"/>
    <x v="0"/>
    <x v="9"/>
    <x v="795"/>
    <x v="0"/>
    <x v="4"/>
  </r>
  <r>
    <x v="799"/>
    <x v="66"/>
    <x v="0"/>
    <x v="8"/>
    <x v="7"/>
    <x v="0"/>
    <x v="2"/>
    <x v="796"/>
    <x v="1"/>
    <x v="2"/>
  </r>
  <r>
    <x v="800"/>
    <x v="4"/>
    <x v="0"/>
    <x v="9"/>
    <x v="8"/>
    <x v="0"/>
    <x v="4"/>
    <x v="797"/>
    <x v="0"/>
    <x v="2"/>
  </r>
  <r>
    <x v="801"/>
    <x v="27"/>
    <x v="1"/>
    <x v="6"/>
    <x v="6"/>
    <x v="0"/>
    <x v="13"/>
    <x v="711"/>
    <x v="0"/>
    <x v="4"/>
  </r>
  <r>
    <x v="802"/>
    <x v="82"/>
    <x v="1"/>
    <x v="3"/>
    <x v="5"/>
    <x v="0"/>
    <x v="10"/>
    <x v="798"/>
    <x v="1"/>
    <x v="4"/>
  </r>
  <r>
    <x v="803"/>
    <x v="19"/>
    <x v="0"/>
    <x v="9"/>
    <x v="4"/>
    <x v="0"/>
    <x v="0"/>
    <x v="799"/>
    <x v="1"/>
    <x v="0"/>
  </r>
  <r>
    <x v="804"/>
    <x v="15"/>
    <x v="0"/>
    <x v="7"/>
    <x v="9"/>
    <x v="0"/>
    <x v="13"/>
    <x v="800"/>
    <x v="0"/>
    <x v="1"/>
  </r>
  <r>
    <x v="805"/>
    <x v="76"/>
    <x v="0"/>
    <x v="4"/>
    <x v="0"/>
    <x v="1"/>
    <x v="11"/>
    <x v="801"/>
    <x v="0"/>
    <x v="2"/>
  </r>
  <r>
    <x v="806"/>
    <x v="3"/>
    <x v="0"/>
    <x v="9"/>
    <x v="1"/>
    <x v="1"/>
    <x v="2"/>
    <x v="802"/>
    <x v="0"/>
    <x v="3"/>
  </r>
  <r>
    <x v="807"/>
    <x v="18"/>
    <x v="1"/>
    <x v="5"/>
    <x v="4"/>
    <x v="0"/>
    <x v="11"/>
    <x v="803"/>
    <x v="0"/>
    <x v="3"/>
  </r>
  <r>
    <x v="808"/>
    <x v="75"/>
    <x v="0"/>
    <x v="1"/>
    <x v="3"/>
    <x v="2"/>
    <x v="10"/>
    <x v="804"/>
    <x v="1"/>
    <x v="3"/>
  </r>
  <r>
    <x v="809"/>
    <x v="54"/>
    <x v="0"/>
    <x v="6"/>
    <x v="0"/>
    <x v="0"/>
    <x v="5"/>
    <x v="805"/>
    <x v="1"/>
    <x v="3"/>
  </r>
  <r>
    <x v="810"/>
    <x v="67"/>
    <x v="0"/>
    <x v="8"/>
    <x v="3"/>
    <x v="2"/>
    <x v="3"/>
    <x v="806"/>
    <x v="0"/>
    <x v="3"/>
  </r>
  <r>
    <x v="811"/>
    <x v="45"/>
    <x v="0"/>
    <x v="0"/>
    <x v="8"/>
    <x v="2"/>
    <x v="9"/>
    <x v="807"/>
    <x v="0"/>
    <x v="0"/>
  </r>
  <r>
    <x v="812"/>
    <x v="41"/>
    <x v="0"/>
    <x v="2"/>
    <x v="2"/>
    <x v="2"/>
    <x v="13"/>
    <x v="808"/>
    <x v="0"/>
    <x v="2"/>
  </r>
  <r>
    <x v="813"/>
    <x v="73"/>
    <x v="0"/>
    <x v="6"/>
    <x v="7"/>
    <x v="0"/>
    <x v="6"/>
    <x v="809"/>
    <x v="1"/>
    <x v="2"/>
  </r>
  <r>
    <x v="814"/>
    <x v="86"/>
    <x v="1"/>
    <x v="1"/>
    <x v="2"/>
    <x v="0"/>
    <x v="12"/>
    <x v="810"/>
    <x v="0"/>
    <x v="4"/>
  </r>
  <r>
    <x v="815"/>
    <x v="40"/>
    <x v="0"/>
    <x v="8"/>
    <x v="6"/>
    <x v="1"/>
    <x v="5"/>
    <x v="811"/>
    <x v="1"/>
    <x v="2"/>
  </r>
  <r>
    <x v="816"/>
    <x v="9"/>
    <x v="0"/>
    <x v="5"/>
    <x v="6"/>
    <x v="1"/>
    <x v="11"/>
    <x v="812"/>
    <x v="1"/>
    <x v="1"/>
  </r>
  <r>
    <x v="817"/>
    <x v="76"/>
    <x v="1"/>
    <x v="3"/>
    <x v="3"/>
    <x v="1"/>
    <x v="13"/>
    <x v="813"/>
    <x v="1"/>
    <x v="1"/>
  </r>
  <r>
    <x v="818"/>
    <x v="55"/>
    <x v="0"/>
    <x v="6"/>
    <x v="4"/>
    <x v="2"/>
    <x v="0"/>
    <x v="814"/>
    <x v="0"/>
    <x v="3"/>
  </r>
  <r>
    <x v="819"/>
    <x v="36"/>
    <x v="0"/>
    <x v="5"/>
    <x v="5"/>
    <x v="0"/>
    <x v="11"/>
    <x v="815"/>
    <x v="0"/>
    <x v="4"/>
  </r>
  <r>
    <x v="820"/>
    <x v="19"/>
    <x v="0"/>
    <x v="3"/>
    <x v="4"/>
    <x v="2"/>
    <x v="2"/>
    <x v="816"/>
    <x v="1"/>
    <x v="0"/>
  </r>
  <r>
    <x v="821"/>
    <x v="84"/>
    <x v="0"/>
    <x v="7"/>
    <x v="6"/>
    <x v="0"/>
    <x v="9"/>
    <x v="817"/>
    <x v="1"/>
    <x v="1"/>
  </r>
  <r>
    <x v="822"/>
    <x v="50"/>
    <x v="0"/>
    <x v="3"/>
    <x v="8"/>
    <x v="2"/>
    <x v="3"/>
    <x v="818"/>
    <x v="1"/>
    <x v="4"/>
  </r>
  <r>
    <x v="823"/>
    <x v="41"/>
    <x v="1"/>
    <x v="8"/>
    <x v="7"/>
    <x v="0"/>
    <x v="2"/>
    <x v="819"/>
    <x v="0"/>
    <x v="1"/>
  </r>
  <r>
    <x v="824"/>
    <x v="54"/>
    <x v="1"/>
    <x v="5"/>
    <x v="8"/>
    <x v="0"/>
    <x v="11"/>
    <x v="820"/>
    <x v="1"/>
    <x v="4"/>
  </r>
  <r>
    <x v="825"/>
    <x v="33"/>
    <x v="1"/>
    <x v="5"/>
    <x v="4"/>
    <x v="1"/>
    <x v="10"/>
    <x v="821"/>
    <x v="1"/>
    <x v="4"/>
  </r>
  <r>
    <x v="826"/>
    <x v="75"/>
    <x v="1"/>
    <x v="9"/>
    <x v="4"/>
    <x v="0"/>
    <x v="6"/>
    <x v="822"/>
    <x v="0"/>
    <x v="0"/>
  </r>
  <r>
    <x v="827"/>
    <x v="12"/>
    <x v="0"/>
    <x v="4"/>
    <x v="0"/>
    <x v="0"/>
    <x v="14"/>
    <x v="823"/>
    <x v="0"/>
    <x v="2"/>
  </r>
  <r>
    <x v="828"/>
    <x v="61"/>
    <x v="1"/>
    <x v="9"/>
    <x v="4"/>
    <x v="2"/>
    <x v="12"/>
    <x v="824"/>
    <x v="1"/>
    <x v="3"/>
  </r>
  <r>
    <x v="829"/>
    <x v="47"/>
    <x v="0"/>
    <x v="6"/>
    <x v="9"/>
    <x v="0"/>
    <x v="9"/>
    <x v="825"/>
    <x v="1"/>
    <x v="4"/>
  </r>
  <r>
    <x v="830"/>
    <x v="17"/>
    <x v="0"/>
    <x v="0"/>
    <x v="2"/>
    <x v="2"/>
    <x v="12"/>
    <x v="826"/>
    <x v="1"/>
    <x v="1"/>
  </r>
  <r>
    <x v="831"/>
    <x v="51"/>
    <x v="1"/>
    <x v="3"/>
    <x v="4"/>
    <x v="2"/>
    <x v="5"/>
    <x v="827"/>
    <x v="1"/>
    <x v="2"/>
  </r>
  <r>
    <x v="832"/>
    <x v="19"/>
    <x v="1"/>
    <x v="4"/>
    <x v="1"/>
    <x v="1"/>
    <x v="11"/>
    <x v="828"/>
    <x v="0"/>
    <x v="2"/>
  </r>
  <r>
    <x v="833"/>
    <x v="8"/>
    <x v="1"/>
    <x v="0"/>
    <x v="2"/>
    <x v="1"/>
    <x v="10"/>
    <x v="829"/>
    <x v="0"/>
    <x v="4"/>
  </r>
  <r>
    <x v="834"/>
    <x v="13"/>
    <x v="1"/>
    <x v="5"/>
    <x v="5"/>
    <x v="0"/>
    <x v="4"/>
    <x v="830"/>
    <x v="0"/>
    <x v="0"/>
  </r>
  <r>
    <x v="835"/>
    <x v="34"/>
    <x v="1"/>
    <x v="8"/>
    <x v="3"/>
    <x v="0"/>
    <x v="7"/>
    <x v="831"/>
    <x v="1"/>
    <x v="2"/>
  </r>
  <r>
    <x v="836"/>
    <x v="55"/>
    <x v="0"/>
    <x v="8"/>
    <x v="1"/>
    <x v="2"/>
    <x v="5"/>
    <x v="832"/>
    <x v="0"/>
    <x v="1"/>
  </r>
  <r>
    <x v="837"/>
    <x v="32"/>
    <x v="1"/>
    <x v="5"/>
    <x v="5"/>
    <x v="0"/>
    <x v="7"/>
    <x v="833"/>
    <x v="1"/>
    <x v="3"/>
  </r>
  <r>
    <x v="838"/>
    <x v="23"/>
    <x v="1"/>
    <x v="2"/>
    <x v="5"/>
    <x v="0"/>
    <x v="8"/>
    <x v="834"/>
    <x v="1"/>
    <x v="2"/>
  </r>
  <r>
    <x v="839"/>
    <x v="76"/>
    <x v="0"/>
    <x v="1"/>
    <x v="7"/>
    <x v="2"/>
    <x v="14"/>
    <x v="835"/>
    <x v="1"/>
    <x v="0"/>
  </r>
  <r>
    <x v="840"/>
    <x v="3"/>
    <x v="0"/>
    <x v="3"/>
    <x v="2"/>
    <x v="2"/>
    <x v="13"/>
    <x v="836"/>
    <x v="1"/>
    <x v="2"/>
  </r>
  <r>
    <x v="841"/>
    <x v="23"/>
    <x v="1"/>
    <x v="5"/>
    <x v="6"/>
    <x v="2"/>
    <x v="2"/>
    <x v="837"/>
    <x v="0"/>
    <x v="2"/>
  </r>
  <r>
    <x v="842"/>
    <x v="25"/>
    <x v="0"/>
    <x v="3"/>
    <x v="2"/>
    <x v="1"/>
    <x v="13"/>
    <x v="838"/>
    <x v="1"/>
    <x v="0"/>
  </r>
  <r>
    <x v="843"/>
    <x v="77"/>
    <x v="0"/>
    <x v="6"/>
    <x v="2"/>
    <x v="0"/>
    <x v="11"/>
    <x v="839"/>
    <x v="0"/>
    <x v="0"/>
  </r>
  <r>
    <x v="844"/>
    <x v="70"/>
    <x v="1"/>
    <x v="6"/>
    <x v="4"/>
    <x v="1"/>
    <x v="14"/>
    <x v="840"/>
    <x v="0"/>
    <x v="3"/>
  </r>
  <r>
    <x v="845"/>
    <x v="2"/>
    <x v="1"/>
    <x v="4"/>
    <x v="8"/>
    <x v="1"/>
    <x v="10"/>
    <x v="841"/>
    <x v="0"/>
    <x v="2"/>
  </r>
  <r>
    <x v="846"/>
    <x v="8"/>
    <x v="0"/>
    <x v="8"/>
    <x v="9"/>
    <x v="0"/>
    <x v="10"/>
    <x v="842"/>
    <x v="0"/>
    <x v="1"/>
  </r>
  <r>
    <x v="847"/>
    <x v="87"/>
    <x v="0"/>
    <x v="0"/>
    <x v="0"/>
    <x v="0"/>
    <x v="3"/>
    <x v="843"/>
    <x v="0"/>
    <x v="0"/>
  </r>
  <r>
    <x v="848"/>
    <x v="38"/>
    <x v="0"/>
    <x v="7"/>
    <x v="5"/>
    <x v="1"/>
    <x v="5"/>
    <x v="844"/>
    <x v="0"/>
    <x v="1"/>
  </r>
  <r>
    <x v="849"/>
    <x v="39"/>
    <x v="1"/>
    <x v="6"/>
    <x v="3"/>
    <x v="1"/>
    <x v="8"/>
    <x v="845"/>
    <x v="1"/>
    <x v="0"/>
  </r>
  <r>
    <x v="850"/>
    <x v="83"/>
    <x v="1"/>
    <x v="3"/>
    <x v="1"/>
    <x v="0"/>
    <x v="8"/>
    <x v="846"/>
    <x v="1"/>
    <x v="0"/>
  </r>
  <r>
    <x v="851"/>
    <x v="54"/>
    <x v="0"/>
    <x v="5"/>
    <x v="6"/>
    <x v="0"/>
    <x v="5"/>
    <x v="847"/>
    <x v="0"/>
    <x v="4"/>
  </r>
  <r>
    <x v="852"/>
    <x v="83"/>
    <x v="0"/>
    <x v="4"/>
    <x v="5"/>
    <x v="1"/>
    <x v="8"/>
    <x v="848"/>
    <x v="0"/>
    <x v="2"/>
  </r>
  <r>
    <x v="853"/>
    <x v="55"/>
    <x v="1"/>
    <x v="2"/>
    <x v="6"/>
    <x v="1"/>
    <x v="14"/>
    <x v="849"/>
    <x v="0"/>
    <x v="4"/>
  </r>
  <r>
    <x v="854"/>
    <x v="52"/>
    <x v="0"/>
    <x v="6"/>
    <x v="6"/>
    <x v="2"/>
    <x v="13"/>
    <x v="850"/>
    <x v="1"/>
    <x v="0"/>
  </r>
  <r>
    <x v="855"/>
    <x v="55"/>
    <x v="0"/>
    <x v="7"/>
    <x v="6"/>
    <x v="0"/>
    <x v="0"/>
    <x v="851"/>
    <x v="1"/>
    <x v="3"/>
  </r>
  <r>
    <x v="856"/>
    <x v="19"/>
    <x v="0"/>
    <x v="0"/>
    <x v="3"/>
    <x v="1"/>
    <x v="7"/>
    <x v="852"/>
    <x v="0"/>
    <x v="4"/>
  </r>
  <r>
    <x v="857"/>
    <x v="55"/>
    <x v="1"/>
    <x v="3"/>
    <x v="5"/>
    <x v="0"/>
    <x v="12"/>
    <x v="853"/>
    <x v="1"/>
    <x v="2"/>
  </r>
  <r>
    <x v="858"/>
    <x v="62"/>
    <x v="1"/>
    <x v="0"/>
    <x v="4"/>
    <x v="1"/>
    <x v="10"/>
    <x v="854"/>
    <x v="1"/>
    <x v="3"/>
  </r>
  <r>
    <x v="859"/>
    <x v="27"/>
    <x v="0"/>
    <x v="6"/>
    <x v="1"/>
    <x v="0"/>
    <x v="11"/>
    <x v="855"/>
    <x v="0"/>
    <x v="4"/>
  </r>
  <r>
    <x v="860"/>
    <x v="78"/>
    <x v="1"/>
    <x v="2"/>
    <x v="4"/>
    <x v="2"/>
    <x v="6"/>
    <x v="856"/>
    <x v="1"/>
    <x v="4"/>
  </r>
  <r>
    <x v="861"/>
    <x v="80"/>
    <x v="1"/>
    <x v="6"/>
    <x v="8"/>
    <x v="1"/>
    <x v="2"/>
    <x v="857"/>
    <x v="0"/>
    <x v="3"/>
  </r>
  <r>
    <x v="862"/>
    <x v="38"/>
    <x v="1"/>
    <x v="2"/>
    <x v="8"/>
    <x v="1"/>
    <x v="12"/>
    <x v="858"/>
    <x v="0"/>
    <x v="2"/>
  </r>
  <r>
    <x v="863"/>
    <x v="32"/>
    <x v="1"/>
    <x v="3"/>
    <x v="1"/>
    <x v="0"/>
    <x v="5"/>
    <x v="859"/>
    <x v="1"/>
    <x v="2"/>
  </r>
  <r>
    <x v="864"/>
    <x v="62"/>
    <x v="1"/>
    <x v="4"/>
    <x v="3"/>
    <x v="0"/>
    <x v="9"/>
    <x v="860"/>
    <x v="0"/>
    <x v="0"/>
  </r>
  <r>
    <x v="865"/>
    <x v="39"/>
    <x v="0"/>
    <x v="0"/>
    <x v="6"/>
    <x v="2"/>
    <x v="13"/>
    <x v="861"/>
    <x v="0"/>
    <x v="4"/>
  </r>
  <r>
    <x v="866"/>
    <x v="10"/>
    <x v="0"/>
    <x v="9"/>
    <x v="2"/>
    <x v="1"/>
    <x v="14"/>
    <x v="862"/>
    <x v="0"/>
    <x v="0"/>
  </r>
  <r>
    <x v="867"/>
    <x v="0"/>
    <x v="1"/>
    <x v="0"/>
    <x v="0"/>
    <x v="2"/>
    <x v="3"/>
    <x v="863"/>
    <x v="0"/>
    <x v="0"/>
  </r>
  <r>
    <x v="868"/>
    <x v="60"/>
    <x v="1"/>
    <x v="5"/>
    <x v="0"/>
    <x v="0"/>
    <x v="10"/>
    <x v="864"/>
    <x v="0"/>
    <x v="4"/>
  </r>
  <r>
    <x v="869"/>
    <x v="18"/>
    <x v="0"/>
    <x v="2"/>
    <x v="8"/>
    <x v="2"/>
    <x v="1"/>
    <x v="865"/>
    <x v="1"/>
    <x v="4"/>
  </r>
  <r>
    <x v="870"/>
    <x v="80"/>
    <x v="1"/>
    <x v="3"/>
    <x v="6"/>
    <x v="0"/>
    <x v="11"/>
    <x v="866"/>
    <x v="0"/>
    <x v="1"/>
  </r>
  <r>
    <x v="871"/>
    <x v="20"/>
    <x v="0"/>
    <x v="3"/>
    <x v="3"/>
    <x v="0"/>
    <x v="9"/>
    <x v="867"/>
    <x v="0"/>
    <x v="2"/>
  </r>
  <r>
    <x v="872"/>
    <x v="83"/>
    <x v="0"/>
    <x v="3"/>
    <x v="7"/>
    <x v="2"/>
    <x v="12"/>
    <x v="868"/>
    <x v="1"/>
    <x v="1"/>
  </r>
  <r>
    <x v="873"/>
    <x v="71"/>
    <x v="1"/>
    <x v="7"/>
    <x v="4"/>
    <x v="2"/>
    <x v="1"/>
    <x v="869"/>
    <x v="1"/>
    <x v="0"/>
  </r>
  <r>
    <x v="874"/>
    <x v="1"/>
    <x v="0"/>
    <x v="2"/>
    <x v="8"/>
    <x v="2"/>
    <x v="12"/>
    <x v="870"/>
    <x v="1"/>
    <x v="1"/>
  </r>
  <r>
    <x v="875"/>
    <x v="85"/>
    <x v="0"/>
    <x v="6"/>
    <x v="2"/>
    <x v="0"/>
    <x v="0"/>
    <x v="871"/>
    <x v="0"/>
    <x v="1"/>
  </r>
  <r>
    <x v="876"/>
    <x v="47"/>
    <x v="1"/>
    <x v="7"/>
    <x v="1"/>
    <x v="1"/>
    <x v="8"/>
    <x v="872"/>
    <x v="1"/>
    <x v="1"/>
  </r>
  <r>
    <x v="877"/>
    <x v="0"/>
    <x v="1"/>
    <x v="7"/>
    <x v="2"/>
    <x v="0"/>
    <x v="8"/>
    <x v="873"/>
    <x v="0"/>
    <x v="1"/>
  </r>
  <r>
    <x v="878"/>
    <x v="45"/>
    <x v="1"/>
    <x v="1"/>
    <x v="6"/>
    <x v="1"/>
    <x v="7"/>
    <x v="874"/>
    <x v="0"/>
    <x v="1"/>
  </r>
  <r>
    <x v="879"/>
    <x v="15"/>
    <x v="0"/>
    <x v="3"/>
    <x v="8"/>
    <x v="1"/>
    <x v="4"/>
    <x v="875"/>
    <x v="0"/>
    <x v="3"/>
  </r>
  <r>
    <x v="880"/>
    <x v="26"/>
    <x v="1"/>
    <x v="7"/>
    <x v="6"/>
    <x v="0"/>
    <x v="14"/>
    <x v="876"/>
    <x v="1"/>
    <x v="4"/>
  </r>
  <r>
    <x v="881"/>
    <x v="42"/>
    <x v="1"/>
    <x v="3"/>
    <x v="1"/>
    <x v="0"/>
    <x v="10"/>
    <x v="877"/>
    <x v="1"/>
    <x v="3"/>
  </r>
  <r>
    <x v="882"/>
    <x v="75"/>
    <x v="0"/>
    <x v="1"/>
    <x v="1"/>
    <x v="0"/>
    <x v="1"/>
    <x v="878"/>
    <x v="1"/>
    <x v="0"/>
  </r>
  <r>
    <x v="883"/>
    <x v="0"/>
    <x v="0"/>
    <x v="6"/>
    <x v="4"/>
    <x v="2"/>
    <x v="10"/>
    <x v="879"/>
    <x v="0"/>
    <x v="1"/>
  </r>
  <r>
    <x v="884"/>
    <x v="85"/>
    <x v="0"/>
    <x v="1"/>
    <x v="5"/>
    <x v="0"/>
    <x v="9"/>
    <x v="880"/>
    <x v="0"/>
    <x v="0"/>
  </r>
  <r>
    <x v="885"/>
    <x v="40"/>
    <x v="1"/>
    <x v="7"/>
    <x v="7"/>
    <x v="2"/>
    <x v="12"/>
    <x v="881"/>
    <x v="1"/>
    <x v="0"/>
  </r>
  <r>
    <x v="886"/>
    <x v="63"/>
    <x v="0"/>
    <x v="6"/>
    <x v="2"/>
    <x v="2"/>
    <x v="11"/>
    <x v="882"/>
    <x v="0"/>
    <x v="1"/>
  </r>
  <r>
    <x v="887"/>
    <x v="79"/>
    <x v="0"/>
    <x v="8"/>
    <x v="8"/>
    <x v="2"/>
    <x v="8"/>
    <x v="883"/>
    <x v="0"/>
    <x v="0"/>
  </r>
  <r>
    <x v="888"/>
    <x v="87"/>
    <x v="0"/>
    <x v="0"/>
    <x v="2"/>
    <x v="1"/>
    <x v="12"/>
    <x v="884"/>
    <x v="1"/>
    <x v="4"/>
  </r>
  <r>
    <x v="889"/>
    <x v="40"/>
    <x v="0"/>
    <x v="2"/>
    <x v="3"/>
    <x v="1"/>
    <x v="0"/>
    <x v="885"/>
    <x v="0"/>
    <x v="4"/>
  </r>
  <r>
    <x v="890"/>
    <x v="36"/>
    <x v="0"/>
    <x v="9"/>
    <x v="0"/>
    <x v="1"/>
    <x v="4"/>
    <x v="886"/>
    <x v="0"/>
    <x v="0"/>
  </r>
  <r>
    <x v="891"/>
    <x v="80"/>
    <x v="1"/>
    <x v="9"/>
    <x v="3"/>
    <x v="1"/>
    <x v="14"/>
    <x v="887"/>
    <x v="1"/>
    <x v="3"/>
  </r>
  <r>
    <x v="892"/>
    <x v="17"/>
    <x v="1"/>
    <x v="0"/>
    <x v="8"/>
    <x v="0"/>
    <x v="6"/>
    <x v="888"/>
    <x v="0"/>
    <x v="2"/>
  </r>
  <r>
    <x v="893"/>
    <x v="56"/>
    <x v="0"/>
    <x v="1"/>
    <x v="6"/>
    <x v="2"/>
    <x v="14"/>
    <x v="889"/>
    <x v="0"/>
    <x v="2"/>
  </r>
  <r>
    <x v="894"/>
    <x v="52"/>
    <x v="1"/>
    <x v="3"/>
    <x v="6"/>
    <x v="0"/>
    <x v="14"/>
    <x v="890"/>
    <x v="1"/>
    <x v="2"/>
  </r>
  <r>
    <x v="895"/>
    <x v="87"/>
    <x v="0"/>
    <x v="1"/>
    <x v="1"/>
    <x v="1"/>
    <x v="13"/>
    <x v="891"/>
    <x v="0"/>
    <x v="0"/>
  </r>
  <r>
    <x v="896"/>
    <x v="48"/>
    <x v="0"/>
    <x v="8"/>
    <x v="9"/>
    <x v="2"/>
    <x v="3"/>
    <x v="892"/>
    <x v="0"/>
    <x v="3"/>
  </r>
  <r>
    <x v="897"/>
    <x v="71"/>
    <x v="0"/>
    <x v="4"/>
    <x v="4"/>
    <x v="0"/>
    <x v="11"/>
    <x v="893"/>
    <x v="0"/>
    <x v="0"/>
  </r>
  <r>
    <x v="898"/>
    <x v="31"/>
    <x v="0"/>
    <x v="8"/>
    <x v="5"/>
    <x v="0"/>
    <x v="5"/>
    <x v="894"/>
    <x v="0"/>
    <x v="0"/>
  </r>
  <r>
    <x v="899"/>
    <x v="19"/>
    <x v="0"/>
    <x v="0"/>
    <x v="2"/>
    <x v="1"/>
    <x v="0"/>
    <x v="895"/>
    <x v="0"/>
    <x v="1"/>
  </r>
  <r>
    <x v="900"/>
    <x v="24"/>
    <x v="0"/>
    <x v="8"/>
    <x v="2"/>
    <x v="1"/>
    <x v="10"/>
    <x v="896"/>
    <x v="1"/>
    <x v="1"/>
  </r>
  <r>
    <x v="901"/>
    <x v="86"/>
    <x v="1"/>
    <x v="6"/>
    <x v="6"/>
    <x v="1"/>
    <x v="9"/>
    <x v="897"/>
    <x v="1"/>
    <x v="0"/>
  </r>
  <r>
    <x v="902"/>
    <x v="35"/>
    <x v="1"/>
    <x v="3"/>
    <x v="9"/>
    <x v="2"/>
    <x v="4"/>
    <x v="898"/>
    <x v="0"/>
    <x v="1"/>
  </r>
  <r>
    <x v="903"/>
    <x v="59"/>
    <x v="1"/>
    <x v="0"/>
    <x v="7"/>
    <x v="0"/>
    <x v="12"/>
    <x v="899"/>
    <x v="1"/>
    <x v="1"/>
  </r>
  <r>
    <x v="904"/>
    <x v="6"/>
    <x v="0"/>
    <x v="6"/>
    <x v="8"/>
    <x v="1"/>
    <x v="10"/>
    <x v="900"/>
    <x v="0"/>
    <x v="0"/>
  </r>
  <r>
    <x v="905"/>
    <x v="67"/>
    <x v="1"/>
    <x v="6"/>
    <x v="2"/>
    <x v="0"/>
    <x v="1"/>
    <x v="901"/>
    <x v="1"/>
    <x v="0"/>
  </r>
  <r>
    <x v="906"/>
    <x v="42"/>
    <x v="1"/>
    <x v="3"/>
    <x v="5"/>
    <x v="2"/>
    <x v="11"/>
    <x v="902"/>
    <x v="0"/>
    <x v="1"/>
  </r>
  <r>
    <x v="907"/>
    <x v="6"/>
    <x v="0"/>
    <x v="8"/>
    <x v="9"/>
    <x v="2"/>
    <x v="9"/>
    <x v="903"/>
    <x v="0"/>
    <x v="3"/>
  </r>
  <r>
    <x v="908"/>
    <x v="36"/>
    <x v="0"/>
    <x v="0"/>
    <x v="1"/>
    <x v="0"/>
    <x v="12"/>
    <x v="904"/>
    <x v="1"/>
    <x v="2"/>
  </r>
  <r>
    <x v="909"/>
    <x v="4"/>
    <x v="1"/>
    <x v="0"/>
    <x v="2"/>
    <x v="2"/>
    <x v="11"/>
    <x v="905"/>
    <x v="0"/>
    <x v="2"/>
  </r>
  <r>
    <x v="910"/>
    <x v="70"/>
    <x v="0"/>
    <x v="4"/>
    <x v="6"/>
    <x v="0"/>
    <x v="1"/>
    <x v="906"/>
    <x v="1"/>
    <x v="2"/>
  </r>
  <r>
    <x v="911"/>
    <x v="75"/>
    <x v="1"/>
    <x v="1"/>
    <x v="4"/>
    <x v="2"/>
    <x v="10"/>
    <x v="907"/>
    <x v="1"/>
    <x v="4"/>
  </r>
  <r>
    <x v="912"/>
    <x v="32"/>
    <x v="1"/>
    <x v="8"/>
    <x v="5"/>
    <x v="1"/>
    <x v="2"/>
    <x v="908"/>
    <x v="1"/>
    <x v="3"/>
  </r>
  <r>
    <x v="913"/>
    <x v="27"/>
    <x v="0"/>
    <x v="1"/>
    <x v="4"/>
    <x v="1"/>
    <x v="13"/>
    <x v="909"/>
    <x v="0"/>
    <x v="1"/>
  </r>
  <r>
    <x v="914"/>
    <x v="75"/>
    <x v="0"/>
    <x v="0"/>
    <x v="1"/>
    <x v="0"/>
    <x v="2"/>
    <x v="910"/>
    <x v="1"/>
    <x v="1"/>
  </r>
  <r>
    <x v="915"/>
    <x v="23"/>
    <x v="1"/>
    <x v="9"/>
    <x v="0"/>
    <x v="1"/>
    <x v="0"/>
    <x v="911"/>
    <x v="1"/>
    <x v="4"/>
  </r>
  <r>
    <x v="916"/>
    <x v="54"/>
    <x v="1"/>
    <x v="9"/>
    <x v="3"/>
    <x v="2"/>
    <x v="12"/>
    <x v="912"/>
    <x v="1"/>
    <x v="0"/>
  </r>
  <r>
    <x v="917"/>
    <x v="77"/>
    <x v="0"/>
    <x v="5"/>
    <x v="0"/>
    <x v="1"/>
    <x v="3"/>
    <x v="913"/>
    <x v="1"/>
    <x v="3"/>
  </r>
  <r>
    <x v="918"/>
    <x v="88"/>
    <x v="0"/>
    <x v="5"/>
    <x v="3"/>
    <x v="2"/>
    <x v="7"/>
    <x v="914"/>
    <x v="1"/>
    <x v="4"/>
  </r>
  <r>
    <x v="919"/>
    <x v="32"/>
    <x v="1"/>
    <x v="8"/>
    <x v="8"/>
    <x v="0"/>
    <x v="2"/>
    <x v="915"/>
    <x v="1"/>
    <x v="3"/>
  </r>
  <r>
    <x v="920"/>
    <x v="18"/>
    <x v="0"/>
    <x v="2"/>
    <x v="6"/>
    <x v="0"/>
    <x v="12"/>
    <x v="916"/>
    <x v="0"/>
    <x v="2"/>
  </r>
  <r>
    <x v="921"/>
    <x v="31"/>
    <x v="1"/>
    <x v="1"/>
    <x v="7"/>
    <x v="2"/>
    <x v="4"/>
    <x v="917"/>
    <x v="0"/>
    <x v="2"/>
  </r>
  <r>
    <x v="922"/>
    <x v="1"/>
    <x v="1"/>
    <x v="2"/>
    <x v="5"/>
    <x v="2"/>
    <x v="1"/>
    <x v="918"/>
    <x v="0"/>
    <x v="1"/>
  </r>
  <r>
    <x v="923"/>
    <x v="42"/>
    <x v="0"/>
    <x v="2"/>
    <x v="1"/>
    <x v="0"/>
    <x v="10"/>
    <x v="919"/>
    <x v="0"/>
    <x v="2"/>
  </r>
  <r>
    <x v="924"/>
    <x v="18"/>
    <x v="1"/>
    <x v="6"/>
    <x v="6"/>
    <x v="2"/>
    <x v="12"/>
    <x v="920"/>
    <x v="0"/>
    <x v="3"/>
  </r>
  <r>
    <x v="925"/>
    <x v="87"/>
    <x v="0"/>
    <x v="7"/>
    <x v="1"/>
    <x v="2"/>
    <x v="8"/>
    <x v="921"/>
    <x v="1"/>
    <x v="2"/>
  </r>
  <r>
    <x v="926"/>
    <x v="22"/>
    <x v="0"/>
    <x v="2"/>
    <x v="6"/>
    <x v="2"/>
    <x v="4"/>
    <x v="922"/>
    <x v="0"/>
    <x v="4"/>
  </r>
  <r>
    <x v="927"/>
    <x v="77"/>
    <x v="0"/>
    <x v="6"/>
    <x v="9"/>
    <x v="1"/>
    <x v="6"/>
    <x v="923"/>
    <x v="0"/>
    <x v="0"/>
  </r>
  <r>
    <x v="928"/>
    <x v="54"/>
    <x v="0"/>
    <x v="3"/>
    <x v="3"/>
    <x v="0"/>
    <x v="6"/>
    <x v="924"/>
    <x v="0"/>
    <x v="2"/>
  </r>
  <r>
    <x v="929"/>
    <x v="8"/>
    <x v="0"/>
    <x v="5"/>
    <x v="4"/>
    <x v="1"/>
    <x v="11"/>
    <x v="925"/>
    <x v="1"/>
    <x v="2"/>
  </r>
  <r>
    <x v="930"/>
    <x v="61"/>
    <x v="0"/>
    <x v="3"/>
    <x v="9"/>
    <x v="2"/>
    <x v="13"/>
    <x v="926"/>
    <x v="0"/>
    <x v="0"/>
  </r>
  <r>
    <x v="931"/>
    <x v="50"/>
    <x v="0"/>
    <x v="1"/>
    <x v="3"/>
    <x v="1"/>
    <x v="6"/>
    <x v="927"/>
    <x v="0"/>
    <x v="1"/>
  </r>
  <r>
    <x v="932"/>
    <x v="56"/>
    <x v="1"/>
    <x v="6"/>
    <x v="9"/>
    <x v="1"/>
    <x v="11"/>
    <x v="928"/>
    <x v="1"/>
    <x v="2"/>
  </r>
  <r>
    <x v="933"/>
    <x v="31"/>
    <x v="1"/>
    <x v="0"/>
    <x v="1"/>
    <x v="0"/>
    <x v="5"/>
    <x v="929"/>
    <x v="1"/>
    <x v="3"/>
  </r>
  <r>
    <x v="934"/>
    <x v="83"/>
    <x v="1"/>
    <x v="5"/>
    <x v="0"/>
    <x v="1"/>
    <x v="10"/>
    <x v="930"/>
    <x v="0"/>
    <x v="3"/>
  </r>
  <r>
    <x v="935"/>
    <x v="9"/>
    <x v="0"/>
    <x v="6"/>
    <x v="9"/>
    <x v="1"/>
    <x v="14"/>
    <x v="931"/>
    <x v="1"/>
    <x v="1"/>
  </r>
  <r>
    <x v="936"/>
    <x v="22"/>
    <x v="1"/>
    <x v="2"/>
    <x v="4"/>
    <x v="1"/>
    <x v="5"/>
    <x v="932"/>
    <x v="1"/>
    <x v="2"/>
  </r>
  <r>
    <x v="937"/>
    <x v="29"/>
    <x v="0"/>
    <x v="1"/>
    <x v="5"/>
    <x v="2"/>
    <x v="6"/>
    <x v="933"/>
    <x v="1"/>
    <x v="3"/>
  </r>
  <r>
    <x v="938"/>
    <x v="9"/>
    <x v="1"/>
    <x v="0"/>
    <x v="4"/>
    <x v="0"/>
    <x v="1"/>
    <x v="934"/>
    <x v="1"/>
    <x v="1"/>
  </r>
  <r>
    <x v="939"/>
    <x v="39"/>
    <x v="0"/>
    <x v="4"/>
    <x v="8"/>
    <x v="0"/>
    <x v="6"/>
    <x v="935"/>
    <x v="1"/>
    <x v="2"/>
  </r>
  <r>
    <x v="940"/>
    <x v="10"/>
    <x v="0"/>
    <x v="6"/>
    <x v="7"/>
    <x v="0"/>
    <x v="8"/>
    <x v="936"/>
    <x v="1"/>
    <x v="0"/>
  </r>
  <r>
    <x v="941"/>
    <x v="2"/>
    <x v="1"/>
    <x v="8"/>
    <x v="1"/>
    <x v="0"/>
    <x v="13"/>
    <x v="937"/>
    <x v="1"/>
    <x v="3"/>
  </r>
  <r>
    <x v="942"/>
    <x v="64"/>
    <x v="0"/>
    <x v="3"/>
    <x v="5"/>
    <x v="0"/>
    <x v="1"/>
    <x v="938"/>
    <x v="1"/>
    <x v="1"/>
  </r>
  <r>
    <x v="943"/>
    <x v="23"/>
    <x v="1"/>
    <x v="7"/>
    <x v="6"/>
    <x v="2"/>
    <x v="2"/>
    <x v="939"/>
    <x v="0"/>
    <x v="0"/>
  </r>
  <r>
    <x v="944"/>
    <x v="39"/>
    <x v="1"/>
    <x v="4"/>
    <x v="8"/>
    <x v="2"/>
    <x v="3"/>
    <x v="940"/>
    <x v="1"/>
    <x v="1"/>
  </r>
  <r>
    <x v="945"/>
    <x v="9"/>
    <x v="0"/>
    <x v="4"/>
    <x v="3"/>
    <x v="1"/>
    <x v="9"/>
    <x v="941"/>
    <x v="0"/>
    <x v="3"/>
  </r>
  <r>
    <x v="946"/>
    <x v="19"/>
    <x v="0"/>
    <x v="5"/>
    <x v="5"/>
    <x v="0"/>
    <x v="11"/>
    <x v="942"/>
    <x v="1"/>
    <x v="4"/>
  </r>
  <r>
    <x v="947"/>
    <x v="60"/>
    <x v="0"/>
    <x v="7"/>
    <x v="7"/>
    <x v="2"/>
    <x v="4"/>
    <x v="943"/>
    <x v="1"/>
    <x v="2"/>
  </r>
  <r>
    <x v="948"/>
    <x v="31"/>
    <x v="1"/>
    <x v="0"/>
    <x v="4"/>
    <x v="0"/>
    <x v="5"/>
    <x v="944"/>
    <x v="0"/>
    <x v="2"/>
  </r>
  <r>
    <x v="949"/>
    <x v="17"/>
    <x v="1"/>
    <x v="5"/>
    <x v="8"/>
    <x v="0"/>
    <x v="14"/>
    <x v="945"/>
    <x v="0"/>
    <x v="3"/>
  </r>
  <r>
    <x v="950"/>
    <x v="3"/>
    <x v="1"/>
    <x v="7"/>
    <x v="3"/>
    <x v="1"/>
    <x v="13"/>
    <x v="946"/>
    <x v="0"/>
    <x v="3"/>
  </r>
  <r>
    <x v="951"/>
    <x v="12"/>
    <x v="1"/>
    <x v="2"/>
    <x v="5"/>
    <x v="2"/>
    <x v="2"/>
    <x v="947"/>
    <x v="0"/>
    <x v="4"/>
  </r>
  <r>
    <x v="952"/>
    <x v="53"/>
    <x v="1"/>
    <x v="8"/>
    <x v="9"/>
    <x v="0"/>
    <x v="13"/>
    <x v="948"/>
    <x v="0"/>
    <x v="1"/>
  </r>
  <r>
    <x v="953"/>
    <x v="43"/>
    <x v="1"/>
    <x v="5"/>
    <x v="5"/>
    <x v="2"/>
    <x v="6"/>
    <x v="928"/>
    <x v="1"/>
    <x v="2"/>
  </r>
  <r>
    <x v="954"/>
    <x v="13"/>
    <x v="1"/>
    <x v="5"/>
    <x v="4"/>
    <x v="0"/>
    <x v="9"/>
    <x v="949"/>
    <x v="0"/>
    <x v="3"/>
  </r>
  <r>
    <x v="955"/>
    <x v="81"/>
    <x v="1"/>
    <x v="9"/>
    <x v="7"/>
    <x v="1"/>
    <x v="14"/>
    <x v="950"/>
    <x v="0"/>
    <x v="4"/>
  </r>
  <r>
    <x v="956"/>
    <x v="31"/>
    <x v="1"/>
    <x v="7"/>
    <x v="7"/>
    <x v="1"/>
    <x v="1"/>
    <x v="951"/>
    <x v="0"/>
    <x v="2"/>
  </r>
  <r>
    <x v="957"/>
    <x v="36"/>
    <x v="1"/>
    <x v="3"/>
    <x v="1"/>
    <x v="0"/>
    <x v="7"/>
    <x v="952"/>
    <x v="0"/>
    <x v="3"/>
  </r>
  <r>
    <x v="958"/>
    <x v="26"/>
    <x v="0"/>
    <x v="2"/>
    <x v="2"/>
    <x v="1"/>
    <x v="2"/>
    <x v="953"/>
    <x v="0"/>
    <x v="3"/>
  </r>
  <r>
    <x v="959"/>
    <x v="46"/>
    <x v="0"/>
    <x v="6"/>
    <x v="6"/>
    <x v="1"/>
    <x v="10"/>
    <x v="954"/>
    <x v="1"/>
    <x v="3"/>
  </r>
  <r>
    <x v="960"/>
    <x v="39"/>
    <x v="1"/>
    <x v="8"/>
    <x v="2"/>
    <x v="1"/>
    <x v="0"/>
    <x v="955"/>
    <x v="1"/>
    <x v="4"/>
  </r>
  <r>
    <x v="961"/>
    <x v="6"/>
    <x v="1"/>
    <x v="8"/>
    <x v="7"/>
    <x v="0"/>
    <x v="0"/>
    <x v="956"/>
    <x v="1"/>
    <x v="1"/>
  </r>
  <r>
    <x v="962"/>
    <x v="41"/>
    <x v="0"/>
    <x v="1"/>
    <x v="9"/>
    <x v="1"/>
    <x v="6"/>
    <x v="957"/>
    <x v="1"/>
    <x v="3"/>
  </r>
  <r>
    <x v="963"/>
    <x v="65"/>
    <x v="1"/>
    <x v="6"/>
    <x v="8"/>
    <x v="2"/>
    <x v="4"/>
    <x v="958"/>
    <x v="0"/>
    <x v="1"/>
  </r>
  <r>
    <x v="964"/>
    <x v="44"/>
    <x v="1"/>
    <x v="3"/>
    <x v="0"/>
    <x v="2"/>
    <x v="14"/>
    <x v="959"/>
    <x v="0"/>
    <x v="3"/>
  </r>
  <r>
    <x v="965"/>
    <x v="9"/>
    <x v="1"/>
    <x v="6"/>
    <x v="3"/>
    <x v="0"/>
    <x v="13"/>
    <x v="960"/>
    <x v="0"/>
    <x v="1"/>
  </r>
  <r>
    <x v="966"/>
    <x v="62"/>
    <x v="0"/>
    <x v="7"/>
    <x v="1"/>
    <x v="2"/>
    <x v="14"/>
    <x v="961"/>
    <x v="0"/>
    <x v="3"/>
  </r>
  <r>
    <x v="967"/>
    <x v="14"/>
    <x v="0"/>
    <x v="2"/>
    <x v="0"/>
    <x v="2"/>
    <x v="0"/>
    <x v="962"/>
    <x v="1"/>
    <x v="0"/>
  </r>
  <r>
    <x v="968"/>
    <x v="23"/>
    <x v="0"/>
    <x v="7"/>
    <x v="0"/>
    <x v="0"/>
    <x v="4"/>
    <x v="963"/>
    <x v="1"/>
    <x v="4"/>
  </r>
  <r>
    <x v="969"/>
    <x v="43"/>
    <x v="1"/>
    <x v="0"/>
    <x v="6"/>
    <x v="0"/>
    <x v="12"/>
    <x v="964"/>
    <x v="0"/>
    <x v="4"/>
  </r>
  <r>
    <x v="970"/>
    <x v="16"/>
    <x v="0"/>
    <x v="1"/>
    <x v="5"/>
    <x v="1"/>
    <x v="4"/>
    <x v="965"/>
    <x v="1"/>
    <x v="2"/>
  </r>
  <r>
    <x v="971"/>
    <x v="77"/>
    <x v="0"/>
    <x v="5"/>
    <x v="8"/>
    <x v="1"/>
    <x v="3"/>
    <x v="966"/>
    <x v="0"/>
    <x v="1"/>
  </r>
  <r>
    <x v="972"/>
    <x v="34"/>
    <x v="1"/>
    <x v="2"/>
    <x v="6"/>
    <x v="1"/>
    <x v="12"/>
    <x v="967"/>
    <x v="0"/>
    <x v="2"/>
  </r>
  <r>
    <x v="973"/>
    <x v="39"/>
    <x v="0"/>
    <x v="9"/>
    <x v="0"/>
    <x v="2"/>
    <x v="1"/>
    <x v="968"/>
    <x v="0"/>
    <x v="1"/>
  </r>
  <r>
    <x v="974"/>
    <x v="12"/>
    <x v="0"/>
    <x v="9"/>
    <x v="0"/>
    <x v="0"/>
    <x v="2"/>
    <x v="969"/>
    <x v="0"/>
    <x v="3"/>
  </r>
  <r>
    <x v="975"/>
    <x v="55"/>
    <x v="1"/>
    <x v="0"/>
    <x v="2"/>
    <x v="0"/>
    <x v="2"/>
    <x v="970"/>
    <x v="0"/>
    <x v="4"/>
  </r>
  <r>
    <x v="976"/>
    <x v="4"/>
    <x v="1"/>
    <x v="1"/>
    <x v="9"/>
    <x v="0"/>
    <x v="13"/>
    <x v="971"/>
    <x v="0"/>
    <x v="1"/>
  </r>
  <r>
    <x v="977"/>
    <x v="9"/>
    <x v="0"/>
    <x v="1"/>
    <x v="0"/>
    <x v="2"/>
    <x v="6"/>
    <x v="972"/>
    <x v="0"/>
    <x v="0"/>
  </r>
  <r>
    <x v="978"/>
    <x v="61"/>
    <x v="0"/>
    <x v="7"/>
    <x v="4"/>
    <x v="1"/>
    <x v="8"/>
    <x v="973"/>
    <x v="1"/>
    <x v="2"/>
  </r>
  <r>
    <x v="979"/>
    <x v="47"/>
    <x v="0"/>
    <x v="8"/>
    <x v="2"/>
    <x v="1"/>
    <x v="10"/>
    <x v="974"/>
    <x v="1"/>
    <x v="0"/>
  </r>
  <r>
    <x v="980"/>
    <x v="74"/>
    <x v="0"/>
    <x v="6"/>
    <x v="3"/>
    <x v="2"/>
    <x v="9"/>
    <x v="975"/>
    <x v="0"/>
    <x v="0"/>
  </r>
  <r>
    <x v="981"/>
    <x v="69"/>
    <x v="0"/>
    <x v="9"/>
    <x v="4"/>
    <x v="1"/>
    <x v="10"/>
    <x v="976"/>
    <x v="1"/>
    <x v="0"/>
  </r>
  <r>
    <x v="982"/>
    <x v="40"/>
    <x v="0"/>
    <x v="4"/>
    <x v="2"/>
    <x v="1"/>
    <x v="9"/>
    <x v="977"/>
    <x v="1"/>
    <x v="2"/>
  </r>
  <r>
    <x v="983"/>
    <x v="3"/>
    <x v="1"/>
    <x v="5"/>
    <x v="1"/>
    <x v="0"/>
    <x v="5"/>
    <x v="978"/>
    <x v="1"/>
    <x v="4"/>
  </r>
  <r>
    <x v="984"/>
    <x v="3"/>
    <x v="0"/>
    <x v="6"/>
    <x v="1"/>
    <x v="0"/>
    <x v="12"/>
    <x v="979"/>
    <x v="1"/>
    <x v="2"/>
  </r>
  <r>
    <x v="985"/>
    <x v="85"/>
    <x v="1"/>
    <x v="3"/>
    <x v="9"/>
    <x v="1"/>
    <x v="3"/>
    <x v="980"/>
    <x v="1"/>
    <x v="4"/>
  </r>
  <r>
    <x v="986"/>
    <x v="78"/>
    <x v="1"/>
    <x v="3"/>
    <x v="5"/>
    <x v="0"/>
    <x v="12"/>
    <x v="981"/>
    <x v="0"/>
    <x v="0"/>
  </r>
  <r>
    <x v="987"/>
    <x v="22"/>
    <x v="0"/>
    <x v="3"/>
    <x v="1"/>
    <x v="2"/>
    <x v="5"/>
    <x v="982"/>
    <x v="1"/>
    <x v="1"/>
  </r>
  <r>
    <x v="988"/>
    <x v="81"/>
    <x v="1"/>
    <x v="5"/>
    <x v="1"/>
    <x v="0"/>
    <x v="9"/>
    <x v="983"/>
    <x v="1"/>
    <x v="2"/>
  </r>
  <r>
    <x v="989"/>
    <x v="46"/>
    <x v="0"/>
    <x v="2"/>
    <x v="6"/>
    <x v="2"/>
    <x v="3"/>
    <x v="984"/>
    <x v="0"/>
    <x v="1"/>
  </r>
  <r>
    <x v="990"/>
    <x v="69"/>
    <x v="1"/>
    <x v="2"/>
    <x v="5"/>
    <x v="1"/>
    <x v="2"/>
    <x v="985"/>
    <x v="1"/>
    <x v="3"/>
  </r>
  <r>
    <x v="991"/>
    <x v="22"/>
    <x v="0"/>
    <x v="7"/>
    <x v="2"/>
    <x v="0"/>
    <x v="12"/>
    <x v="986"/>
    <x v="1"/>
    <x v="4"/>
  </r>
  <r>
    <x v="992"/>
    <x v="18"/>
    <x v="1"/>
    <x v="1"/>
    <x v="9"/>
    <x v="0"/>
    <x v="8"/>
    <x v="987"/>
    <x v="1"/>
    <x v="0"/>
  </r>
  <r>
    <x v="993"/>
    <x v="4"/>
    <x v="1"/>
    <x v="6"/>
    <x v="1"/>
    <x v="2"/>
    <x v="7"/>
    <x v="988"/>
    <x v="0"/>
    <x v="0"/>
  </r>
  <r>
    <x v="994"/>
    <x v="29"/>
    <x v="1"/>
    <x v="5"/>
    <x v="3"/>
    <x v="1"/>
    <x v="9"/>
    <x v="989"/>
    <x v="0"/>
    <x v="1"/>
  </r>
  <r>
    <x v="995"/>
    <x v="18"/>
    <x v="1"/>
    <x v="6"/>
    <x v="5"/>
    <x v="2"/>
    <x v="6"/>
    <x v="990"/>
    <x v="0"/>
    <x v="3"/>
  </r>
  <r>
    <x v="996"/>
    <x v="20"/>
    <x v="1"/>
    <x v="4"/>
    <x v="3"/>
    <x v="2"/>
    <x v="5"/>
    <x v="991"/>
    <x v="1"/>
    <x v="3"/>
  </r>
  <r>
    <x v="997"/>
    <x v="68"/>
    <x v="1"/>
    <x v="5"/>
    <x v="6"/>
    <x v="0"/>
    <x v="3"/>
    <x v="992"/>
    <x v="0"/>
    <x v="1"/>
  </r>
  <r>
    <x v="998"/>
    <x v="67"/>
    <x v="1"/>
    <x v="6"/>
    <x v="7"/>
    <x v="0"/>
    <x v="2"/>
    <x v="993"/>
    <x v="1"/>
    <x v="2"/>
  </r>
  <r>
    <x v="999"/>
    <x v="40"/>
    <x v="1"/>
    <x v="9"/>
    <x v="7"/>
    <x v="0"/>
    <x v="4"/>
    <x v="994"/>
    <x v="0"/>
    <x v="0"/>
  </r>
  <r>
    <x v="1000"/>
    <x v="13"/>
    <x v="1"/>
    <x v="2"/>
    <x v="7"/>
    <x v="1"/>
    <x v="4"/>
    <x v="995"/>
    <x v="1"/>
    <x v="1"/>
  </r>
  <r>
    <x v="1001"/>
    <x v="79"/>
    <x v="1"/>
    <x v="4"/>
    <x v="2"/>
    <x v="2"/>
    <x v="14"/>
    <x v="996"/>
    <x v="1"/>
    <x v="0"/>
  </r>
  <r>
    <x v="1002"/>
    <x v="43"/>
    <x v="0"/>
    <x v="1"/>
    <x v="3"/>
    <x v="2"/>
    <x v="7"/>
    <x v="997"/>
    <x v="1"/>
    <x v="2"/>
  </r>
  <r>
    <x v="1003"/>
    <x v="26"/>
    <x v="1"/>
    <x v="1"/>
    <x v="9"/>
    <x v="0"/>
    <x v="0"/>
    <x v="998"/>
    <x v="1"/>
    <x v="3"/>
  </r>
  <r>
    <x v="1004"/>
    <x v="56"/>
    <x v="0"/>
    <x v="3"/>
    <x v="2"/>
    <x v="0"/>
    <x v="10"/>
    <x v="999"/>
    <x v="0"/>
    <x v="3"/>
  </r>
  <r>
    <x v="1005"/>
    <x v="44"/>
    <x v="0"/>
    <x v="3"/>
    <x v="9"/>
    <x v="0"/>
    <x v="3"/>
    <x v="1000"/>
    <x v="0"/>
    <x v="0"/>
  </r>
  <r>
    <x v="1006"/>
    <x v="75"/>
    <x v="1"/>
    <x v="4"/>
    <x v="0"/>
    <x v="2"/>
    <x v="6"/>
    <x v="1001"/>
    <x v="1"/>
    <x v="4"/>
  </r>
  <r>
    <x v="1007"/>
    <x v="6"/>
    <x v="0"/>
    <x v="1"/>
    <x v="1"/>
    <x v="0"/>
    <x v="8"/>
    <x v="1002"/>
    <x v="1"/>
    <x v="1"/>
  </r>
  <r>
    <x v="1008"/>
    <x v="18"/>
    <x v="0"/>
    <x v="2"/>
    <x v="7"/>
    <x v="1"/>
    <x v="3"/>
    <x v="1003"/>
    <x v="0"/>
    <x v="1"/>
  </r>
  <r>
    <x v="1009"/>
    <x v="81"/>
    <x v="0"/>
    <x v="9"/>
    <x v="3"/>
    <x v="0"/>
    <x v="4"/>
    <x v="1004"/>
    <x v="0"/>
    <x v="2"/>
  </r>
  <r>
    <x v="1010"/>
    <x v="68"/>
    <x v="1"/>
    <x v="9"/>
    <x v="0"/>
    <x v="2"/>
    <x v="7"/>
    <x v="1005"/>
    <x v="0"/>
    <x v="3"/>
  </r>
  <r>
    <x v="1011"/>
    <x v="6"/>
    <x v="1"/>
    <x v="1"/>
    <x v="6"/>
    <x v="2"/>
    <x v="12"/>
    <x v="1006"/>
    <x v="0"/>
    <x v="2"/>
  </r>
  <r>
    <x v="1012"/>
    <x v="89"/>
    <x v="0"/>
    <x v="8"/>
    <x v="2"/>
    <x v="1"/>
    <x v="12"/>
    <x v="1007"/>
    <x v="1"/>
    <x v="3"/>
  </r>
  <r>
    <x v="1013"/>
    <x v="78"/>
    <x v="1"/>
    <x v="4"/>
    <x v="0"/>
    <x v="2"/>
    <x v="13"/>
    <x v="1008"/>
    <x v="1"/>
    <x v="0"/>
  </r>
  <r>
    <x v="1014"/>
    <x v="13"/>
    <x v="0"/>
    <x v="9"/>
    <x v="0"/>
    <x v="0"/>
    <x v="4"/>
    <x v="1009"/>
    <x v="1"/>
    <x v="2"/>
  </r>
  <r>
    <x v="1015"/>
    <x v="50"/>
    <x v="0"/>
    <x v="3"/>
    <x v="7"/>
    <x v="0"/>
    <x v="0"/>
    <x v="1010"/>
    <x v="1"/>
    <x v="4"/>
  </r>
  <r>
    <x v="1016"/>
    <x v="11"/>
    <x v="1"/>
    <x v="6"/>
    <x v="3"/>
    <x v="1"/>
    <x v="11"/>
    <x v="1011"/>
    <x v="0"/>
    <x v="3"/>
  </r>
  <r>
    <x v="1017"/>
    <x v="57"/>
    <x v="1"/>
    <x v="4"/>
    <x v="8"/>
    <x v="0"/>
    <x v="7"/>
    <x v="1012"/>
    <x v="0"/>
    <x v="3"/>
  </r>
  <r>
    <x v="1018"/>
    <x v="69"/>
    <x v="0"/>
    <x v="2"/>
    <x v="3"/>
    <x v="1"/>
    <x v="2"/>
    <x v="1013"/>
    <x v="0"/>
    <x v="2"/>
  </r>
  <r>
    <x v="1019"/>
    <x v="72"/>
    <x v="0"/>
    <x v="4"/>
    <x v="6"/>
    <x v="1"/>
    <x v="11"/>
    <x v="1014"/>
    <x v="1"/>
    <x v="4"/>
  </r>
  <r>
    <x v="1020"/>
    <x v="89"/>
    <x v="1"/>
    <x v="4"/>
    <x v="6"/>
    <x v="2"/>
    <x v="0"/>
    <x v="1015"/>
    <x v="0"/>
    <x v="3"/>
  </r>
  <r>
    <x v="1021"/>
    <x v="32"/>
    <x v="0"/>
    <x v="0"/>
    <x v="9"/>
    <x v="1"/>
    <x v="13"/>
    <x v="1016"/>
    <x v="1"/>
    <x v="0"/>
  </r>
  <r>
    <x v="1022"/>
    <x v="87"/>
    <x v="1"/>
    <x v="9"/>
    <x v="5"/>
    <x v="2"/>
    <x v="11"/>
    <x v="1017"/>
    <x v="0"/>
    <x v="4"/>
  </r>
  <r>
    <x v="1023"/>
    <x v="53"/>
    <x v="1"/>
    <x v="5"/>
    <x v="1"/>
    <x v="0"/>
    <x v="6"/>
    <x v="1018"/>
    <x v="1"/>
    <x v="4"/>
  </r>
  <r>
    <x v="1024"/>
    <x v="56"/>
    <x v="1"/>
    <x v="1"/>
    <x v="0"/>
    <x v="0"/>
    <x v="4"/>
    <x v="1019"/>
    <x v="1"/>
    <x v="0"/>
  </r>
  <r>
    <x v="1025"/>
    <x v="37"/>
    <x v="1"/>
    <x v="0"/>
    <x v="6"/>
    <x v="2"/>
    <x v="4"/>
    <x v="1020"/>
    <x v="1"/>
    <x v="3"/>
  </r>
  <r>
    <x v="1026"/>
    <x v="51"/>
    <x v="1"/>
    <x v="4"/>
    <x v="3"/>
    <x v="1"/>
    <x v="10"/>
    <x v="1021"/>
    <x v="0"/>
    <x v="4"/>
  </r>
  <r>
    <x v="1027"/>
    <x v="48"/>
    <x v="1"/>
    <x v="6"/>
    <x v="0"/>
    <x v="1"/>
    <x v="14"/>
    <x v="1022"/>
    <x v="0"/>
    <x v="3"/>
  </r>
  <r>
    <x v="1028"/>
    <x v="2"/>
    <x v="0"/>
    <x v="9"/>
    <x v="6"/>
    <x v="0"/>
    <x v="12"/>
    <x v="1023"/>
    <x v="1"/>
    <x v="3"/>
  </r>
  <r>
    <x v="1029"/>
    <x v="67"/>
    <x v="1"/>
    <x v="3"/>
    <x v="7"/>
    <x v="2"/>
    <x v="3"/>
    <x v="1024"/>
    <x v="1"/>
    <x v="4"/>
  </r>
  <r>
    <x v="1030"/>
    <x v="28"/>
    <x v="1"/>
    <x v="1"/>
    <x v="1"/>
    <x v="1"/>
    <x v="5"/>
    <x v="1025"/>
    <x v="0"/>
    <x v="2"/>
  </r>
  <r>
    <x v="1031"/>
    <x v="7"/>
    <x v="0"/>
    <x v="6"/>
    <x v="0"/>
    <x v="2"/>
    <x v="9"/>
    <x v="1026"/>
    <x v="1"/>
    <x v="3"/>
  </r>
  <r>
    <x v="1032"/>
    <x v="37"/>
    <x v="1"/>
    <x v="8"/>
    <x v="6"/>
    <x v="1"/>
    <x v="6"/>
    <x v="1027"/>
    <x v="0"/>
    <x v="4"/>
  </r>
  <r>
    <x v="1033"/>
    <x v="7"/>
    <x v="0"/>
    <x v="7"/>
    <x v="9"/>
    <x v="2"/>
    <x v="7"/>
    <x v="1028"/>
    <x v="0"/>
    <x v="3"/>
  </r>
  <r>
    <x v="1034"/>
    <x v="17"/>
    <x v="0"/>
    <x v="6"/>
    <x v="3"/>
    <x v="0"/>
    <x v="6"/>
    <x v="1029"/>
    <x v="0"/>
    <x v="3"/>
  </r>
  <r>
    <x v="1035"/>
    <x v="0"/>
    <x v="0"/>
    <x v="9"/>
    <x v="6"/>
    <x v="1"/>
    <x v="4"/>
    <x v="1030"/>
    <x v="1"/>
    <x v="0"/>
  </r>
  <r>
    <x v="1036"/>
    <x v="18"/>
    <x v="0"/>
    <x v="3"/>
    <x v="5"/>
    <x v="0"/>
    <x v="12"/>
    <x v="385"/>
    <x v="1"/>
    <x v="0"/>
  </r>
  <r>
    <x v="1037"/>
    <x v="67"/>
    <x v="1"/>
    <x v="4"/>
    <x v="5"/>
    <x v="1"/>
    <x v="0"/>
    <x v="1031"/>
    <x v="0"/>
    <x v="2"/>
  </r>
  <r>
    <x v="1038"/>
    <x v="59"/>
    <x v="0"/>
    <x v="5"/>
    <x v="6"/>
    <x v="1"/>
    <x v="4"/>
    <x v="1032"/>
    <x v="1"/>
    <x v="4"/>
  </r>
  <r>
    <x v="1039"/>
    <x v="56"/>
    <x v="1"/>
    <x v="6"/>
    <x v="0"/>
    <x v="2"/>
    <x v="6"/>
    <x v="1033"/>
    <x v="0"/>
    <x v="2"/>
  </r>
  <r>
    <x v="1040"/>
    <x v="87"/>
    <x v="0"/>
    <x v="4"/>
    <x v="3"/>
    <x v="0"/>
    <x v="10"/>
    <x v="1034"/>
    <x v="0"/>
    <x v="3"/>
  </r>
  <r>
    <x v="1041"/>
    <x v="54"/>
    <x v="0"/>
    <x v="7"/>
    <x v="7"/>
    <x v="2"/>
    <x v="9"/>
    <x v="1035"/>
    <x v="1"/>
    <x v="0"/>
  </r>
  <r>
    <x v="1042"/>
    <x v="28"/>
    <x v="0"/>
    <x v="2"/>
    <x v="6"/>
    <x v="0"/>
    <x v="7"/>
    <x v="1036"/>
    <x v="0"/>
    <x v="4"/>
  </r>
  <r>
    <x v="1043"/>
    <x v="71"/>
    <x v="0"/>
    <x v="0"/>
    <x v="0"/>
    <x v="2"/>
    <x v="12"/>
    <x v="1037"/>
    <x v="1"/>
    <x v="4"/>
  </r>
  <r>
    <x v="1044"/>
    <x v="0"/>
    <x v="0"/>
    <x v="0"/>
    <x v="3"/>
    <x v="0"/>
    <x v="5"/>
    <x v="1038"/>
    <x v="0"/>
    <x v="0"/>
  </r>
  <r>
    <x v="1045"/>
    <x v="51"/>
    <x v="0"/>
    <x v="0"/>
    <x v="6"/>
    <x v="0"/>
    <x v="3"/>
    <x v="1039"/>
    <x v="0"/>
    <x v="0"/>
  </r>
  <r>
    <x v="1046"/>
    <x v="13"/>
    <x v="0"/>
    <x v="7"/>
    <x v="9"/>
    <x v="0"/>
    <x v="7"/>
    <x v="1040"/>
    <x v="0"/>
    <x v="4"/>
  </r>
  <r>
    <x v="1047"/>
    <x v="74"/>
    <x v="0"/>
    <x v="8"/>
    <x v="4"/>
    <x v="2"/>
    <x v="3"/>
    <x v="1041"/>
    <x v="0"/>
    <x v="0"/>
  </r>
  <r>
    <x v="1048"/>
    <x v="76"/>
    <x v="1"/>
    <x v="5"/>
    <x v="1"/>
    <x v="0"/>
    <x v="3"/>
    <x v="1042"/>
    <x v="1"/>
    <x v="0"/>
  </r>
  <r>
    <x v="1049"/>
    <x v="34"/>
    <x v="0"/>
    <x v="2"/>
    <x v="0"/>
    <x v="2"/>
    <x v="5"/>
    <x v="1043"/>
    <x v="0"/>
    <x v="4"/>
  </r>
  <r>
    <x v="1050"/>
    <x v="29"/>
    <x v="1"/>
    <x v="9"/>
    <x v="6"/>
    <x v="2"/>
    <x v="10"/>
    <x v="1044"/>
    <x v="0"/>
    <x v="2"/>
  </r>
  <r>
    <x v="1051"/>
    <x v="81"/>
    <x v="1"/>
    <x v="7"/>
    <x v="8"/>
    <x v="2"/>
    <x v="5"/>
    <x v="1045"/>
    <x v="0"/>
    <x v="3"/>
  </r>
  <r>
    <x v="1052"/>
    <x v="65"/>
    <x v="0"/>
    <x v="7"/>
    <x v="9"/>
    <x v="1"/>
    <x v="14"/>
    <x v="1046"/>
    <x v="0"/>
    <x v="4"/>
  </r>
  <r>
    <x v="1053"/>
    <x v="3"/>
    <x v="0"/>
    <x v="2"/>
    <x v="5"/>
    <x v="0"/>
    <x v="13"/>
    <x v="1047"/>
    <x v="1"/>
    <x v="1"/>
  </r>
  <r>
    <x v="1054"/>
    <x v="52"/>
    <x v="0"/>
    <x v="9"/>
    <x v="6"/>
    <x v="1"/>
    <x v="5"/>
    <x v="1048"/>
    <x v="1"/>
    <x v="2"/>
  </r>
  <r>
    <x v="1055"/>
    <x v="74"/>
    <x v="1"/>
    <x v="7"/>
    <x v="5"/>
    <x v="2"/>
    <x v="10"/>
    <x v="1049"/>
    <x v="0"/>
    <x v="0"/>
  </r>
  <r>
    <x v="1056"/>
    <x v="7"/>
    <x v="1"/>
    <x v="7"/>
    <x v="1"/>
    <x v="2"/>
    <x v="7"/>
    <x v="1050"/>
    <x v="0"/>
    <x v="2"/>
  </r>
  <r>
    <x v="1057"/>
    <x v="9"/>
    <x v="0"/>
    <x v="7"/>
    <x v="8"/>
    <x v="1"/>
    <x v="5"/>
    <x v="1051"/>
    <x v="0"/>
    <x v="3"/>
  </r>
  <r>
    <x v="1058"/>
    <x v="83"/>
    <x v="1"/>
    <x v="7"/>
    <x v="5"/>
    <x v="2"/>
    <x v="12"/>
    <x v="1052"/>
    <x v="1"/>
    <x v="4"/>
  </r>
  <r>
    <x v="1059"/>
    <x v="13"/>
    <x v="1"/>
    <x v="2"/>
    <x v="2"/>
    <x v="1"/>
    <x v="1"/>
    <x v="1053"/>
    <x v="1"/>
    <x v="4"/>
  </r>
  <r>
    <x v="1060"/>
    <x v="10"/>
    <x v="0"/>
    <x v="8"/>
    <x v="2"/>
    <x v="1"/>
    <x v="9"/>
    <x v="1054"/>
    <x v="1"/>
    <x v="4"/>
  </r>
  <r>
    <x v="1061"/>
    <x v="56"/>
    <x v="0"/>
    <x v="6"/>
    <x v="0"/>
    <x v="1"/>
    <x v="10"/>
    <x v="1055"/>
    <x v="0"/>
    <x v="0"/>
  </r>
  <r>
    <x v="1062"/>
    <x v="74"/>
    <x v="0"/>
    <x v="8"/>
    <x v="3"/>
    <x v="1"/>
    <x v="5"/>
    <x v="1056"/>
    <x v="0"/>
    <x v="0"/>
  </r>
  <r>
    <x v="1063"/>
    <x v="80"/>
    <x v="0"/>
    <x v="3"/>
    <x v="5"/>
    <x v="2"/>
    <x v="0"/>
    <x v="1057"/>
    <x v="0"/>
    <x v="0"/>
  </r>
  <r>
    <x v="1064"/>
    <x v="29"/>
    <x v="0"/>
    <x v="7"/>
    <x v="7"/>
    <x v="2"/>
    <x v="1"/>
    <x v="1058"/>
    <x v="0"/>
    <x v="4"/>
  </r>
  <r>
    <x v="1065"/>
    <x v="20"/>
    <x v="1"/>
    <x v="5"/>
    <x v="6"/>
    <x v="2"/>
    <x v="8"/>
    <x v="292"/>
    <x v="1"/>
    <x v="0"/>
  </r>
  <r>
    <x v="1066"/>
    <x v="86"/>
    <x v="0"/>
    <x v="9"/>
    <x v="1"/>
    <x v="1"/>
    <x v="4"/>
    <x v="1059"/>
    <x v="1"/>
    <x v="0"/>
  </r>
  <r>
    <x v="1067"/>
    <x v="71"/>
    <x v="1"/>
    <x v="7"/>
    <x v="2"/>
    <x v="1"/>
    <x v="5"/>
    <x v="1060"/>
    <x v="0"/>
    <x v="0"/>
  </r>
  <r>
    <x v="1068"/>
    <x v="32"/>
    <x v="1"/>
    <x v="5"/>
    <x v="0"/>
    <x v="0"/>
    <x v="2"/>
    <x v="1061"/>
    <x v="0"/>
    <x v="0"/>
  </r>
  <r>
    <x v="1069"/>
    <x v="71"/>
    <x v="1"/>
    <x v="6"/>
    <x v="9"/>
    <x v="1"/>
    <x v="2"/>
    <x v="1062"/>
    <x v="1"/>
    <x v="2"/>
  </r>
  <r>
    <x v="1070"/>
    <x v="29"/>
    <x v="0"/>
    <x v="9"/>
    <x v="6"/>
    <x v="2"/>
    <x v="10"/>
    <x v="1063"/>
    <x v="0"/>
    <x v="0"/>
  </r>
  <r>
    <x v="1071"/>
    <x v="68"/>
    <x v="0"/>
    <x v="5"/>
    <x v="1"/>
    <x v="0"/>
    <x v="2"/>
    <x v="1064"/>
    <x v="0"/>
    <x v="1"/>
  </r>
  <r>
    <x v="1072"/>
    <x v="65"/>
    <x v="1"/>
    <x v="1"/>
    <x v="2"/>
    <x v="1"/>
    <x v="4"/>
    <x v="1065"/>
    <x v="0"/>
    <x v="3"/>
  </r>
  <r>
    <x v="1073"/>
    <x v="5"/>
    <x v="0"/>
    <x v="4"/>
    <x v="1"/>
    <x v="2"/>
    <x v="0"/>
    <x v="1066"/>
    <x v="1"/>
    <x v="4"/>
  </r>
  <r>
    <x v="1074"/>
    <x v="6"/>
    <x v="0"/>
    <x v="4"/>
    <x v="3"/>
    <x v="2"/>
    <x v="13"/>
    <x v="1067"/>
    <x v="0"/>
    <x v="2"/>
  </r>
  <r>
    <x v="1075"/>
    <x v="68"/>
    <x v="0"/>
    <x v="9"/>
    <x v="8"/>
    <x v="0"/>
    <x v="10"/>
    <x v="1068"/>
    <x v="0"/>
    <x v="0"/>
  </r>
  <r>
    <x v="1076"/>
    <x v="25"/>
    <x v="0"/>
    <x v="2"/>
    <x v="7"/>
    <x v="1"/>
    <x v="13"/>
    <x v="1069"/>
    <x v="0"/>
    <x v="4"/>
  </r>
  <r>
    <x v="1077"/>
    <x v="85"/>
    <x v="0"/>
    <x v="0"/>
    <x v="3"/>
    <x v="0"/>
    <x v="8"/>
    <x v="1070"/>
    <x v="0"/>
    <x v="3"/>
  </r>
  <r>
    <x v="1078"/>
    <x v="81"/>
    <x v="0"/>
    <x v="6"/>
    <x v="9"/>
    <x v="2"/>
    <x v="6"/>
    <x v="1071"/>
    <x v="1"/>
    <x v="1"/>
  </r>
  <r>
    <x v="1079"/>
    <x v="44"/>
    <x v="0"/>
    <x v="2"/>
    <x v="6"/>
    <x v="0"/>
    <x v="3"/>
    <x v="1072"/>
    <x v="1"/>
    <x v="0"/>
  </r>
  <r>
    <x v="1080"/>
    <x v="25"/>
    <x v="0"/>
    <x v="2"/>
    <x v="8"/>
    <x v="2"/>
    <x v="12"/>
    <x v="1073"/>
    <x v="0"/>
    <x v="4"/>
  </r>
  <r>
    <x v="1081"/>
    <x v="73"/>
    <x v="0"/>
    <x v="8"/>
    <x v="1"/>
    <x v="1"/>
    <x v="9"/>
    <x v="1074"/>
    <x v="0"/>
    <x v="0"/>
  </r>
  <r>
    <x v="1082"/>
    <x v="31"/>
    <x v="0"/>
    <x v="0"/>
    <x v="1"/>
    <x v="2"/>
    <x v="0"/>
    <x v="1075"/>
    <x v="0"/>
    <x v="0"/>
  </r>
  <r>
    <x v="1083"/>
    <x v="60"/>
    <x v="1"/>
    <x v="3"/>
    <x v="6"/>
    <x v="1"/>
    <x v="0"/>
    <x v="1076"/>
    <x v="1"/>
    <x v="4"/>
  </r>
  <r>
    <x v="1084"/>
    <x v="15"/>
    <x v="1"/>
    <x v="2"/>
    <x v="2"/>
    <x v="0"/>
    <x v="9"/>
    <x v="1077"/>
    <x v="0"/>
    <x v="2"/>
  </r>
  <r>
    <x v="1085"/>
    <x v="72"/>
    <x v="1"/>
    <x v="8"/>
    <x v="5"/>
    <x v="2"/>
    <x v="9"/>
    <x v="1078"/>
    <x v="1"/>
    <x v="0"/>
  </r>
  <r>
    <x v="1086"/>
    <x v="71"/>
    <x v="0"/>
    <x v="8"/>
    <x v="3"/>
    <x v="1"/>
    <x v="7"/>
    <x v="1079"/>
    <x v="1"/>
    <x v="1"/>
  </r>
  <r>
    <x v="1087"/>
    <x v="85"/>
    <x v="0"/>
    <x v="2"/>
    <x v="4"/>
    <x v="1"/>
    <x v="3"/>
    <x v="1080"/>
    <x v="1"/>
    <x v="2"/>
  </r>
  <r>
    <x v="1088"/>
    <x v="43"/>
    <x v="0"/>
    <x v="4"/>
    <x v="0"/>
    <x v="1"/>
    <x v="9"/>
    <x v="1081"/>
    <x v="0"/>
    <x v="1"/>
  </r>
  <r>
    <x v="1089"/>
    <x v="64"/>
    <x v="1"/>
    <x v="8"/>
    <x v="9"/>
    <x v="0"/>
    <x v="9"/>
    <x v="1082"/>
    <x v="0"/>
    <x v="3"/>
  </r>
  <r>
    <x v="1090"/>
    <x v="19"/>
    <x v="0"/>
    <x v="6"/>
    <x v="5"/>
    <x v="1"/>
    <x v="7"/>
    <x v="1083"/>
    <x v="0"/>
    <x v="3"/>
  </r>
  <r>
    <x v="1091"/>
    <x v="21"/>
    <x v="0"/>
    <x v="4"/>
    <x v="4"/>
    <x v="2"/>
    <x v="1"/>
    <x v="1084"/>
    <x v="0"/>
    <x v="4"/>
  </r>
  <r>
    <x v="1092"/>
    <x v="12"/>
    <x v="0"/>
    <x v="6"/>
    <x v="5"/>
    <x v="1"/>
    <x v="7"/>
    <x v="1085"/>
    <x v="0"/>
    <x v="4"/>
  </r>
  <r>
    <x v="1093"/>
    <x v="79"/>
    <x v="1"/>
    <x v="3"/>
    <x v="0"/>
    <x v="2"/>
    <x v="9"/>
    <x v="1086"/>
    <x v="0"/>
    <x v="0"/>
  </r>
  <r>
    <x v="1094"/>
    <x v="35"/>
    <x v="1"/>
    <x v="8"/>
    <x v="8"/>
    <x v="0"/>
    <x v="2"/>
    <x v="1087"/>
    <x v="1"/>
    <x v="4"/>
  </r>
  <r>
    <x v="1095"/>
    <x v="48"/>
    <x v="1"/>
    <x v="4"/>
    <x v="1"/>
    <x v="2"/>
    <x v="12"/>
    <x v="1088"/>
    <x v="0"/>
    <x v="2"/>
  </r>
  <r>
    <x v="1096"/>
    <x v="10"/>
    <x v="0"/>
    <x v="4"/>
    <x v="7"/>
    <x v="2"/>
    <x v="11"/>
    <x v="1089"/>
    <x v="1"/>
    <x v="0"/>
  </r>
  <r>
    <x v="1097"/>
    <x v="69"/>
    <x v="0"/>
    <x v="9"/>
    <x v="2"/>
    <x v="2"/>
    <x v="14"/>
    <x v="1090"/>
    <x v="0"/>
    <x v="3"/>
  </r>
  <r>
    <x v="1098"/>
    <x v="86"/>
    <x v="1"/>
    <x v="0"/>
    <x v="5"/>
    <x v="2"/>
    <x v="2"/>
    <x v="1091"/>
    <x v="1"/>
    <x v="3"/>
  </r>
  <r>
    <x v="1099"/>
    <x v="32"/>
    <x v="0"/>
    <x v="3"/>
    <x v="8"/>
    <x v="1"/>
    <x v="1"/>
    <x v="1092"/>
    <x v="1"/>
    <x v="4"/>
  </r>
  <r>
    <x v="1100"/>
    <x v="25"/>
    <x v="1"/>
    <x v="1"/>
    <x v="6"/>
    <x v="1"/>
    <x v="7"/>
    <x v="1093"/>
    <x v="1"/>
    <x v="4"/>
  </r>
  <r>
    <x v="1101"/>
    <x v="22"/>
    <x v="0"/>
    <x v="1"/>
    <x v="7"/>
    <x v="2"/>
    <x v="5"/>
    <x v="1094"/>
    <x v="0"/>
    <x v="4"/>
  </r>
  <r>
    <x v="1102"/>
    <x v="2"/>
    <x v="0"/>
    <x v="4"/>
    <x v="8"/>
    <x v="0"/>
    <x v="6"/>
    <x v="1095"/>
    <x v="0"/>
    <x v="4"/>
  </r>
  <r>
    <x v="1103"/>
    <x v="42"/>
    <x v="1"/>
    <x v="9"/>
    <x v="8"/>
    <x v="1"/>
    <x v="3"/>
    <x v="1096"/>
    <x v="0"/>
    <x v="2"/>
  </r>
  <r>
    <x v="1104"/>
    <x v="84"/>
    <x v="0"/>
    <x v="5"/>
    <x v="2"/>
    <x v="0"/>
    <x v="2"/>
    <x v="1097"/>
    <x v="1"/>
    <x v="2"/>
  </r>
  <r>
    <x v="1105"/>
    <x v="2"/>
    <x v="0"/>
    <x v="9"/>
    <x v="7"/>
    <x v="1"/>
    <x v="3"/>
    <x v="1098"/>
    <x v="0"/>
    <x v="4"/>
  </r>
  <r>
    <x v="1106"/>
    <x v="16"/>
    <x v="0"/>
    <x v="1"/>
    <x v="4"/>
    <x v="2"/>
    <x v="7"/>
    <x v="1099"/>
    <x v="1"/>
    <x v="4"/>
  </r>
  <r>
    <x v="1107"/>
    <x v="12"/>
    <x v="1"/>
    <x v="2"/>
    <x v="2"/>
    <x v="2"/>
    <x v="11"/>
    <x v="1100"/>
    <x v="0"/>
    <x v="2"/>
  </r>
  <r>
    <x v="1108"/>
    <x v="84"/>
    <x v="1"/>
    <x v="6"/>
    <x v="9"/>
    <x v="1"/>
    <x v="5"/>
    <x v="1101"/>
    <x v="0"/>
    <x v="0"/>
  </r>
  <r>
    <x v="1109"/>
    <x v="41"/>
    <x v="0"/>
    <x v="0"/>
    <x v="7"/>
    <x v="0"/>
    <x v="6"/>
    <x v="1102"/>
    <x v="0"/>
    <x v="2"/>
  </r>
  <r>
    <x v="1110"/>
    <x v="27"/>
    <x v="0"/>
    <x v="1"/>
    <x v="0"/>
    <x v="1"/>
    <x v="5"/>
    <x v="1103"/>
    <x v="1"/>
    <x v="1"/>
  </r>
  <r>
    <x v="1111"/>
    <x v="32"/>
    <x v="0"/>
    <x v="1"/>
    <x v="2"/>
    <x v="1"/>
    <x v="1"/>
    <x v="1104"/>
    <x v="0"/>
    <x v="4"/>
  </r>
  <r>
    <x v="1112"/>
    <x v="17"/>
    <x v="0"/>
    <x v="5"/>
    <x v="6"/>
    <x v="0"/>
    <x v="7"/>
    <x v="1105"/>
    <x v="1"/>
    <x v="2"/>
  </r>
  <r>
    <x v="1113"/>
    <x v="12"/>
    <x v="0"/>
    <x v="5"/>
    <x v="4"/>
    <x v="2"/>
    <x v="2"/>
    <x v="1106"/>
    <x v="0"/>
    <x v="2"/>
  </r>
  <r>
    <x v="1114"/>
    <x v="75"/>
    <x v="0"/>
    <x v="9"/>
    <x v="1"/>
    <x v="1"/>
    <x v="4"/>
    <x v="1107"/>
    <x v="1"/>
    <x v="4"/>
  </r>
  <r>
    <x v="1115"/>
    <x v="66"/>
    <x v="1"/>
    <x v="4"/>
    <x v="2"/>
    <x v="1"/>
    <x v="2"/>
    <x v="1108"/>
    <x v="1"/>
    <x v="3"/>
  </r>
  <r>
    <x v="1116"/>
    <x v="73"/>
    <x v="0"/>
    <x v="6"/>
    <x v="8"/>
    <x v="2"/>
    <x v="10"/>
    <x v="1109"/>
    <x v="1"/>
    <x v="2"/>
  </r>
  <r>
    <x v="1117"/>
    <x v="68"/>
    <x v="0"/>
    <x v="8"/>
    <x v="3"/>
    <x v="1"/>
    <x v="3"/>
    <x v="1110"/>
    <x v="1"/>
    <x v="1"/>
  </r>
  <r>
    <x v="1118"/>
    <x v="40"/>
    <x v="1"/>
    <x v="0"/>
    <x v="1"/>
    <x v="2"/>
    <x v="14"/>
    <x v="1111"/>
    <x v="1"/>
    <x v="3"/>
  </r>
  <r>
    <x v="1119"/>
    <x v="35"/>
    <x v="1"/>
    <x v="9"/>
    <x v="5"/>
    <x v="1"/>
    <x v="8"/>
    <x v="1112"/>
    <x v="0"/>
    <x v="3"/>
  </r>
  <r>
    <x v="1120"/>
    <x v="12"/>
    <x v="1"/>
    <x v="7"/>
    <x v="0"/>
    <x v="0"/>
    <x v="4"/>
    <x v="1113"/>
    <x v="1"/>
    <x v="4"/>
  </r>
  <r>
    <x v="1121"/>
    <x v="19"/>
    <x v="0"/>
    <x v="4"/>
    <x v="8"/>
    <x v="1"/>
    <x v="7"/>
    <x v="1114"/>
    <x v="1"/>
    <x v="4"/>
  </r>
  <r>
    <x v="1122"/>
    <x v="7"/>
    <x v="1"/>
    <x v="1"/>
    <x v="0"/>
    <x v="1"/>
    <x v="6"/>
    <x v="1115"/>
    <x v="1"/>
    <x v="3"/>
  </r>
  <r>
    <x v="1123"/>
    <x v="35"/>
    <x v="1"/>
    <x v="2"/>
    <x v="1"/>
    <x v="2"/>
    <x v="11"/>
    <x v="1116"/>
    <x v="0"/>
    <x v="3"/>
  </r>
  <r>
    <x v="1124"/>
    <x v="60"/>
    <x v="1"/>
    <x v="1"/>
    <x v="1"/>
    <x v="2"/>
    <x v="14"/>
    <x v="1117"/>
    <x v="1"/>
    <x v="2"/>
  </r>
  <r>
    <x v="1125"/>
    <x v="1"/>
    <x v="0"/>
    <x v="1"/>
    <x v="6"/>
    <x v="2"/>
    <x v="6"/>
    <x v="1118"/>
    <x v="0"/>
    <x v="0"/>
  </r>
  <r>
    <x v="1126"/>
    <x v="67"/>
    <x v="0"/>
    <x v="6"/>
    <x v="2"/>
    <x v="0"/>
    <x v="0"/>
    <x v="1119"/>
    <x v="0"/>
    <x v="2"/>
  </r>
  <r>
    <x v="1127"/>
    <x v="15"/>
    <x v="0"/>
    <x v="4"/>
    <x v="0"/>
    <x v="1"/>
    <x v="8"/>
    <x v="1120"/>
    <x v="1"/>
    <x v="4"/>
  </r>
  <r>
    <x v="1128"/>
    <x v="34"/>
    <x v="0"/>
    <x v="8"/>
    <x v="6"/>
    <x v="0"/>
    <x v="0"/>
    <x v="1121"/>
    <x v="0"/>
    <x v="3"/>
  </r>
  <r>
    <x v="1129"/>
    <x v="53"/>
    <x v="0"/>
    <x v="2"/>
    <x v="1"/>
    <x v="0"/>
    <x v="4"/>
    <x v="1122"/>
    <x v="0"/>
    <x v="4"/>
  </r>
  <r>
    <x v="1130"/>
    <x v="18"/>
    <x v="1"/>
    <x v="0"/>
    <x v="5"/>
    <x v="1"/>
    <x v="11"/>
    <x v="1123"/>
    <x v="1"/>
    <x v="4"/>
  </r>
  <r>
    <x v="1131"/>
    <x v="83"/>
    <x v="1"/>
    <x v="6"/>
    <x v="4"/>
    <x v="1"/>
    <x v="7"/>
    <x v="1124"/>
    <x v="1"/>
    <x v="2"/>
  </r>
  <r>
    <x v="1132"/>
    <x v="19"/>
    <x v="0"/>
    <x v="3"/>
    <x v="3"/>
    <x v="1"/>
    <x v="13"/>
    <x v="1125"/>
    <x v="0"/>
    <x v="0"/>
  </r>
  <r>
    <x v="1133"/>
    <x v="31"/>
    <x v="0"/>
    <x v="4"/>
    <x v="9"/>
    <x v="0"/>
    <x v="12"/>
    <x v="1126"/>
    <x v="1"/>
    <x v="0"/>
  </r>
  <r>
    <x v="1134"/>
    <x v="30"/>
    <x v="1"/>
    <x v="0"/>
    <x v="0"/>
    <x v="2"/>
    <x v="9"/>
    <x v="1127"/>
    <x v="0"/>
    <x v="3"/>
  </r>
  <r>
    <x v="1135"/>
    <x v="67"/>
    <x v="0"/>
    <x v="2"/>
    <x v="4"/>
    <x v="0"/>
    <x v="8"/>
    <x v="1128"/>
    <x v="1"/>
    <x v="3"/>
  </r>
  <r>
    <x v="1136"/>
    <x v="76"/>
    <x v="0"/>
    <x v="8"/>
    <x v="0"/>
    <x v="2"/>
    <x v="2"/>
    <x v="1129"/>
    <x v="0"/>
    <x v="0"/>
  </r>
  <r>
    <x v="1137"/>
    <x v="74"/>
    <x v="0"/>
    <x v="2"/>
    <x v="2"/>
    <x v="0"/>
    <x v="8"/>
    <x v="1130"/>
    <x v="1"/>
    <x v="4"/>
  </r>
  <r>
    <x v="1138"/>
    <x v="56"/>
    <x v="0"/>
    <x v="3"/>
    <x v="7"/>
    <x v="1"/>
    <x v="12"/>
    <x v="1131"/>
    <x v="1"/>
    <x v="0"/>
  </r>
  <r>
    <x v="1139"/>
    <x v="68"/>
    <x v="1"/>
    <x v="1"/>
    <x v="8"/>
    <x v="1"/>
    <x v="14"/>
    <x v="1132"/>
    <x v="1"/>
    <x v="3"/>
  </r>
  <r>
    <x v="1140"/>
    <x v="73"/>
    <x v="1"/>
    <x v="7"/>
    <x v="6"/>
    <x v="2"/>
    <x v="8"/>
    <x v="1133"/>
    <x v="0"/>
    <x v="3"/>
  </r>
  <r>
    <x v="1141"/>
    <x v="70"/>
    <x v="0"/>
    <x v="9"/>
    <x v="1"/>
    <x v="0"/>
    <x v="0"/>
    <x v="1134"/>
    <x v="1"/>
    <x v="0"/>
  </r>
  <r>
    <x v="1142"/>
    <x v="46"/>
    <x v="0"/>
    <x v="4"/>
    <x v="7"/>
    <x v="2"/>
    <x v="11"/>
    <x v="1135"/>
    <x v="1"/>
    <x v="0"/>
  </r>
  <r>
    <x v="1143"/>
    <x v="71"/>
    <x v="1"/>
    <x v="9"/>
    <x v="7"/>
    <x v="2"/>
    <x v="7"/>
    <x v="1136"/>
    <x v="1"/>
    <x v="1"/>
  </r>
  <r>
    <x v="1144"/>
    <x v="31"/>
    <x v="0"/>
    <x v="6"/>
    <x v="3"/>
    <x v="1"/>
    <x v="9"/>
    <x v="1137"/>
    <x v="1"/>
    <x v="4"/>
  </r>
  <r>
    <x v="1145"/>
    <x v="16"/>
    <x v="1"/>
    <x v="0"/>
    <x v="6"/>
    <x v="0"/>
    <x v="11"/>
    <x v="1138"/>
    <x v="1"/>
    <x v="1"/>
  </r>
  <r>
    <x v="1146"/>
    <x v="40"/>
    <x v="0"/>
    <x v="3"/>
    <x v="8"/>
    <x v="0"/>
    <x v="10"/>
    <x v="1139"/>
    <x v="1"/>
    <x v="4"/>
  </r>
  <r>
    <x v="1147"/>
    <x v="44"/>
    <x v="0"/>
    <x v="4"/>
    <x v="7"/>
    <x v="2"/>
    <x v="5"/>
    <x v="1140"/>
    <x v="0"/>
    <x v="2"/>
  </r>
  <r>
    <x v="1148"/>
    <x v="50"/>
    <x v="0"/>
    <x v="2"/>
    <x v="5"/>
    <x v="1"/>
    <x v="7"/>
    <x v="1141"/>
    <x v="1"/>
    <x v="0"/>
  </r>
  <r>
    <x v="1149"/>
    <x v="16"/>
    <x v="0"/>
    <x v="9"/>
    <x v="7"/>
    <x v="0"/>
    <x v="6"/>
    <x v="1142"/>
    <x v="0"/>
    <x v="2"/>
  </r>
  <r>
    <x v="1150"/>
    <x v="46"/>
    <x v="1"/>
    <x v="8"/>
    <x v="1"/>
    <x v="2"/>
    <x v="5"/>
    <x v="1143"/>
    <x v="0"/>
    <x v="0"/>
  </r>
  <r>
    <x v="1151"/>
    <x v="8"/>
    <x v="1"/>
    <x v="0"/>
    <x v="4"/>
    <x v="1"/>
    <x v="13"/>
    <x v="1144"/>
    <x v="1"/>
    <x v="2"/>
  </r>
  <r>
    <x v="1152"/>
    <x v="33"/>
    <x v="0"/>
    <x v="3"/>
    <x v="6"/>
    <x v="0"/>
    <x v="11"/>
    <x v="1145"/>
    <x v="0"/>
    <x v="0"/>
  </r>
  <r>
    <x v="1153"/>
    <x v="39"/>
    <x v="0"/>
    <x v="7"/>
    <x v="6"/>
    <x v="1"/>
    <x v="12"/>
    <x v="1146"/>
    <x v="1"/>
    <x v="4"/>
  </r>
  <r>
    <x v="1154"/>
    <x v="31"/>
    <x v="1"/>
    <x v="0"/>
    <x v="9"/>
    <x v="1"/>
    <x v="14"/>
    <x v="1147"/>
    <x v="0"/>
    <x v="4"/>
  </r>
  <r>
    <x v="1155"/>
    <x v="64"/>
    <x v="1"/>
    <x v="1"/>
    <x v="8"/>
    <x v="0"/>
    <x v="6"/>
    <x v="1148"/>
    <x v="0"/>
    <x v="3"/>
  </r>
  <r>
    <x v="1156"/>
    <x v="56"/>
    <x v="1"/>
    <x v="6"/>
    <x v="4"/>
    <x v="2"/>
    <x v="4"/>
    <x v="1149"/>
    <x v="0"/>
    <x v="2"/>
  </r>
  <r>
    <x v="1157"/>
    <x v="10"/>
    <x v="0"/>
    <x v="7"/>
    <x v="0"/>
    <x v="2"/>
    <x v="1"/>
    <x v="1150"/>
    <x v="1"/>
    <x v="2"/>
  </r>
  <r>
    <x v="1158"/>
    <x v="1"/>
    <x v="0"/>
    <x v="1"/>
    <x v="0"/>
    <x v="1"/>
    <x v="0"/>
    <x v="1151"/>
    <x v="0"/>
    <x v="1"/>
  </r>
  <r>
    <x v="1159"/>
    <x v="51"/>
    <x v="0"/>
    <x v="8"/>
    <x v="2"/>
    <x v="2"/>
    <x v="10"/>
    <x v="1152"/>
    <x v="1"/>
    <x v="2"/>
  </r>
  <r>
    <x v="1160"/>
    <x v="77"/>
    <x v="0"/>
    <x v="7"/>
    <x v="8"/>
    <x v="0"/>
    <x v="9"/>
    <x v="1153"/>
    <x v="0"/>
    <x v="4"/>
  </r>
  <r>
    <x v="1161"/>
    <x v="5"/>
    <x v="1"/>
    <x v="2"/>
    <x v="2"/>
    <x v="2"/>
    <x v="5"/>
    <x v="1154"/>
    <x v="0"/>
    <x v="1"/>
  </r>
  <r>
    <x v="1162"/>
    <x v="44"/>
    <x v="1"/>
    <x v="8"/>
    <x v="1"/>
    <x v="0"/>
    <x v="3"/>
    <x v="1155"/>
    <x v="1"/>
    <x v="3"/>
  </r>
  <r>
    <x v="1163"/>
    <x v="13"/>
    <x v="1"/>
    <x v="2"/>
    <x v="9"/>
    <x v="0"/>
    <x v="13"/>
    <x v="1156"/>
    <x v="0"/>
    <x v="4"/>
  </r>
  <r>
    <x v="1164"/>
    <x v="64"/>
    <x v="1"/>
    <x v="8"/>
    <x v="9"/>
    <x v="0"/>
    <x v="2"/>
    <x v="1157"/>
    <x v="0"/>
    <x v="2"/>
  </r>
  <r>
    <x v="1165"/>
    <x v="17"/>
    <x v="0"/>
    <x v="7"/>
    <x v="3"/>
    <x v="0"/>
    <x v="9"/>
    <x v="1158"/>
    <x v="0"/>
    <x v="2"/>
  </r>
  <r>
    <x v="1166"/>
    <x v="74"/>
    <x v="0"/>
    <x v="0"/>
    <x v="5"/>
    <x v="1"/>
    <x v="5"/>
    <x v="1159"/>
    <x v="0"/>
    <x v="0"/>
  </r>
  <r>
    <x v="1167"/>
    <x v="75"/>
    <x v="1"/>
    <x v="6"/>
    <x v="4"/>
    <x v="0"/>
    <x v="9"/>
    <x v="1160"/>
    <x v="0"/>
    <x v="4"/>
  </r>
  <r>
    <x v="1168"/>
    <x v="47"/>
    <x v="0"/>
    <x v="2"/>
    <x v="0"/>
    <x v="0"/>
    <x v="9"/>
    <x v="1161"/>
    <x v="0"/>
    <x v="2"/>
  </r>
  <r>
    <x v="1169"/>
    <x v="59"/>
    <x v="0"/>
    <x v="4"/>
    <x v="3"/>
    <x v="2"/>
    <x v="5"/>
    <x v="1162"/>
    <x v="1"/>
    <x v="3"/>
  </r>
  <r>
    <x v="1170"/>
    <x v="88"/>
    <x v="1"/>
    <x v="5"/>
    <x v="0"/>
    <x v="1"/>
    <x v="14"/>
    <x v="1163"/>
    <x v="0"/>
    <x v="1"/>
  </r>
  <r>
    <x v="1171"/>
    <x v="65"/>
    <x v="1"/>
    <x v="9"/>
    <x v="3"/>
    <x v="1"/>
    <x v="10"/>
    <x v="1164"/>
    <x v="0"/>
    <x v="3"/>
  </r>
  <r>
    <x v="1172"/>
    <x v="37"/>
    <x v="0"/>
    <x v="7"/>
    <x v="7"/>
    <x v="2"/>
    <x v="5"/>
    <x v="1165"/>
    <x v="1"/>
    <x v="2"/>
  </r>
  <r>
    <x v="1173"/>
    <x v="70"/>
    <x v="0"/>
    <x v="7"/>
    <x v="8"/>
    <x v="2"/>
    <x v="13"/>
    <x v="1166"/>
    <x v="0"/>
    <x v="1"/>
  </r>
  <r>
    <x v="1174"/>
    <x v="56"/>
    <x v="1"/>
    <x v="2"/>
    <x v="8"/>
    <x v="0"/>
    <x v="4"/>
    <x v="1167"/>
    <x v="1"/>
    <x v="3"/>
  </r>
  <r>
    <x v="1175"/>
    <x v="47"/>
    <x v="0"/>
    <x v="9"/>
    <x v="2"/>
    <x v="0"/>
    <x v="3"/>
    <x v="1168"/>
    <x v="1"/>
    <x v="3"/>
  </r>
  <r>
    <x v="1176"/>
    <x v="65"/>
    <x v="1"/>
    <x v="1"/>
    <x v="4"/>
    <x v="2"/>
    <x v="7"/>
    <x v="1169"/>
    <x v="0"/>
    <x v="1"/>
  </r>
  <r>
    <x v="1177"/>
    <x v="74"/>
    <x v="1"/>
    <x v="8"/>
    <x v="2"/>
    <x v="1"/>
    <x v="11"/>
    <x v="1170"/>
    <x v="1"/>
    <x v="0"/>
  </r>
  <r>
    <x v="1178"/>
    <x v="34"/>
    <x v="0"/>
    <x v="0"/>
    <x v="0"/>
    <x v="2"/>
    <x v="3"/>
    <x v="1171"/>
    <x v="0"/>
    <x v="1"/>
  </r>
  <r>
    <x v="1179"/>
    <x v="2"/>
    <x v="0"/>
    <x v="5"/>
    <x v="8"/>
    <x v="0"/>
    <x v="2"/>
    <x v="1172"/>
    <x v="0"/>
    <x v="3"/>
  </r>
  <r>
    <x v="1180"/>
    <x v="69"/>
    <x v="1"/>
    <x v="6"/>
    <x v="5"/>
    <x v="2"/>
    <x v="6"/>
    <x v="1173"/>
    <x v="0"/>
    <x v="3"/>
  </r>
  <r>
    <x v="1181"/>
    <x v="30"/>
    <x v="1"/>
    <x v="0"/>
    <x v="8"/>
    <x v="0"/>
    <x v="13"/>
    <x v="1174"/>
    <x v="1"/>
    <x v="1"/>
  </r>
  <r>
    <x v="1182"/>
    <x v="43"/>
    <x v="0"/>
    <x v="4"/>
    <x v="7"/>
    <x v="0"/>
    <x v="11"/>
    <x v="1175"/>
    <x v="1"/>
    <x v="4"/>
  </r>
  <r>
    <x v="1183"/>
    <x v="55"/>
    <x v="1"/>
    <x v="9"/>
    <x v="5"/>
    <x v="0"/>
    <x v="11"/>
    <x v="1176"/>
    <x v="1"/>
    <x v="1"/>
  </r>
  <r>
    <x v="1184"/>
    <x v="84"/>
    <x v="0"/>
    <x v="4"/>
    <x v="6"/>
    <x v="2"/>
    <x v="8"/>
    <x v="1177"/>
    <x v="0"/>
    <x v="0"/>
  </r>
  <r>
    <x v="1185"/>
    <x v="33"/>
    <x v="0"/>
    <x v="0"/>
    <x v="5"/>
    <x v="0"/>
    <x v="1"/>
    <x v="1178"/>
    <x v="1"/>
    <x v="1"/>
  </r>
  <r>
    <x v="1186"/>
    <x v="58"/>
    <x v="1"/>
    <x v="0"/>
    <x v="0"/>
    <x v="2"/>
    <x v="13"/>
    <x v="1179"/>
    <x v="0"/>
    <x v="0"/>
  </r>
  <r>
    <x v="1187"/>
    <x v="47"/>
    <x v="1"/>
    <x v="0"/>
    <x v="8"/>
    <x v="2"/>
    <x v="2"/>
    <x v="1180"/>
    <x v="0"/>
    <x v="3"/>
  </r>
  <r>
    <x v="1188"/>
    <x v="73"/>
    <x v="0"/>
    <x v="3"/>
    <x v="0"/>
    <x v="1"/>
    <x v="12"/>
    <x v="1181"/>
    <x v="0"/>
    <x v="0"/>
  </r>
  <r>
    <x v="1189"/>
    <x v="51"/>
    <x v="0"/>
    <x v="0"/>
    <x v="5"/>
    <x v="0"/>
    <x v="2"/>
    <x v="1182"/>
    <x v="0"/>
    <x v="1"/>
  </r>
  <r>
    <x v="1190"/>
    <x v="86"/>
    <x v="0"/>
    <x v="9"/>
    <x v="6"/>
    <x v="1"/>
    <x v="12"/>
    <x v="1183"/>
    <x v="1"/>
    <x v="0"/>
  </r>
  <r>
    <x v="1191"/>
    <x v="89"/>
    <x v="0"/>
    <x v="7"/>
    <x v="4"/>
    <x v="0"/>
    <x v="14"/>
    <x v="1184"/>
    <x v="0"/>
    <x v="2"/>
  </r>
  <r>
    <x v="1192"/>
    <x v="60"/>
    <x v="0"/>
    <x v="0"/>
    <x v="8"/>
    <x v="2"/>
    <x v="12"/>
    <x v="1185"/>
    <x v="0"/>
    <x v="4"/>
  </r>
  <r>
    <x v="1193"/>
    <x v="57"/>
    <x v="1"/>
    <x v="9"/>
    <x v="9"/>
    <x v="1"/>
    <x v="10"/>
    <x v="1186"/>
    <x v="1"/>
    <x v="4"/>
  </r>
  <r>
    <x v="1194"/>
    <x v="73"/>
    <x v="1"/>
    <x v="5"/>
    <x v="8"/>
    <x v="1"/>
    <x v="7"/>
    <x v="1187"/>
    <x v="0"/>
    <x v="2"/>
  </r>
  <r>
    <x v="1195"/>
    <x v="33"/>
    <x v="1"/>
    <x v="4"/>
    <x v="2"/>
    <x v="0"/>
    <x v="11"/>
    <x v="1188"/>
    <x v="0"/>
    <x v="4"/>
  </r>
  <r>
    <x v="1196"/>
    <x v="31"/>
    <x v="0"/>
    <x v="1"/>
    <x v="1"/>
    <x v="2"/>
    <x v="9"/>
    <x v="1189"/>
    <x v="0"/>
    <x v="3"/>
  </r>
  <r>
    <x v="1197"/>
    <x v="58"/>
    <x v="1"/>
    <x v="6"/>
    <x v="8"/>
    <x v="0"/>
    <x v="5"/>
    <x v="1190"/>
    <x v="0"/>
    <x v="4"/>
  </r>
  <r>
    <x v="1198"/>
    <x v="11"/>
    <x v="0"/>
    <x v="3"/>
    <x v="5"/>
    <x v="1"/>
    <x v="1"/>
    <x v="1191"/>
    <x v="0"/>
    <x v="4"/>
  </r>
  <r>
    <x v="1199"/>
    <x v="26"/>
    <x v="1"/>
    <x v="3"/>
    <x v="0"/>
    <x v="0"/>
    <x v="14"/>
    <x v="1192"/>
    <x v="1"/>
    <x v="3"/>
  </r>
  <r>
    <x v="1200"/>
    <x v="46"/>
    <x v="1"/>
    <x v="2"/>
    <x v="2"/>
    <x v="1"/>
    <x v="5"/>
    <x v="1193"/>
    <x v="1"/>
    <x v="0"/>
  </r>
  <r>
    <x v="1201"/>
    <x v="59"/>
    <x v="0"/>
    <x v="4"/>
    <x v="8"/>
    <x v="1"/>
    <x v="3"/>
    <x v="1194"/>
    <x v="0"/>
    <x v="3"/>
  </r>
  <r>
    <x v="1202"/>
    <x v="62"/>
    <x v="1"/>
    <x v="5"/>
    <x v="2"/>
    <x v="1"/>
    <x v="4"/>
    <x v="1195"/>
    <x v="1"/>
    <x v="1"/>
  </r>
  <r>
    <x v="1203"/>
    <x v="21"/>
    <x v="1"/>
    <x v="1"/>
    <x v="3"/>
    <x v="2"/>
    <x v="4"/>
    <x v="1196"/>
    <x v="0"/>
    <x v="1"/>
  </r>
  <r>
    <x v="1204"/>
    <x v="80"/>
    <x v="0"/>
    <x v="2"/>
    <x v="8"/>
    <x v="0"/>
    <x v="4"/>
    <x v="1197"/>
    <x v="0"/>
    <x v="2"/>
  </r>
  <r>
    <x v="1205"/>
    <x v="81"/>
    <x v="1"/>
    <x v="2"/>
    <x v="2"/>
    <x v="1"/>
    <x v="9"/>
    <x v="1198"/>
    <x v="1"/>
    <x v="3"/>
  </r>
  <r>
    <x v="1206"/>
    <x v="74"/>
    <x v="1"/>
    <x v="6"/>
    <x v="8"/>
    <x v="1"/>
    <x v="6"/>
    <x v="1199"/>
    <x v="0"/>
    <x v="1"/>
  </r>
  <r>
    <x v="1207"/>
    <x v="3"/>
    <x v="0"/>
    <x v="1"/>
    <x v="5"/>
    <x v="0"/>
    <x v="1"/>
    <x v="1200"/>
    <x v="1"/>
    <x v="3"/>
  </r>
  <r>
    <x v="1208"/>
    <x v="63"/>
    <x v="0"/>
    <x v="4"/>
    <x v="8"/>
    <x v="2"/>
    <x v="2"/>
    <x v="1201"/>
    <x v="0"/>
    <x v="2"/>
  </r>
  <r>
    <x v="1209"/>
    <x v="51"/>
    <x v="1"/>
    <x v="7"/>
    <x v="6"/>
    <x v="2"/>
    <x v="14"/>
    <x v="1202"/>
    <x v="1"/>
    <x v="4"/>
  </r>
  <r>
    <x v="1210"/>
    <x v="88"/>
    <x v="0"/>
    <x v="4"/>
    <x v="4"/>
    <x v="2"/>
    <x v="1"/>
    <x v="1203"/>
    <x v="1"/>
    <x v="2"/>
  </r>
  <r>
    <x v="1211"/>
    <x v="70"/>
    <x v="0"/>
    <x v="6"/>
    <x v="8"/>
    <x v="0"/>
    <x v="10"/>
    <x v="1204"/>
    <x v="1"/>
    <x v="0"/>
  </r>
  <r>
    <x v="1212"/>
    <x v="33"/>
    <x v="0"/>
    <x v="0"/>
    <x v="4"/>
    <x v="2"/>
    <x v="11"/>
    <x v="1205"/>
    <x v="0"/>
    <x v="1"/>
  </r>
  <r>
    <x v="1213"/>
    <x v="69"/>
    <x v="0"/>
    <x v="1"/>
    <x v="7"/>
    <x v="1"/>
    <x v="14"/>
    <x v="1206"/>
    <x v="1"/>
    <x v="3"/>
  </r>
  <r>
    <x v="1214"/>
    <x v="39"/>
    <x v="1"/>
    <x v="9"/>
    <x v="8"/>
    <x v="2"/>
    <x v="5"/>
    <x v="1207"/>
    <x v="1"/>
    <x v="3"/>
  </r>
  <r>
    <x v="1215"/>
    <x v="61"/>
    <x v="1"/>
    <x v="2"/>
    <x v="3"/>
    <x v="1"/>
    <x v="13"/>
    <x v="1208"/>
    <x v="1"/>
    <x v="1"/>
  </r>
  <r>
    <x v="1216"/>
    <x v="60"/>
    <x v="0"/>
    <x v="0"/>
    <x v="3"/>
    <x v="0"/>
    <x v="3"/>
    <x v="1209"/>
    <x v="0"/>
    <x v="2"/>
  </r>
  <r>
    <x v="1217"/>
    <x v="84"/>
    <x v="1"/>
    <x v="7"/>
    <x v="8"/>
    <x v="0"/>
    <x v="7"/>
    <x v="1210"/>
    <x v="0"/>
    <x v="2"/>
  </r>
  <r>
    <x v="1218"/>
    <x v="23"/>
    <x v="1"/>
    <x v="4"/>
    <x v="5"/>
    <x v="2"/>
    <x v="7"/>
    <x v="1211"/>
    <x v="0"/>
    <x v="4"/>
  </r>
  <r>
    <x v="1219"/>
    <x v="40"/>
    <x v="1"/>
    <x v="1"/>
    <x v="8"/>
    <x v="0"/>
    <x v="9"/>
    <x v="1212"/>
    <x v="0"/>
    <x v="2"/>
  </r>
  <r>
    <x v="1220"/>
    <x v="52"/>
    <x v="0"/>
    <x v="2"/>
    <x v="9"/>
    <x v="2"/>
    <x v="11"/>
    <x v="1213"/>
    <x v="1"/>
    <x v="0"/>
  </r>
  <r>
    <x v="1221"/>
    <x v="66"/>
    <x v="1"/>
    <x v="5"/>
    <x v="6"/>
    <x v="0"/>
    <x v="0"/>
    <x v="1214"/>
    <x v="1"/>
    <x v="3"/>
  </r>
  <r>
    <x v="1222"/>
    <x v="77"/>
    <x v="1"/>
    <x v="1"/>
    <x v="7"/>
    <x v="0"/>
    <x v="13"/>
    <x v="1215"/>
    <x v="1"/>
    <x v="3"/>
  </r>
  <r>
    <x v="1223"/>
    <x v="0"/>
    <x v="1"/>
    <x v="6"/>
    <x v="9"/>
    <x v="0"/>
    <x v="5"/>
    <x v="1216"/>
    <x v="0"/>
    <x v="0"/>
  </r>
  <r>
    <x v="1224"/>
    <x v="58"/>
    <x v="1"/>
    <x v="5"/>
    <x v="2"/>
    <x v="2"/>
    <x v="13"/>
    <x v="1217"/>
    <x v="1"/>
    <x v="4"/>
  </r>
  <r>
    <x v="1225"/>
    <x v="55"/>
    <x v="0"/>
    <x v="0"/>
    <x v="2"/>
    <x v="2"/>
    <x v="3"/>
    <x v="1218"/>
    <x v="1"/>
    <x v="4"/>
  </r>
  <r>
    <x v="1226"/>
    <x v="29"/>
    <x v="1"/>
    <x v="2"/>
    <x v="9"/>
    <x v="2"/>
    <x v="0"/>
    <x v="1219"/>
    <x v="1"/>
    <x v="1"/>
  </r>
  <r>
    <x v="1227"/>
    <x v="41"/>
    <x v="1"/>
    <x v="4"/>
    <x v="4"/>
    <x v="2"/>
    <x v="0"/>
    <x v="1220"/>
    <x v="1"/>
    <x v="4"/>
  </r>
  <r>
    <x v="1228"/>
    <x v="35"/>
    <x v="1"/>
    <x v="1"/>
    <x v="6"/>
    <x v="1"/>
    <x v="10"/>
    <x v="1221"/>
    <x v="1"/>
    <x v="2"/>
  </r>
  <r>
    <x v="1229"/>
    <x v="40"/>
    <x v="0"/>
    <x v="4"/>
    <x v="5"/>
    <x v="0"/>
    <x v="2"/>
    <x v="1222"/>
    <x v="1"/>
    <x v="4"/>
  </r>
  <r>
    <x v="1230"/>
    <x v="19"/>
    <x v="0"/>
    <x v="4"/>
    <x v="4"/>
    <x v="0"/>
    <x v="6"/>
    <x v="1223"/>
    <x v="0"/>
    <x v="2"/>
  </r>
  <r>
    <x v="1231"/>
    <x v="73"/>
    <x v="1"/>
    <x v="7"/>
    <x v="7"/>
    <x v="1"/>
    <x v="3"/>
    <x v="1224"/>
    <x v="1"/>
    <x v="1"/>
  </r>
  <r>
    <x v="1232"/>
    <x v="61"/>
    <x v="0"/>
    <x v="7"/>
    <x v="9"/>
    <x v="1"/>
    <x v="14"/>
    <x v="1225"/>
    <x v="0"/>
    <x v="4"/>
  </r>
  <r>
    <x v="1233"/>
    <x v="54"/>
    <x v="0"/>
    <x v="2"/>
    <x v="3"/>
    <x v="1"/>
    <x v="7"/>
    <x v="1226"/>
    <x v="1"/>
    <x v="3"/>
  </r>
  <r>
    <x v="1234"/>
    <x v="21"/>
    <x v="0"/>
    <x v="5"/>
    <x v="4"/>
    <x v="1"/>
    <x v="13"/>
    <x v="1227"/>
    <x v="0"/>
    <x v="2"/>
  </r>
  <r>
    <x v="1235"/>
    <x v="43"/>
    <x v="1"/>
    <x v="6"/>
    <x v="8"/>
    <x v="2"/>
    <x v="0"/>
    <x v="1228"/>
    <x v="0"/>
    <x v="2"/>
  </r>
  <r>
    <x v="1236"/>
    <x v="43"/>
    <x v="0"/>
    <x v="9"/>
    <x v="6"/>
    <x v="2"/>
    <x v="10"/>
    <x v="1229"/>
    <x v="1"/>
    <x v="0"/>
  </r>
  <r>
    <x v="1237"/>
    <x v="20"/>
    <x v="1"/>
    <x v="8"/>
    <x v="3"/>
    <x v="2"/>
    <x v="13"/>
    <x v="1230"/>
    <x v="0"/>
    <x v="4"/>
  </r>
  <r>
    <x v="1238"/>
    <x v="4"/>
    <x v="0"/>
    <x v="0"/>
    <x v="1"/>
    <x v="1"/>
    <x v="9"/>
    <x v="1231"/>
    <x v="1"/>
    <x v="0"/>
  </r>
  <r>
    <x v="1239"/>
    <x v="78"/>
    <x v="0"/>
    <x v="5"/>
    <x v="7"/>
    <x v="1"/>
    <x v="4"/>
    <x v="1232"/>
    <x v="0"/>
    <x v="4"/>
  </r>
  <r>
    <x v="1240"/>
    <x v="40"/>
    <x v="1"/>
    <x v="6"/>
    <x v="8"/>
    <x v="2"/>
    <x v="8"/>
    <x v="1233"/>
    <x v="0"/>
    <x v="1"/>
  </r>
  <r>
    <x v="1241"/>
    <x v="2"/>
    <x v="0"/>
    <x v="1"/>
    <x v="2"/>
    <x v="1"/>
    <x v="14"/>
    <x v="1234"/>
    <x v="0"/>
    <x v="0"/>
  </r>
  <r>
    <x v="1242"/>
    <x v="45"/>
    <x v="1"/>
    <x v="4"/>
    <x v="8"/>
    <x v="0"/>
    <x v="7"/>
    <x v="1235"/>
    <x v="1"/>
    <x v="1"/>
  </r>
  <r>
    <x v="1243"/>
    <x v="85"/>
    <x v="0"/>
    <x v="4"/>
    <x v="3"/>
    <x v="1"/>
    <x v="14"/>
    <x v="1236"/>
    <x v="0"/>
    <x v="2"/>
  </r>
  <r>
    <x v="1244"/>
    <x v="25"/>
    <x v="0"/>
    <x v="5"/>
    <x v="0"/>
    <x v="0"/>
    <x v="10"/>
    <x v="1237"/>
    <x v="1"/>
    <x v="0"/>
  </r>
  <r>
    <x v="1245"/>
    <x v="60"/>
    <x v="1"/>
    <x v="3"/>
    <x v="0"/>
    <x v="1"/>
    <x v="7"/>
    <x v="1238"/>
    <x v="0"/>
    <x v="3"/>
  </r>
  <r>
    <x v="1246"/>
    <x v="28"/>
    <x v="1"/>
    <x v="9"/>
    <x v="2"/>
    <x v="2"/>
    <x v="8"/>
    <x v="1239"/>
    <x v="1"/>
    <x v="1"/>
  </r>
  <r>
    <x v="1247"/>
    <x v="7"/>
    <x v="0"/>
    <x v="9"/>
    <x v="8"/>
    <x v="2"/>
    <x v="9"/>
    <x v="1240"/>
    <x v="1"/>
    <x v="0"/>
  </r>
  <r>
    <x v="1248"/>
    <x v="56"/>
    <x v="0"/>
    <x v="6"/>
    <x v="8"/>
    <x v="2"/>
    <x v="6"/>
    <x v="1241"/>
    <x v="1"/>
    <x v="3"/>
  </r>
  <r>
    <x v="1249"/>
    <x v="20"/>
    <x v="1"/>
    <x v="8"/>
    <x v="6"/>
    <x v="0"/>
    <x v="3"/>
    <x v="1242"/>
    <x v="0"/>
    <x v="3"/>
  </r>
  <r>
    <x v="1250"/>
    <x v="42"/>
    <x v="1"/>
    <x v="7"/>
    <x v="1"/>
    <x v="1"/>
    <x v="6"/>
    <x v="1243"/>
    <x v="0"/>
    <x v="2"/>
  </r>
  <r>
    <x v="1251"/>
    <x v="20"/>
    <x v="1"/>
    <x v="7"/>
    <x v="7"/>
    <x v="0"/>
    <x v="14"/>
    <x v="1244"/>
    <x v="1"/>
    <x v="4"/>
  </r>
  <r>
    <x v="1252"/>
    <x v="48"/>
    <x v="0"/>
    <x v="7"/>
    <x v="1"/>
    <x v="0"/>
    <x v="2"/>
    <x v="1245"/>
    <x v="1"/>
    <x v="2"/>
  </r>
  <r>
    <x v="1253"/>
    <x v="42"/>
    <x v="0"/>
    <x v="0"/>
    <x v="6"/>
    <x v="1"/>
    <x v="1"/>
    <x v="1246"/>
    <x v="1"/>
    <x v="0"/>
  </r>
  <r>
    <x v="1254"/>
    <x v="29"/>
    <x v="1"/>
    <x v="9"/>
    <x v="0"/>
    <x v="2"/>
    <x v="7"/>
    <x v="1247"/>
    <x v="0"/>
    <x v="3"/>
  </r>
  <r>
    <x v="1255"/>
    <x v="77"/>
    <x v="1"/>
    <x v="0"/>
    <x v="0"/>
    <x v="0"/>
    <x v="6"/>
    <x v="1248"/>
    <x v="1"/>
    <x v="0"/>
  </r>
  <r>
    <x v="1256"/>
    <x v="76"/>
    <x v="1"/>
    <x v="5"/>
    <x v="7"/>
    <x v="1"/>
    <x v="12"/>
    <x v="1249"/>
    <x v="1"/>
    <x v="1"/>
  </r>
  <r>
    <x v="1257"/>
    <x v="10"/>
    <x v="1"/>
    <x v="2"/>
    <x v="9"/>
    <x v="2"/>
    <x v="4"/>
    <x v="1250"/>
    <x v="0"/>
    <x v="1"/>
  </r>
  <r>
    <x v="1258"/>
    <x v="46"/>
    <x v="0"/>
    <x v="4"/>
    <x v="7"/>
    <x v="1"/>
    <x v="9"/>
    <x v="1251"/>
    <x v="0"/>
    <x v="3"/>
  </r>
  <r>
    <x v="1259"/>
    <x v="76"/>
    <x v="1"/>
    <x v="2"/>
    <x v="2"/>
    <x v="0"/>
    <x v="7"/>
    <x v="1252"/>
    <x v="0"/>
    <x v="0"/>
  </r>
  <r>
    <x v="1260"/>
    <x v="62"/>
    <x v="1"/>
    <x v="8"/>
    <x v="7"/>
    <x v="2"/>
    <x v="14"/>
    <x v="1253"/>
    <x v="1"/>
    <x v="2"/>
  </r>
  <r>
    <x v="1261"/>
    <x v="56"/>
    <x v="1"/>
    <x v="3"/>
    <x v="3"/>
    <x v="0"/>
    <x v="7"/>
    <x v="1254"/>
    <x v="1"/>
    <x v="1"/>
  </r>
  <r>
    <x v="1262"/>
    <x v="28"/>
    <x v="0"/>
    <x v="5"/>
    <x v="8"/>
    <x v="2"/>
    <x v="7"/>
    <x v="1255"/>
    <x v="0"/>
    <x v="3"/>
  </r>
  <r>
    <x v="1263"/>
    <x v="22"/>
    <x v="0"/>
    <x v="2"/>
    <x v="0"/>
    <x v="1"/>
    <x v="2"/>
    <x v="1256"/>
    <x v="0"/>
    <x v="3"/>
  </r>
  <r>
    <x v="1264"/>
    <x v="4"/>
    <x v="0"/>
    <x v="8"/>
    <x v="2"/>
    <x v="2"/>
    <x v="0"/>
    <x v="1257"/>
    <x v="0"/>
    <x v="1"/>
  </r>
  <r>
    <x v="1265"/>
    <x v="41"/>
    <x v="0"/>
    <x v="1"/>
    <x v="8"/>
    <x v="1"/>
    <x v="12"/>
    <x v="1258"/>
    <x v="0"/>
    <x v="2"/>
  </r>
  <r>
    <x v="1266"/>
    <x v="76"/>
    <x v="0"/>
    <x v="8"/>
    <x v="9"/>
    <x v="1"/>
    <x v="10"/>
    <x v="1259"/>
    <x v="0"/>
    <x v="1"/>
  </r>
  <r>
    <x v="1267"/>
    <x v="23"/>
    <x v="1"/>
    <x v="3"/>
    <x v="4"/>
    <x v="1"/>
    <x v="13"/>
    <x v="1260"/>
    <x v="0"/>
    <x v="0"/>
  </r>
  <r>
    <x v="1268"/>
    <x v="43"/>
    <x v="1"/>
    <x v="6"/>
    <x v="4"/>
    <x v="0"/>
    <x v="12"/>
    <x v="1261"/>
    <x v="1"/>
    <x v="4"/>
  </r>
  <r>
    <x v="1269"/>
    <x v="16"/>
    <x v="0"/>
    <x v="6"/>
    <x v="5"/>
    <x v="2"/>
    <x v="6"/>
    <x v="1262"/>
    <x v="1"/>
    <x v="4"/>
  </r>
  <r>
    <x v="1270"/>
    <x v="69"/>
    <x v="0"/>
    <x v="0"/>
    <x v="8"/>
    <x v="0"/>
    <x v="5"/>
    <x v="1263"/>
    <x v="1"/>
    <x v="2"/>
  </r>
  <r>
    <x v="1271"/>
    <x v="27"/>
    <x v="0"/>
    <x v="9"/>
    <x v="0"/>
    <x v="1"/>
    <x v="0"/>
    <x v="1264"/>
    <x v="0"/>
    <x v="0"/>
  </r>
  <r>
    <x v="1272"/>
    <x v="65"/>
    <x v="1"/>
    <x v="7"/>
    <x v="7"/>
    <x v="1"/>
    <x v="9"/>
    <x v="1265"/>
    <x v="1"/>
    <x v="3"/>
  </r>
  <r>
    <x v="1273"/>
    <x v="39"/>
    <x v="1"/>
    <x v="6"/>
    <x v="9"/>
    <x v="0"/>
    <x v="1"/>
    <x v="1266"/>
    <x v="0"/>
    <x v="2"/>
  </r>
  <r>
    <x v="1274"/>
    <x v="31"/>
    <x v="0"/>
    <x v="5"/>
    <x v="5"/>
    <x v="1"/>
    <x v="1"/>
    <x v="1267"/>
    <x v="1"/>
    <x v="2"/>
  </r>
  <r>
    <x v="1275"/>
    <x v="27"/>
    <x v="0"/>
    <x v="2"/>
    <x v="6"/>
    <x v="0"/>
    <x v="12"/>
    <x v="1268"/>
    <x v="0"/>
    <x v="1"/>
  </r>
  <r>
    <x v="1276"/>
    <x v="60"/>
    <x v="0"/>
    <x v="9"/>
    <x v="3"/>
    <x v="1"/>
    <x v="13"/>
    <x v="1269"/>
    <x v="1"/>
    <x v="1"/>
  </r>
  <r>
    <x v="1277"/>
    <x v="58"/>
    <x v="1"/>
    <x v="3"/>
    <x v="5"/>
    <x v="2"/>
    <x v="9"/>
    <x v="1270"/>
    <x v="0"/>
    <x v="2"/>
  </r>
  <r>
    <x v="1278"/>
    <x v="17"/>
    <x v="1"/>
    <x v="7"/>
    <x v="7"/>
    <x v="2"/>
    <x v="3"/>
    <x v="1271"/>
    <x v="0"/>
    <x v="3"/>
  </r>
  <r>
    <x v="1279"/>
    <x v="1"/>
    <x v="0"/>
    <x v="5"/>
    <x v="9"/>
    <x v="0"/>
    <x v="5"/>
    <x v="1272"/>
    <x v="1"/>
    <x v="4"/>
  </r>
  <r>
    <x v="1280"/>
    <x v="60"/>
    <x v="1"/>
    <x v="8"/>
    <x v="4"/>
    <x v="2"/>
    <x v="1"/>
    <x v="1273"/>
    <x v="1"/>
    <x v="4"/>
  </r>
  <r>
    <x v="1281"/>
    <x v="65"/>
    <x v="0"/>
    <x v="7"/>
    <x v="8"/>
    <x v="0"/>
    <x v="4"/>
    <x v="1274"/>
    <x v="1"/>
    <x v="4"/>
  </r>
  <r>
    <x v="1282"/>
    <x v="31"/>
    <x v="0"/>
    <x v="3"/>
    <x v="1"/>
    <x v="0"/>
    <x v="2"/>
    <x v="1275"/>
    <x v="1"/>
    <x v="3"/>
  </r>
  <r>
    <x v="1283"/>
    <x v="56"/>
    <x v="1"/>
    <x v="0"/>
    <x v="1"/>
    <x v="0"/>
    <x v="14"/>
    <x v="1276"/>
    <x v="1"/>
    <x v="0"/>
  </r>
  <r>
    <x v="1284"/>
    <x v="68"/>
    <x v="1"/>
    <x v="9"/>
    <x v="5"/>
    <x v="0"/>
    <x v="4"/>
    <x v="1277"/>
    <x v="1"/>
    <x v="0"/>
  </r>
  <r>
    <x v="1285"/>
    <x v="35"/>
    <x v="1"/>
    <x v="7"/>
    <x v="5"/>
    <x v="2"/>
    <x v="11"/>
    <x v="1278"/>
    <x v="0"/>
    <x v="2"/>
  </r>
  <r>
    <x v="1286"/>
    <x v="41"/>
    <x v="1"/>
    <x v="2"/>
    <x v="5"/>
    <x v="1"/>
    <x v="5"/>
    <x v="1279"/>
    <x v="0"/>
    <x v="0"/>
  </r>
  <r>
    <x v="1287"/>
    <x v="68"/>
    <x v="1"/>
    <x v="4"/>
    <x v="7"/>
    <x v="1"/>
    <x v="7"/>
    <x v="1280"/>
    <x v="1"/>
    <x v="4"/>
  </r>
  <r>
    <x v="1288"/>
    <x v="0"/>
    <x v="1"/>
    <x v="8"/>
    <x v="6"/>
    <x v="2"/>
    <x v="10"/>
    <x v="1281"/>
    <x v="0"/>
    <x v="0"/>
  </r>
  <r>
    <x v="1289"/>
    <x v="9"/>
    <x v="1"/>
    <x v="9"/>
    <x v="1"/>
    <x v="1"/>
    <x v="1"/>
    <x v="1282"/>
    <x v="0"/>
    <x v="3"/>
  </r>
  <r>
    <x v="1290"/>
    <x v="81"/>
    <x v="0"/>
    <x v="0"/>
    <x v="8"/>
    <x v="2"/>
    <x v="0"/>
    <x v="1283"/>
    <x v="0"/>
    <x v="2"/>
  </r>
  <r>
    <x v="1291"/>
    <x v="23"/>
    <x v="1"/>
    <x v="6"/>
    <x v="7"/>
    <x v="2"/>
    <x v="3"/>
    <x v="1284"/>
    <x v="1"/>
    <x v="0"/>
  </r>
  <r>
    <x v="1292"/>
    <x v="56"/>
    <x v="0"/>
    <x v="1"/>
    <x v="6"/>
    <x v="0"/>
    <x v="11"/>
    <x v="1285"/>
    <x v="0"/>
    <x v="4"/>
  </r>
  <r>
    <x v="1293"/>
    <x v="18"/>
    <x v="1"/>
    <x v="0"/>
    <x v="3"/>
    <x v="2"/>
    <x v="8"/>
    <x v="1286"/>
    <x v="1"/>
    <x v="0"/>
  </r>
  <r>
    <x v="1294"/>
    <x v="70"/>
    <x v="0"/>
    <x v="3"/>
    <x v="2"/>
    <x v="0"/>
    <x v="9"/>
    <x v="1287"/>
    <x v="0"/>
    <x v="2"/>
  </r>
  <r>
    <x v="1295"/>
    <x v="70"/>
    <x v="0"/>
    <x v="7"/>
    <x v="2"/>
    <x v="1"/>
    <x v="7"/>
    <x v="1288"/>
    <x v="1"/>
    <x v="1"/>
  </r>
  <r>
    <x v="1296"/>
    <x v="37"/>
    <x v="1"/>
    <x v="0"/>
    <x v="4"/>
    <x v="2"/>
    <x v="4"/>
    <x v="1289"/>
    <x v="1"/>
    <x v="4"/>
  </r>
  <r>
    <x v="1297"/>
    <x v="36"/>
    <x v="1"/>
    <x v="4"/>
    <x v="9"/>
    <x v="1"/>
    <x v="9"/>
    <x v="1290"/>
    <x v="0"/>
    <x v="2"/>
  </r>
  <r>
    <x v="1298"/>
    <x v="44"/>
    <x v="0"/>
    <x v="4"/>
    <x v="0"/>
    <x v="1"/>
    <x v="7"/>
    <x v="1291"/>
    <x v="1"/>
    <x v="4"/>
  </r>
  <r>
    <x v="1299"/>
    <x v="65"/>
    <x v="1"/>
    <x v="9"/>
    <x v="8"/>
    <x v="0"/>
    <x v="3"/>
    <x v="1292"/>
    <x v="0"/>
    <x v="0"/>
  </r>
  <r>
    <x v="1300"/>
    <x v="72"/>
    <x v="0"/>
    <x v="5"/>
    <x v="7"/>
    <x v="2"/>
    <x v="10"/>
    <x v="1293"/>
    <x v="1"/>
    <x v="3"/>
  </r>
  <r>
    <x v="1301"/>
    <x v="30"/>
    <x v="1"/>
    <x v="6"/>
    <x v="2"/>
    <x v="2"/>
    <x v="9"/>
    <x v="1294"/>
    <x v="1"/>
    <x v="4"/>
  </r>
  <r>
    <x v="1302"/>
    <x v="29"/>
    <x v="0"/>
    <x v="2"/>
    <x v="0"/>
    <x v="2"/>
    <x v="3"/>
    <x v="1295"/>
    <x v="1"/>
    <x v="3"/>
  </r>
  <r>
    <x v="1303"/>
    <x v="82"/>
    <x v="0"/>
    <x v="1"/>
    <x v="1"/>
    <x v="0"/>
    <x v="2"/>
    <x v="1296"/>
    <x v="0"/>
    <x v="3"/>
  </r>
  <r>
    <x v="1304"/>
    <x v="84"/>
    <x v="0"/>
    <x v="7"/>
    <x v="4"/>
    <x v="0"/>
    <x v="10"/>
    <x v="1297"/>
    <x v="1"/>
    <x v="1"/>
  </r>
  <r>
    <x v="1305"/>
    <x v="34"/>
    <x v="1"/>
    <x v="0"/>
    <x v="8"/>
    <x v="0"/>
    <x v="14"/>
    <x v="1298"/>
    <x v="1"/>
    <x v="0"/>
  </r>
  <r>
    <x v="1306"/>
    <x v="77"/>
    <x v="0"/>
    <x v="8"/>
    <x v="9"/>
    <x v="0"/>
    <x v="14"/>
    <x v="1299"/>
    <x v="1"/>
    <x v="4"/>
  </r>
  <r>
    <x v="1307"/>
    <x v="60"/>
    <x v="0"/>
    <x v="9"/>
    <x v="3"/>
    <x v="0"/>
    <x v="12"/>
    <x v="1300"/>
    <x v="1"/>
    <x v="0"/>
  </r>
  <r>
    <x v="1308"/>
    <x v="22"/>
    <x v="0"/>
    <x v="2"/>
    <x v="3"/>
    <x v="0"/>
    <x v="13"/>
    <x v="1301"/>
    <x v="1"/>
    <x v="3"/>
  </r>
  <r>
    <x v="1309"/>
    <x v="87"/>
    <x v="0"/>
    <x v="3"/>
    <x v="0"/>
    <x v="1"/>
    <x v="9"/>
    <x v="1302"/>
    <x v="0"/>
    <x v="4"/>
  </r>
  <r>
    <x v="1310"/>
    <x v="72"/>
    <x v="1"/>
    <x v="7"/>
    <x v="8"/>
    <x v="1"/>
    <x v="8"/>
    <x v="1303"/>
    <x v="1"/>
    <x v="3"/>
  </r>
  <r>
    <x v="1311"/>
    <x v="21"/>
    <x v="1"/>
    <x v="9"/>
    <x v="8"/>
    <x v="0"/>
    <x v="10"/>
    <x v="1304"/>
    <x v="0"/>
    <x v="3"/>
  </r>
  <r>
    <x v="1312"/>
    <x v="87"/>
    <x v="1"/>
    <x v="4"/>
    <x v="7"/>
    <x v="1"/>
    <x v="10"/>
    <x v="1305"/>
    <x v="1"/>
    <x v="3"/>
  </r>
  <r>
    <x v="1313"/>
    <x v="0"/>
    <x v="0"/>
    <x v="3"/>
    <x v="5"/>
    <x v="0"/>
    <x v="13"/>
    <x v="1306"/>
    <x v="0"/>
    <x v="4"/>
  </r>
  <r>
    <x v="1314"/>
    <x v="19"/>
    <x v="0"/>
    <x v="0"/>
    <x v="5"/>
    <x v="2"/>
    <x v="7"/>
    <x v="1307"/>
    <x v="1"/>
    <x v="2"/>
  </r>
  <r>
    <x v="1315"/>
    <x v="26"/>
    <x v="1"/>
    <x v="2"/>
    <x v="8"/>
    <x v="2"/>
    <x v="2"/>
    <x v="1308"/>
    <x v="1"/>
    <x v="0"/>
  </r>
  <r>
    <x v="1316"/>
    <x v="83"/>
    <x v="1"/>
    <x v="1"/>
    <x v="4"/>
    <x v="0"/>
    <x v="14"/>
    <x v="1309"/>
    <x v="0"/>
    <x v="1"/>
  </r>
  <r>
    <x v="1317"/>
    <x v="37"/>
    <x v="0"/>
    <x v="0"/>
    <x v="7"/>
    <x v="1"/>
    <x v="7"/>
    <x v="1310"/>
    <x v="1"/>
    <x v="1"/>
  </r>
  <r>
    <x v="1318"/>
    <x v="80"/>
    <x v="0"/>
    <x v="8"/>
    <x v="7"/>
    <x v="1"/>
    <x v="13"/>
    <x v="1311"/>
    <x v="1"/>
    <x v="4"/>
  </r>
  <r>
    <x v="1319"/>
    <x v="68"/>
    <x v="0"/>
    <x v="8"/>
    <x v="6"/>
    <x v="1"/>
    <x v="4"/>
    <x v="1312"/>
    <x v="0"/>
    <x v="3"/>
  </r>
  <r>
    <x v="1320"/>
    <x v="68"/>
    <x v="0"/>
    <x v="1"/>
    <x v="7"/>
    <x v="2"/>
    <x v="8"/>
    <x v="1313"/>
    <x v="1"/>
    <x v="1"/>
  </r>
  <r>
    <x v="1321"/>
    <x v="53"/>
    <x v="0"/>
    <x v="2"/>
    <x v="0"/>
    <x v="1"/>
    <x v="13"/>
    <x v="1314"/>
    <x v="1"/>
    <x v="2"/>
  </r>
  <r>
    <x v="1322"/>
    <x v="0"/>
    <x v="1"/>
    <x v="1"/>
    <x v="2"/>
    <x v="1"/>
    <x v="4"/>
    <x v="1315"/>
    <x v="0"/>
    <x v="4"/>
  </r>
  <r>
    <x v="1323"/>
    <x v="55"/>
    <x v="0"/>
    <x v="2"/>
    <x v="2"/>
    <x v="1"/>
    <x v="14"/>
    <x v="1316"/>
    <x v="1"/>
    <x v="1"/>
  </r>
  <r>
    <x v="1324"/>
    <x v="2"/>
    <x v="1"/>
    <x v="6"/>
    <x v="8"/>
    <x v="0"/>
    <x v="0"/>
    <x v="1317"/>
    <x v="1"/>
    <x v="4"/>
  </r>
  <r>
    <x v="1325"/>
    <x v="75"/>
    <x v="0"/>
    <x v="3"/>
    <x v="0"/>
    <x v="1"/>
    <x v="10"/>
    <x v="1318"/>
    <x v="0"/>
    <x v="3"/>
  </r>
  <r>
    <x v="1326"/>
    <x v="61"/>
    <x v="1"/>
    <x v="9"/>
    <x v="7"/>
    <x v="0"/>
    <x v="0"/>
    <x v="1319"/>
    <x v="0"/>
    <x v="1"/>
  </r>
  <r>
    <x v="1327"/>
    <x v="40"/>
    <x v="0"/>
    <x v="6"/>
    <x v="4"/>
    <x v="1"/>
    <x v="12"/>
    <x v="1320"/>
    <x v="1"/>
    <x v="0"/>
  </r>
  <r>
    <x v="1328"/>
    <x v="61"/>
    <x v="1"/>
    <x v="1"/>
    <x v="8"/>
    <x v="1"/>
    <x v="3"/>
    <x v="1321"/>
    <x v="1"/>
    <x v="4"/>
  </r>
  <r>
    <x v="1329"/>
    <x v="1"/>
    <x v="1"/>
    <x v="6"/>
    <x v="8"/>
    <x v="2"/>
    <x v="14"/>
    <x v="1322"/>
    <x v="1"/>
    <x v="0"/>
  </r>
  <r>
    <x v="1330"/>
    <x v="42"/>
    <x v="0"/>
    <x v="7"/>
    <x v="8"/>
    <x v="1"/>
    <x v="2"/>
    <x v="1323"/>
    <x v="1"/>
    <x v="2"/>
  </r>
  <r>
    <x v="1331"/>
    <x v="82"/>
    <x v="1"/>
    <x v="3"/>
    <x v="5"/>
    <x v="2"/>
    <x v="1"/>
    <x v="1324"/>
    <x v="0"/>
    <x v="4"/>
  </r>
  <r>
    <x v="1332"/>
    <x v="9"/>
    <x v="1"/>
    <x v="2"/>
    <x v="9"/>
    <x v="0"/>
    <x v="3"/>
    <x v="1325"/>
    <x v="1"/>
    <x v="4"/>
  </r>
  <r>
    <x v="1333"/>
    <x v="32"/>
    <x v="0"/>
    <x v="6"/>
    <x v="8"/>
    <x v="2"/>
    <x v="14"/>
    <x v="1326"/>
    <x v="1"/>
    <x v="1"/>
  </r>
  <r>
    <x v="1334"/>
    <x v="47"/>
    <x v="1"/>
    <x v="5"/>
    <x v="1"/>
    <x v="2"/>
    <x v="1"/>
    <x v="1327"/>
    <x v="1"/>
    <x v="0"/>
  </r>
  <r>
    <x v="1335"/>
    <x v="82"/>
    <x v="1"/>
    <x v="4"/>
    <x v="4"/>
    <x v="0"/>
    <x v="10"/>
    <x v="1328"/>
    <x v="0"/>
    <x v="0"/>
  </r>
  <r>
    <x v="1336"/>
    <x v="21"/>
    <x v="1"/>
    <x v="4"/>
    <x v="2"/>
    <x v="0"/>
    <x v="4"/>
    <x v="1329"/>
    <x v="0"/>
    <x v="4"/>
  </r>
  <r>
    <x v="1337"/>
    <x v="80"/>
    <x v="0"/>
    <x v="6"/>
    <x v="1"/>
    <x v="2"/>
    <x v="14"/>
    <x v="1330"/>
    <x v="1"/>
    <x v="4"/>
  </r>
  <r>
    <x v="1338"/>
    <x v="4"/>
    <x v="1"/>
    <x v="2"/>
    <x v="9"/>
    <x v="1"/>
    <x v="10"/>
    <x v="1331"/>
    <x v="1"/>
    <x v="0"/>
  </r>
  <r>
    <x v="1339"/>
    <x v="4"/>
    <x v="0"/>
    <x v="1"/>
    <x v="5"/>
    <x v="0"/>
    <x v="13"/>
    <x v="1332"/>
    <x v="0"/>
    <x v="0"/>
  </r>
  <r>
    <x v="1340"/>
    <x v="55"/>
    <x v="0"/>
    <x v="3"/>
    <x v="1"/>
    <x v="1"/>
    <x v="1"/>
    <x v="1333"/>
    <x v="1"/>
    <x v="1"/>
  </r>
  <r>
    <x v="1341"/>
    <x v="19"/>
    <x v="1"/>
    <x v="3"/>
    <x v="7"/>
    <x v="1"/>
    <x v="3"/>
    <x v="1334"/>
    <x v="1"/>
    <x v="3"/>
  </r>
  <r>
    <x v="1342"/>
    <x v="60"/>
    <x v="0"/>
    <x v="1"/>
    <x v="5"/>
    <x v="2"/>
    <x v="6"/>
    <x v="1335"/>
    <x v="1"/>
    <x v="3"/>
  </r>
  <r>
    <x v="1343"/>
    <x v="67"/>
    <x v="1"/>
    <x v="0"/>
    <x v="0"/>
    <x v="0"/>
    <x v="4"/>
    <x v="1336"/>
    <x v="1"/>
    <x v="1"/>
  </r>
  <r>
    <x v="1344"/>
    <x v="23"/>
    <x v="1"/>
    <x v="0"/>
    <x v="1"/>
    <x v="1"/>
    <x v="2"/>
    <x v="1337"/>
    <x v="0"/>
    <x v="3"/>
  </r>
  <r>
    <x v="1345"/>
    <x v="72"/>
    <x v="0"/>
    <x v="1"/>
    <x v="6"/>
    <x v="1"/>
    <x v="12"/>
    <x v="1338"/>
    <x v="0"/>
    <x v="0"/>
  </r>
  <r>
    <x v="1346"/>
    <x v="52"/>
    <x v="0"/>
    <x v="3"/>
    <x v="0"/>
    <x v="2"/>
    <x v="5"/>
    <x v="1339"/>
    <x v="1"/>
    <x v="1"/>
  </r>
  <r>
    <x v="1347"/>
    <x v="47"/>
    <x v="1"/>
    <x v="5"/>
    <x v="4"/>
    <x v="0"/>
    <x v="5"/>
    <x v="1340"/>
    <x v="1"/>
    <x v="4"/>
  </r>
  <r>
    <x v="1348"/>
    <x v="78"/>
    <x v="1"/>
    <x v="2"/>
    <x v="7"/>
    <x v="0"/>
    <x v="14"/>
    <x v="1341"/>
    <x v="0"/>
    <x v="3"/>
  </r>
  <r>
    <x v="1349"/>
    <x v="76"/>
    <x v="1"/>
    <x v="7"/>
    <x v="5"/>
    <x v="1"/>
    <x v="10"/>
    <x v="62"/>
    <x v="0"/>
    <x v="2"/>
  </r>
  <r>
    <x v="1350"/>
    <x v="57"/>
    <x v="1"/>
    <x v="5"/>
    <x v="0"/>
    <x v="1"/>
    <x v="13"/>
    <x v="1342"/>
    <x v="1"/>
    <x v="2"/>
  </r>
  <r>
    <x v="1351"/>
    <x v="66"/>
    <x v="0"/>
    <x v="7"/>
    <x v="5"/>
    <x v="2"/>
    <x v="10"/>
    <x v="1343"/>
    <x v="1"/>
    <x v="0"/>
  </r>
  <r>
    <x v="1352"/>
    <x v="2"/>
    <x v="1"/>
    <x v="5"/>
    <x v="5"/>
    <x v="0"/>
    <x v="10"/>
    <x v="1344"/>
    <x v="1"/>
    <x v="2"/>
  </r>
  <r>
    <x v="1353"/>
    <x v="33"/>
    <x v="0"/>
    <x v="9"/>
    <x v="3"/>
    <x v="1"/>
    <x v="0"/>
    <x v="1345"/>
    <x v="0"/>
    <x v="0"/>
  </r>
  <r>
    <x v="1354"/>
    <x v="19"/>
    <x v="1"/>
    <x v="4"/>
    <x v="3"/>
    <x v="0"/>
    <x v="5"/>
    <x v="1346"/>
    <x v="1"/>
    <x v="1"/>
  </r>
  <r>
    <x v="1355"/>
    <x v="23"/>
    <x v="0"/>
    <x v="9"/>
    <x v="4"/>
    <x v="1"/>
    <x v="10"/>
    <x v="1347"/>
    <x v="0"/>
    <x v="4"/>
  </r>
  <r>
    <x v="1356"/>
    <x v="10"/>
    <x v="1"/>
    <x v="2"/>
    <x v="1"/>
    <x v="2"/>
    <x v="7"/>
    <x v="1348"/>
    <x v="1"/>
    <x v="1"/>
  </r>
  <r>
    <x v="1357"/>
    <x v="34"/>
    <x v="0"/>
    <x v="3"/>
    <x v="2"/>
    <x v="2"/>
    <x v="11"/>
    <x v="1349"/>
    <x v="1"/>
    <x v="3"/>
  </r>
  <r>
    <x v="1358"/>
    <x v="20"/>
    <x v="1"/>
    <x v="0"/>
    <x v="7"/>
    <x v="1"/>
    <x v="2"/>
    <x v="1350"/>
    <x v="1"/>
    <x v="0"/>
  </r>
  <r>
    <x v="1359"/>
    <x v="46"/>
    <x v="1"/>
    <x v="0"/>
    <x v="2"/>
    <x v="0"/>
    <x v="14"/>
    <x v="1351"/>
    <x v="0"/>
    <x v="3"/>
  </r>
  <r>
    <x v="1360"/>
    <x v="18"/>
    <x v="0"/>
    <x v="7"/>
    <x v="1"/>
    <x v="0"/>
    <x v="9"/>
    <x v="1352"/>
    <x v="0"/>
    <x v="3"/>
  </r>
  <r>
    <x v="1361"/>
    <x v="52"/>
    <x v="0"/>
    <x v="7"/>
    <x v="6"/>
    <x v="2"/>
    <x v="6"/>
    <x v="1353"/>
    <x v="0"/>
    <x v="0"/>
  </r>
  <r>
    <x v="1362"/>
    <x v="18"/>
    <x v="0"/>
    <x v="7"/>
    <x v="4"/>
    <x v="2"/>
    <x v="4"/>
    <x v="1354"/>
    <x v="0"/>
    <x v="4"/>
  </r>
  <r>
    <x v="1363"/>
    <x v="54"/>
    <x v="0"/>
    <x v="8"/>
    <x v="8"/>
    <x v="0"/>
    <x v="5"/>
    <x v="1355"/>
    <x v="0"/>
    <x v="2"/>
  </r>
  <r>
    <x v="1364"/>
    <x v="5"/>
    <x v="1"/>
    <x v="4"/>
    <x v="3"/>
    <x v="0"/>
    <x v="10"/>
    <x v="1356"/>
    <x v="0"/>
    <x v="2"/>
  </r>
  <r>
    <x v="1365"/>
    <x v="16"/>
    <x v="0"/>
    <x v="6"/>
    <x v="2"/>
    <x v="2"/>
    <x v="4"/>
    <x v="1357"/>
    <x v="1"/>
    <x v="1"/>
  </r>
  <r>
    <x v="1366"/>
    <x v="49"/>
    <x v="1"/>
    <x v="6"/>
    <x v="9"/>
    <x v="1"/>
    <x v="7"/>
    <x v="1358"/>
    <x v="0"/>
    <x v="4"/>
  </r>
  <r>
    <x v="1367"/>
    <x v="52"/>
    <x v="1"/>
    <x v="3"/>
    <x v="0"/>
    <x v="1"/>
    <x v="5"/>
    <x v="1359"/>
    <x v="0"/>
    <x v="3"/>
  </r>
  <r>
    <x v="1368"/>
    <x v="7"/>
    <x v="1"/>
    <x v="0"/>
    <x v="4"/>
    <x v="1"/>
    <x v="3"/>
    <x v="1360"/>
    <x v="0"/>
    <x v="2"/>
  </r>
  <r>
    <x v="1369"/>
    <x v="6"/>
    <x v="0"/>
    <x v="0"/>
    <x v="5"/>
    <x v="0"/>
    <x v="2"/>
    <x v="1361"/>
    <x v="0"/>
    <x v="2"/>
  </r>
  <r>
    <x v="1370"/>
    <x v="88"/>
    <x v="0"/>
    <x v="9"/>
    <x v="9"/>
    <x v="2"/>
    <x v="5"/>
    <x v="1362"/>
    <x v="1"/>
    <x v="1"/>
  </r>
  <r>
    <x v="1371"/>
    <x v="43"/>
    <x v="0"/>
    <x v="7"/>
    <x v="0"/>
    <x v="2"/>
    <x v="2"/>
    <x v="1363"/>
    <x v="0"/>
    <x v="1"/>
  </r>
  <r>
    <x v="1372"/>
    <x v="31"/>
    <x v="0"/>
    <x v="4"/>
    <x v="3"/>
    <x v="0"/>
    <x v="9"/>
    <x v="1364"/>
    <x v="1"/>
    <x v="4"/>
  </r>
  <r>
    <x v="1373"/>
    <x v="49"/>
    <x v="0"/>
    <x v="6"/>
    <x v="7"/>
    <x v="0"/>
    <x v="13"/>
    <x v="1365"/>
    <x v="0"/>
    <x v="3"/>
  </r>
  <r>
    <x v="1374"/>
    <x v="56"/>
    <x v="0"/>
    <x v="4"/>
    <x v="5"/>
    <x v="0"/>
    <x v="8"/>
    <x v="1366"/>
    <x v="1"/>
    <x v="4"/>
  </r>
  <r>
    <x v="1375"/>
    <x v="18"/>
    <x v="1"/>
    <x v="6"/>
    <x v="6"/>
    <x v="2"/>
    <x v="1"/>
    <x v="1367"/>
    <x v="0"/>
    <x v="1"/>
  </r>
  <r>
    <x v="1376"/>
    <x v="47"/>
    <x v="0"/>
    <x v="3"/>
    <x v="6"/>
    <x v="1"/>
    <x v="13"/>
    <x v="1368"/>
    <x v="0"/>
    <x v="3"/>
  </r>
  <r>
    <x v="1377"/>
    <x v="38"/>
    <x v="0"/>
    <x v="7"/>
    <x v="1"/>
    <x v="2"/>
    <x v="11"/>
    <x v="1369"/>
    <x v="0"/>
    <x v="0"/>
  </r>
  <r>
    <x v="1378"/>
    <x v="39"/>
    <x v="0"/>
    <x v="3"/>
    <x v="1"/>
    <x v="2"/>
    <x v="0"/>
    <x v="1370"/>
    <x v="0"/>
    <x v="1"/>
  </r>
  <r>
    <x v="1379"/>
    <x v="39"/>
    <x v="0"/>
    <x v="6"/>
    <x v="1"/>
    <x v="2"/>
    <x v="4"/>
    <x v="1371"/>
    <x v="0"/>
    <x v="1"/>
  </r>
  <r>
    <x v="1380"/>
    <x v="9"/>
    <x v="1"/>
    <x v="6"/>
    <x v="6"/>
    <x v="1"/>
    <x v="6"/>
    <x v="1372"/>
    <x v="1"/>
    <x v="0"/>
  </r>
  <r>
    <x v="1381"/>
    <x v="79"/>
    <x v="1"/>
    <x v="4"/>
    <x v="0"/>
    <x v="1"/>
    <x v="0"/>
    <x v="1373"/>
    <x v="0"/>
    <x v="3"/>
  </r>
  <r>
    <x v="1382"/>
    <x v="46"/>
    <x v="0"/>
    <x v="0"/>
    <x v="1"/>
    <x v="1"/>
    <x v="14"/>
    <x v="1374"/>
    <x v="1"/>
    <x v="3"/>
  </r>
  <r>
    <x v="1383"/>
    <x v="69"/>
    <x v="0"/>
    <x v="2"/>
    <x v="9"/>
    <x v="0"/>
    <x v="12"/>
    <x v="1375"/>
    <x v="1"/>
    <x v="3"/>
  </r>
  <r>
    <x v="1384"/>
    <x v="57"/>
    <x v="1"/>
    <x v="3"/>
    <x v="4"/>
    <x v="0"/>
    <x v="14"/>
    <x v="1376"/>
    <x v="1"/>
    <x v="3"/>
  </r>
  <r>
    <x v="1385"/>
    <x v="74"/>
    <x v="1"/>
    <x v="2"/>
    <x v="3"/>
    <x v="0"/>
    <x v="6"/>
    <x v="1377"/>
    <x v="0"/>
    <x v="1"/>
  </r>
  <r>
    <x v="1386"/>
    <x v="84"/>
    <x v="0"/>
    <x v="9"/>
    <x v="7"/>
    <x v="2"/>
    <x v="1"/>
    <x v="1378"/>
    <x v="1"/>
    <x v="1"/>
  </r>
  <r>
    <x v="1387"/>
    <x v="40"/>
    <x v="0"/>
    <x v="1"/>
    <x v="2"/>
    <x v="2"/>
    <x v="6"/>
    <x v="1379"/>
    <x v="1"/>
    <x v="2"/>
  </r>
  <r>
    <x v="1388"/>
    <x v="24"/>
    <x v="1"/>
    <x v="8"/>
    <x v="6"/>
    <x v="1"/>
    <x v="0"/>
    <x v="1380"/>
    <x v="0"/>
    <x v="0"/>
  </r>
  <r>
    <x v="1389"/>
    <x v="41"/>
    <x v="1"/>
    <x v="3"/>
    <x v="5"/>
    <x v="2"/>
    <x v="11"/>
    <x v="1381"/>
    <x v="0"/>
    <x v="2"/>
  </r>
  <r>
    <x v="1390"/>
    <x v="89"/>
    <x v="0"/>
    <x v="4"/>
    <x v="3"/>
    <x v="2"/>
    <x v="11"/>
    <x v="1382"/>
    <x v="1"/>
    <x v="4"/>
  </r>
  <r>
    <x v="1391"/>
    <x v="82"/>
    <x v="0"/>
    <x v="0"/>
    <x v="7"/>
    <x v="2"/>
    <x v="10"/>
    <x v="1383"/>
    <x v="0"/>
    <x v="3"/>
  </r>
  <r>
    <x v="1392"/>
    <x v="2"/>
    <x v="1"/>
    <x v="8"/>
    <x v="5"/>
    <x v="2"/>
    <x v="10"/>
    <x v="1384"/>
    <x v="1"/>
    <x v="0"/>
  </r>
  <r>
    <x v="1393"/>
    <x v="4"/>
    <x v="0"/>
    <x v="5"/>
    <x v="8"/>
    <x v="2"/>
    <x v="14"/>
    <x v="1385"/>
    <x v="0"/>
    <x v="1"/>
  </r>
  <r>
    <x v="1394"/>
    <x v="69"/>
    <x v="0"/>
    <x v="8"/>
    <x v="7"/>
    <x v="0"/>
    <x v="1"/>
    <x v="1386"/>
    <x v="1"/>
    <x v="0"/>
  </r>
  <r>
    <x v="1395"/>
    <x v="13"/>
    <x v="0"/>
    <x v="0"/>
    <x v="9"/>
    <x v="1"/>
    <x v="14"/>
    <x v="1387"/>
    <x v="0"/>
    <x v="2"/>
  </r>
  <r>
    <x v="1396"/>
    <x v="81"/>
    <x v="0"/>
    <x v="8"/>
    <x v="8"/>
    <x v="2"/>
    <x v="0"/>
    <x v="1388"/>
    <x v="0"/>
    <x v="3"/>
  </r>
  <r>
    <x v="1397"/>
    <x v="65"/>
    <x v="0"/>
    <x v="4"/>
    <x v="8"/>
    <x v="0"/>
    <x v="8"/>
    <x v="1389"/>
    <x v="1"/>
    <x v="3"/>
  </r>
  <r>
    <x v="1398"/>
    <x v="28"/>
    <x v="1"/>
    <x v="1"/>
    <x v="9"/>
    <x v="1"/>
    <x v="14"/>
    <x v="1390"/>
    <x v="0"/>
    <x v="1"/>
  </r>
  <r>
    <x v="1399"/>
    <x v="6"/>
    <x v="0"/>
    <x v="2"/>
    <x v="9"/>
    <x v="2"/>
    <x v="13"/>
    <x v="1391"/>
    <x v="1"/>
    <x v="1"/>
  </r>
  <r>
    <x v="1400"/>
    <x v="51"/>
    <x v="1"/>
    <x v="3"/>
    <x v="6"/>
    <x v="2"/>
    <x v="10"/>
    <x v="1392"/>
    <x v="0"/>
    <x v="2"/>
  </r>
  <r>
    <x v="1401"/>
    <x v="18"/>
    <x v="0"/>
    <x v="1"/>
    <x v="5"/>
    <x v="1"/>
    <x v="11"/>
    <x v="1393"/>
    <x v="0"/>
    <x v="2"/>
  </r>
  <r>
    <x v="1402"/>
    <x v="28"/>
    <x v="0"/>
    <x v="3"/>
    <x v="2"/>
    <x v="0"/>
    <x v="10"/>
    <x v="1394"/>
    <x v="1"/>
    <x v="2"/>
  </r>
  <r>
    <x v="1403"/>
    <x v="55"/>
    <x v="0"/>
    <x v="9"/>
    <x v="8"/>
    <x v="1"/>
    <x v="7"/>
    <x v="1395"/>
    <x v="1"/>
    <x v="0"/>
  </r>
  <r>
    <x v="1404"/>
    <x v="11"/>
    <x v="0"/>
    <x v="5"/>
    <x v="2"/>
    <x v="1"/>
    <x v="10"/>
    <x v="1396"/>
    <x v="0"/>
    <x v="0"/>
  </r>
  <r>
    <x v="1405"/>
    <x v="10"/>
    <x v="0"/>
    <x v="3"/>
    <x v="4"/>
    <x v="2"/>
    <x v="2"/>
    <x v="1397"/>
    <x v="0"/>
    <x v="2"/>
  </r>
  <r>
    <x v="1406"/>
    <x v="7"/>
    <x v="1"/>
    <x v="1"/>
    <x v="2"/>
    <x v="1"/>
    <x v="4"/>
    <x v="1398"/>
    <x v="1"/>
    <x v="3"/>
  </r>
  <r>
    <x v="1407"/>
    <x v="14"/>
    <x v="1"/>
    <x v="3"/>
    <x v="1"/>
    <x v="1"/>
    <x v="14"/>
    <x v="1399"/>
    <x v="0"/>
    <x v="2"/>
  </r>
  <r>
    <x v="1408"/>
    <x v="41"/>
    <x v="1"/>
    <x v="9"/>
    <x v="9"/>
    <x v="2"/>
    <x v="6"/>
    <x v="1400"/>
    <x v="1"/>
    <x v="3"/>
  </r>
  <r>
    <x v="1409"/>
    <x v="29"/>
    <x v="0"/>
    <x v="8"/>
    <x v="4"/>
    <x v="1"/>
    <x v="8"/>
    <x v="1401"/>
    <x v="0"/>
    <x v="1"/>
  </r>
  <r>
    <x v="1410"/>
    <x v="17"/>
    <x v="1"/>
    <x v="6"/>
    <x v="4"/>
    <x v="2"/>
    <x v="14"/>
    <x v="1402"/>
    <x v="1"/>
    <x v="2"/>
  </r>
  <r>
    <x v="1411"/>
    <x v="87"/>
    <x v="0"/>
    <x v="1"/>
    <x v="5"/>
    <x v="2"/>
    <x v="3"/>
    <x v="1403"/>
    <x v="1"/>
    <x v="4"/>
  </r>
  <r>
    <x v="1412"/>
    <x v="36"/>
    <x v="1"/>
    <x v="7"/>
    <x v="1"/>
    <x v="2"/>
    <x v="14"/>
    <x v="1404"/>
    <x v="0"/>
    <x v="3"/>
  </r>
  <r>
    <x v="1413"/>
    <x v="38"/>
    <x v="1"/>
    <x v="7"/>
    <x v="8"/>
    <x v="2"/>
    <x v="11"/>
    <x v="1405"/>
    <x v="1"/>
    <x v="4"/>
  </r>
  <r>
    <x v="1414"/>
    <x v="28"/>
    <x v="0"/>
    <x v="0"/>
    <x v="6"/>
    <x v="2"/>
    <x v="8"/>
    <x v="1406"/>
    <x v="0"/>
    <x v="2"/>
  </r>
  <r>
    <x v="1415"/>
    <x v="38"/>
    <x v="0"/>
    <x v="4"/>
    <x v="9"/>
    <x v="0"/>
    <x v="14"/>
    <x v="1407"/>
    <x v="1"/>
    <x v="1"/>
  </r>
  <r>
    <x v="1416"/>
    <x v="9"/>
    <x v="1"/>
    <x v="4"/>
    <x v="3"/>
    <x v="0"/>
    <x v="4"/>
    <x v="1408"/>
    <x v="1"/>
    <x v="2"/>
  </r>
  <r>
    <x v="1417"/>
    <x v="7"/>
    <x v="0"/>
    <x v="5"/>
    <x v="2"/>
    <x v="1"/>
    <x v="12"/>
    <x v="1409"/>
    <x v="0"/>
    <x v="2"/>
  </r>
  <r>
    <x v="1418"/>
    <x v="76"/>
    <x v="1"/>
    <x v="8"/>
    <x v="0"/>
    <x v="2"/>
    <x v="9"/>
    <x v="1410"/>
    <x v="1"/>
    <x v="4"/>
  </r>
  <r>
    <x v="1419"/>
    <x v="88"/>
    <x v="1"/>
    <x v="7"/>
    <x v="6"/>
    <x v="1"/>
    <x v="0"/>
    <x v="1411"/>
    <x v="0"/>
    <x v="4"/>
  </r>
  <r>
    <x v="1420"/>
    <x v="14"/>
    <x v="1"/>
    <x v="9"/>
    <x v="8"/>
    <x v="2"/>
    <x v="5"/>
    <x v="1412"/>
    <x v="0"/>
    <x v="3"/>
  </r>
  <r>
    <x v="1421"/>
    <x v="2"/>
    <x v="0"/>
    <x v="1"/>
    <x v="1"/>
    <x v="2"/>
    <x v="8"/>
    <x v="1413"/>
    <x v="1"/>
    <x v="1"/>
  </r>
  <r>
    <x v="1422"/>
    <x v="40"/>
    <x v="0"/>
    <x v="9"/>
    <x v="7"/>
    <x v="2"/>
    <x v="0"/>
    <x v="1414"/>
    <x v="1"/>
    <x v="0"/>
  </r>
  <r>
    <x v="1423"/>
    <x v="16"/>
    <x v="0"/>
    <x v="4"/>
    <x v="1"/>
    <x v="1"/>
    <x v="6"/>
    <x v="1415"/>
    <x v="1"/>
    <x v="4"/>
  </r>
  <r>
    <x v="1424"/>
    <x v="75"/>
    <x v="0"/>
    <x v="4"/>
    <x v="3"/>
    <x v="2"/>
    <x v="0"/>
    <x v="1416"/>
    <x v="0"/>
    <x v="4"/>
  </r>
  <r>
    <x v="1425"/>
    <x v="18"/>
    <x v="1"/>
    <x v="2"/>
    <x v="0"/>
    <x v="1"/>
    <x v="7"/>
    <x v="1417"/>
    <x v="1"/>
    <x v="1"/>
  </r>
  <r>
    <x v="1426"/>
    <x v="66"/>
    <x v="1"/>
    <x v="8"/>
    <x v="9"/>
    <x v="2"/>
    <x v="3"/>
    <x v="1418"/>
    <x v="1"/>
    <x v="3"/>
  </r>
  <r>
    <x v="1427"/>
    <x v="67"/>
    <x v="1"/>
    <x v="7"/>
    <x v="0"/>
    <x v="1"/>
    <x v="13"/>
    <x v="1419"/>
    <x v="0"/>
    <x v="2"/>
  </r>
  <r>
    <x v="1428"/>
    <x v="50"/>
    <x v="0"/>
    <x v="5"/>
    <x v="3"/>
    <x v="2"/>
    <x v="6"/>
    <x v="1420"/>
    <x v="0"/>
    <x v="0"/>
  </r>
  <r>
    <x v="1429"/>
    <x v="6"/>
    <x v="0"/>
    <x v="2"/>
    <x v="1"/>
    <x v="0"/>
    <x v="9"/>
    <x v="1421"/>
    <x v="0"/>
    <x v="0"/>
  </r>
  <r>
    <x v="1430"/>
    <x v="30"/>
    <x v="0"/>
    <x v="2"/>
    <x v="6"/>
    <x v="1"/>
    <x v="11"/>
    <x v="1422"/>
    <x v="1"/>
    <x v="1"/>
  </r>
  <r>
    <x v="1431"/>
    <x v="2"/>
    <x v="1"/>
    <x v="5"/>
    <x v="9"/>
    <x v="1"/>
    <x v="5"/>
    <x v="1423"/>
    <x v="1"/>
    <x v="1"/>
  </r>
  <r>
    <x v="1432"/>
    <x v="42"/>
    <x v="0"/>
    <x v="6"/>
    <x v="7"/>
    <x v="2"/>
    <x v="4"/>
    <x v="1424"/>
    <x v="1"/>
    <x v="0"/>
  </r>
  <r>
    <x v="1433"/>
    <x v="65"/>
    <x v="1"/>
    <x v="7"/>
    <x v="7"/>
    <x v="2"/>
    <x v="8"/>
    <x v="1425"/>
    <x v="1"/>
    <x v="2"/>
  </r>
  <r>
    <x v="1434"/>
    <x v="5"/>
    <x v="1"/>
    <x v="4"/>
    <x v="6"/>
    <x v="2"/>
    <x v="14"/>
    <x v="1426"/>
    <x v="0"/>
    <x v="4"/>
  </r>
  <r>
    <x v="1435"/>
    <x v="84"/>
    <x v="0"/>
    <x v="1"/>
    <x v="2"/>
    <x v="2"/>
    <x v="12"/>
    <x v="1427"/>
    <x v="1"/>
    <x v="0"/>
  </r>
  <r>
    <x v="1436"/>
    <x v="57"/>
    <x v="1"/>
    <x v="0"/>
    <x v="2"/>
    <x v="0"/>
    <x v="5"/>
    <x v="1428"/>
    <x v="1"/>
    <x v="2"/>
  </r>
  <r>
    <x v="1437"/>
    <x v="35"/>
    <x v="0"/>
    <x v="2"/>
    <x v="8"/>
    <x v="0"/>
    <x v="8"/>
    <x v="1429"/>
    <x v="0"/>
    <x v="0"/>
  </r>
  <r>
    <x v="1438"/>
    <x v="75"/>
    <x v="1"/>
    <x v="7"/>
    <x v="8"/>
    <x v="2"/>
    <x v="3"/>
    <x v="1430"/>
    <x v="0"/>
    <x v="4"/>
  </r>
  <r>
    <x v="1439"/>
    <x v="53"/>
    <x v="0"/>
    <x v="1"/>
    <x v="4"/>
    <x v="1"/>
    <x v="8"/>
    <x v="1431"/>
    <x v="1"/>
    <x v="1"/>
  </r>
  <r>
    <x v="1440"/>
    <x v="74"/>
    <x v="0"/>
    <x v="3"/>
    <x v="8"/>
    <x v="1"/>
    <x v="13"/>
    <x v="1432"/>
    <x v="1"/>
    <x v="1"/>
  </r>
  <r>
    <x v="1441"/>
    <x v="88"/>
    <x v="0"/>
    <x v="8"/>
    <x v="8"/>
    <x v="1"/>
    <x v="9"/>
    <x v="1433"/>
    <x v="1"/>
    <x v="4"/>
  </r>
  <r>
    <x v="1442"/>
    <x v="81"/>
    <x v="0"/>
    <x v="9"/>
    <x v="6"/>
    <x v="0"/>
    <x v="3"/>
    <x v="1434"/>
    <x v="0"/>
    <x v="2"/>
  </r>
  <r>
    <x v="1443"/>
    <x v="14"/>
    <x v="0"/>
    <x v="4"/>
    <x v="5"/>
    <x v="0"/>
    <x v="2"/>
    <x v="1435"/>
    <x v="1"/>
    <x v="3"/>
  </r>
  <r>
    <x v="1444"/>
    <x v="39"/>
    <x v="1"/>
    <x v="5"/>
    <x v="7"/>
    <x v="0"/>
    <x v="5"/>
    <x v="1436"/>
    <x v="0"/>
    <x v="0"/>
  </r>
  <r>
    <x v="1445"/>
    <x v="72"/>
    <x v="0"/>
    <x v="3"/>
    <x v="5"/>
    <x v="2"/>
    <x v="7"/>
    <x v="1437"/>
    <x v="1"/>
    <x v="2"/>
  </r>
  <r>
    <x v="1446"/>
    <x v="2"/>
    <x v="0"/>
    <x v="8"/>
    <x v="5"/>
    <x v="1"/>
    <x v="12"/>
    <x v="1438"/>
    <x v="0"/>
    <x v="3"/>
  </r>
  <r>
    <x v="1447"/>
    <x v="31"/>
    <x v="1"/>
    <x v="8"/>
    <x v="3"/>
    <x v="2"/>
    <x v="11"/>
    <x v="1439"/>
    <x v="1"/>
    <x v="1"/>
  </r>
  <r>
    <x v="1448"/>
    <x v="18"/>
    <x v="0"/>
    <x v="1"/>
    <x v="3"/>
    <x v="2"/>
    <x v="12"/>
    <x v="1440"/>
    <x v="0"/>
    <x v="1"/>
  </r>
  <r>
    <x v="1449"/>
    <x v="9"/>
    <x v="0"/>
    <x v="1"/>
    <x v="1"/>
    <x v="0"/>
    <x v="7"/>
    <x v="1441"/>
    <x v="1"/>
    <x v="1"/>
  </r>
  <r>
    <x v="1450"/>
    <x v="78"/>
    <x v="0"/>
    <x v="7"/>
    <x v="8"/>
    <x v="2"/>
    <x v="10"/>
    <x v="1442"/>
    <x v="0"/>
    <x v="0"/>
  </r>
  <r>
    <x v="1451"/>
    <x v="29"/>
    <x v="0"/>
    <x v="3"/>
    <x v="2"/>
    <x v="0"/>
    <x v="8"/>
    <x v="1443"/>
    <x v="1"/>
    <x v="4"/>
  </r>
  <r>
    <x v="1452"/>
    <x v="23"/>
    <x v="1"/>
    <x v="7"/>
    <x v="7"/>
    <x v="0"/>
    <x v="9"/>
    <x v="1444"/>
    <x v="0"/>
    <x v="2"/>
  </r>
  <r>
    <x v="1453"/>
    <x v="88"/>
    <x v="1"/>
    <x v="9"/>
    <x v="3"/>
    <x v="2"/>
    <x v="10"/>
    <x v="1445"/>
    <x v="1"/>
    <x v="0"/>
  </r>
  <r>
    <x v="1454"/>
    <x v="4"/>
    <x v="0"/>
    <x v="5"/>
    <x v="8"/>
    <x v="2"/>
    <x v="8"/>
    <x v="1446"/>
    <x v="0"/>
    <x v="3"/>
  </r>
  <r>
    <x v="1455"/>
    <x v="52"/>
    <x v="0"/>
    <x v="0"/>
    <x v="5"/>
    <x v="1"/>
    <x v="5"/>
    <x v="1447"/>
    <x v="0"/>
    <x v="2"/>
  </r>
  <r>
    <x v="1456"/>
    <x v="64"/>
    <x v="0"/>
    <x v="3"/>
    <x v="7"/>
    <x v="0"/>
    <x v="8"/>
    <x v="1448"/>
    <x v="1"/>
    <x v="4"/>
  </r>
  <r>
    <x v="1457"/>
    <x v="57"/>
    <x v="0"/>
    <x v="4"/>
    <x v="9"/>
    <x v="0"/>
    <x v="10"/>
    <x v="1449"/>
    <x v="0"/>
    <x v="1"/>
  </r>
  <r>
    <x v="1458"/>
    <x v="57"/>
    <x v="1"/>
    <x v="0"/>
    <x v="7"/>
    <x v="1"/>
    <x v="14"/>
    <x v="1450"/>
    <x v="1"/>
    <x v="4"/>
  </r>
  <r>
    <x v="1459"/>
    <x v="57"/>
    <x v="0"/>
    <x v="7"/>
    <x v="1"/>
    <x v="0"/>
    <x v="12"/>
    <x v="1451"/>
    <x v="0"/>
    <x v="4"/>
  </r>
  <r>
    <x v="1460"/>
    <x v="77"/>
    <x v="1"/>
    <x v="7"/>
    <x v="2"/>
    <x v="0"/>
    <x v="0"/>
    <x v="1452"/>
    <x v="0"/>
    <x v="3"/>
  </r>
  <r>
    <x v="1461"/>
    <x v="60"/>
    <x v="0"/>
    <x v="9"/>
    <x v="7"/>
    <x v="2"/>
    <x v="12"/>
    <x v="1453"/>
    <x v="0"/>
    <x v="2"/>
  </r>
  <r>
    <x v="1462"/>
    <x v="82"/>
    <x v="0"/>
    <x v="0"/>
    <x v="8"/>
    <x v="0"/>
    <x v="13"/>
    <x v="1454"/>
    <x v="0"/>
    <x v="2"/>
  </r>
  <r>
    <x v="1463"/>
    <x v="0"/>
    <x v="0"/>
    <x v="7"/>
    <x v="4"/>
    <x v="0"/>
    <x v="1"/>
    <x v="1455"/>
    <x v="0"/>
    <x v="0"/>
  </r>
  <r>
    <x v="1464"/>
    <x v="79"/>
    <x v="1"/>
    <x v="4"/>
    <x v="5"/>
    <x v="2"/>
    <x v="8"/>
    <x v="1456"/>
    <x v="0"/>
    <x v="0"/>
  </r>
  <r>
    <x v="1465"/>
    <x v="30"/>
    <x v="1"/>
    <x v="1"/>
    <x v="8"/>
    <x v="1"/>
    <x v="3"/>
    <x v="1457"/>
    <x v="0"/>
    <x v="3"/>
  </r>
  <r>
    <x v="1466"/>
    <x v="33"/>
    <x v="1"/>
    <x v="8"/>
    <x v="7"/>
    <x v="1"/>
    <x v="11"/>
    <x v="1458"/>
    <x v="0"/>
    <x v="2"/>
  </r>
  <r>
    <x v="1467"/>
    <x v="25"/>
    <x v="0"/>
    <x v="6"/>
    <x v="5"/>
    <x v="1"/>
    <x v="11"/>
    <x v="1459"/>
    <x v="1"/>
    <x v="0"/>
  </r>
  <r>
    <x v="1468"/>
    <x v="39"/>
    <x v="1"/>
    <x v="7"/>
    <x v="2"/>
    <x v="1"/>
    <x v="3"/>
    <x v="1460"/>
    <x v="1"/>
    <x v="3"/>
  </r>
  <r>
    <x v="1469"/>
    <x v="69"/>
    <x v="1"/>
    <x v="2"/>
    <x v="3"/>
    <x v="2"/>
    <x v="14"/>
    <x v="1461"/>
    <x v="0"/>
    <x v="2"/>
  </r>
  <r>
    <x v="1470"/>
    <x v="65"/>
    <x v="0"/>
    <x v="3"/>
    <x v="3"/>
    <x v="1"/>
    <x v="7"/>
    <x v="1462"/>
    <x v="1"/>
    <x v="2"/>
  </r>
  <r>
    <x v="1471"/>
    <x v="34"/>
    <x v="1"/>
    <x v="4"/>
    <x v="0"/>
    <x v="2"/>
    <x v="1"/>
    <x v="1463"/>
    <x v="1"/>
    <x v="1"/>
  </r>
  <r>
    <x v="1472"/>
    <x v="28"/>
    <x v="0"/>
    <x v="7"/>
    <x v="4"/>
    <x v="0"/>
    <x v="7"/>
    <x v="1464"/>
    <x v="1"/>
    <x v="4"/>
  </r>
  <r>
    <x v="1473"/>
    <x v="71"/>
    <x v="1"/>
    <x v="6"/>
    <x v="5"/>
    <x v="2"/>
    <x v="6"/>
    <x v="1465"/>
    <x v="0"/>
    <x v="1"/>
  </r>
  <r>
    <x v="1474"/>
    <x v="50"/>
    <x v="1"/>
    <x v="6"/>
    <x v="1"/>
    <x v="1"/>
    <x v="5"/>
    <x v="1466"/>
    <x v="0"/>
    <x v="3"/>
  </r>
  <r>
    <x v="1475"/>
    <x v="27"/>
    <x v="0"/>
    <x v="9"/>
    <x v="3"/>
    <x v="0"/>
    <x v="10"/>
    <x v="1467"/>
    <x v="0"/>
    <x v="2"/>
  </r>
  <r>
    <x v="1476"/>
    <x v="21"/>
    <x v="0"/>
    <x v="0"/>
    <x v="2"/>
    <x v="0"/>
    <x v="7"/>
    <x v="1468"/>
    <x v="1"/>
    <x v="4"/>
  </r>
  <r>
    <x v="1477"/>
    <x v="84"/>
    <x v="1"/>
    <x v="8"/>
    <x v="6"/>
    <x v="2"/>
    <x v="4"/>
    <x v="1469"/>
    <x v="0"/>
    <x v="0"/>
  </r>
  <r>
    <x v="1478"/>
    <x v="49"/>
    <x v="1"/>
    <x v="2"/>
    <x v="6"/>
    <x v="0"/>
    <x v="1"/>
    <x v="1470"/>
    <x v="1"/>
    <x v="3"/>
  </r>
  <r>
    <x v="1479"/>
    <x v="66"/>
    <x v="1"/>
    <x v="3"/>
    <x v="4"/>
    <x v="1"/>
    <x v="14"/>
    <x v="1471"/>
    <x v="1"/>
    <x v="0"/>
  </r>
  <r>
    <x v="1480"/>
    <x v="51"/>
    <x v="0"/>
    <x v="5"/>
    <x v="1"/>
    <x v="2"/>
    <x v="0"/>
    <x v="1472"/>
    <x v="0"/>
    <x v="1"/>
  </r>
  <r>
    <x v="1481"/>
    <x v="79"/>
    <x v="1"/>
    <x v="1"/>
    <x v="9"/>
    <x v="1"/>
    <x v="4"/>
    <x v="1473"/>
    <x v="0"/>
    <x v="1"/>
  </r>
  <r>
    <x v="1482"/>
    <x v="38"/>
    <x v="0"/>
    <x v="0"/>
    <x v="7"/>
    <x v="0"/>
    <x v="14"/>
    <x v="1474"/>
    <x v="1"/>
    <x v="4"/>
  </r>
  <r>
    <x v="1483"/>
    <x v="25"/>
    <x v="1"/>
    <x v="2"/>
    <x v="3"/>
    <x v="0"/>
    <x v="10"/>
    <x v="1475"/>
    <x v="0"/>
    <x v="3"/>
  </r>
  <r>
    <x v="1484"/>
    <x v="61"/>
    <x v="1"/>
    <x v="6"/>
    <x v="9"/>
    <x v="2"/>
    <x v="6"/>
    <x v="1476"/>
    <x v="1"/>
    <x v="3"/>
  </r>
  <r>
    <x v="1485"/>
    <x v="69"/>
    <x v="0"/>
    <x v="4"/>
    <x v="2"/>
    <x v="0"/>
    <x v="4"/>
    <x v="1477"/>
    <x v="0"/>
    <x v="4"/>
  </r>
  <r>
    <x v="1486"/>
    <x v="8"/>
    <x v="0"/>
    <x v="2"/>
    <x v="8"/>
    <x v="1"/>
    <x v="13"/>
    <x v="219"/>
    <x v="0"/>
    <x v="3"/>
  </r>
  <r>
    <x v="1487"/>
    <x v="47"/>
    <x v="0"/>
    <x v="1"/>
    <x v="0"/>
    <x v="1"/>
    <x v="10"/>
    <x v="1478"/>
    <x v="1"/>
    <x v="2"/>
  </r>
  <r>
    <x v="1488"/>
    <x v="66"/>
    <x v="1"/>
    <x v="7"/>
    <x v="3"/>
    <x v="2"/>
    <x v="7"/>
    <x v="1479"/>
    <x v="1"/>
    <x v="2"/>
  </r>
  <r>
    <x v="1489"/>
    <x v="85"/>
    <x v="0"/>
    <x v="1"/>
    <x v="7"/>
    <x v="2"/>
    <x v="14"/>
    <x v="1480"/>
    <x v="0"/>
    <x v="3"/>
  </r>
  <r>
    <x v="1490"/>
    <x v="32"/>
    <x v="0"/>
    <x v="7"/>
    <x v="0"/>
    <x v="0"/>
    <x v="13"/>
    <x v="1481"/>
    <x v="1"/>
    <x v="3"/>
  </r>
  <r>
    <x v="1491"/>
    <x v="50"/>
    <x v="1"/>
    <x v="2"/>
    <x v="0"/>
    <x v="2"/>
    <x v="11"/>
    <x v="1482"/>
    <x v="0"/>
    <x v="3"/>
  </r>
  <r>
    <x v="1492"/>
    <x v="60"/>
    <x v="0"/>
    <x v="3"/>
    <x v="6"/>
    <x v="2"/>
    <x v="13"/>
    <x v="1483"/>
    <x v="1"/>
    <x v="1"/>
  </r>
  <r>
    <x v="1493"/>
    <x v="52"/>
    <x v="0"/>
    <x v="3"/>
    <x v="3"/>
    <x v="0"/>
    <x v="1"/>
    <x v="1484"/>
    <x v="0"/>
    <x v="4"/>
  </r>
  <r>
    <x v="1494"/>
    <x v="8"/>
    <x v="0"/>
    <x v="9"/>
    <x v="2"/>
    <x v="2"/>
    <x v="12"/>
    <x v="1485"/>
    <x v="0"/>
    <x v="3"/>
  </r>
  <r>
    <x v="1495"/>
    <x v="68"/>
    <x v="0"/>
    <x v="9"/>
    <x v="6"/>
    <x v="2"/>
    <x v="4"/>
    <x v="1486"/>
    <x v="0"/>
    <x v="0"/>
  </r>
  <r>
    <x v="1496"/>
    <x v="17"/>
    <x v="0"/>
    <x v="9"/>
    <x v="2"/>
    <x v="2"/>
    <x v="14"/>
    <x v="1487"/>
    <x v="1"/>
    <x v="3"/>
  </r>
  <r>
    <x v="1497"/>
    <x v="51"/>
    <x v="1"/>
    <x v="3"/>
    <x v="1"/>
    <x v="1"/>
    <x v="11"/>
    <x v="1488"/>
    <x v="0"/>
    <x v="1"/>
  </r>
  <r>
    <x v="1498"/>
    <x v="4"/>
    <x v="0"/>
    <x v="2"/>
    <x v="2"/>
    <x v="1"/>
    <x v="5"/>
    <x v="1489"/>
    <x v="0"/>
    <x v="4"/>
  </r>
  <r>
    <x v="1499"/>
    <x v="47"/>
    <x v="1"/>
    <x v="1"/>
    <x v="6"/>
    <x v="0"/>
    <x v="3"/>
    <x v="1490"/>
    <x v="0"/>
    <x v="0"/>
  </r>
  <r>
    <x v="1500"/>
    <x v="89"/>
    <x v="1"/>
    <x v="7"/>
    <x v="1"/>
    <x v="0"/>
    <x v="5"/>
    <x v="1491"/>
    <x v="1"/>
    <x v="3"/>
  </r>
  <r>
    <x v="1501"/>
    <x v="32"/>
    <x v="1"/>
    <x v="3"/>
    <x v="4"/>
    <x v="2"/>
    <x v="7"/>
    <x v="1492"/>
    <x v="0"/>
    <x v="1"/>
  </r>
  <r>
    <x v="1502"/>
    <x v="54"/>
    <x v="1"/>
    <x v="4"/>
    <x v="7"/>
    <x v="0"/>
    <x v="1"/>
    <x v="1493"/>
    <x v="1"/>
    <x v="0"/>
  </r>
  <r>
    <x v="1503"/>
    <x v="45"/>
    <x v="1"/>
    <x v="5"/>
    <x v="6"/>
    <x v="2"/>
    <x v="12"/>
    <x v="1494"/>
    <x v="0"/>
    <x v="4"/>
  </r>
  <r>
    <x v="1504"/>
    <x v="9"/>
    <x v="0"/>
    <x v="0"/>
    <x v="2"/>
    <x v="0"/>
    <x v="11"/>
    <x v="1495"/>
    <x v="1"/>
    <x v="4"/>
  </r>
  <r>
    <x v="1505"/>
    <x v="87"/>
    <x v="0"/>
    <x v="8"/>
    <x v="3"/>
    <x v="0"/>
    <x v="2"/>
    <x v="1496"/>
    <x v="0"/>
    <x v="0"/>
  </r>
  <r>
    <x v="1506"/>
    <x v="86"/>
    <x v="1"/>
    <x v="7"/>
    <x v="8"/>
    <x v="1"/>
    <x v="10"/>
    <x v="1497"/>
    <x v="0"/>
    <x v="3"/>
  </r>
  <r>
    <x v="1507"/>
    <x v="73"/>
    <x v="0"/>
    <x v="5"/>
    <x v="6"/>
    <x v="1"/>
    <x v="2"/>
    <x v="1498"/>
    <x v="1"/>
    <x v="3"/>
  </r>
  <r>
    <x v="1508"/>
    <x v="30"/>
    <x v="1"/>
    <x v="5"/>
    <x v="4"/>
    <x v="0"/>
    <x v="6"/>
    <x v="1499"/>
    <x v="1"/>
    <x v="4"/>
  </r>
  <r>
    <x v="1509"/>
    <x v="22"/>
    <x v="0"/>
    <x v="1"/>
    <x v="7"/>
    <x v="0"/>
    <x v="13"/>
    <x v="1500"/>
    <x v="1"/>
    <x v="1"/>
  </r>
  <r>
    <x v="1510"/>
    <x v="87"/>
    <x v="0"/>
    <x v="8"/>
    <x v="5"/>
    <x v="1"/>
    <x v="5"/>
    <x v="1501"/>
    <x v="0"/>
    <x v="0"/>
  </r>
  <r>
    <x v="1511"/>
    <x v="32"/>
    <x v="0"/>
    <x v="2"/>
    <x v="9"/>
    <x v="2"/>
    <x v="6"/>
    <x v="1502"/>
    <x v="1"/>
    <x v="0"/>
  </r>
  <r>
    <x v="1512"/>
    <x v="6"/>
    <x v="0"/>
    <x v="0"/>
    <x v="6"/>
    <x v="1"/>
    <x v="11"/>
    <x v="1503"/>
    <x v="1"/>
    <x v="4"/>
  </r>
  <r>
    <x v="1513"/>
    <x v="26"/>
    <x v="0"/>
    <x v="6"/>
    <x v="3"/>
    <x v="0"/>
    <x v="4"/>
    <x v="1504"/>
    <x v="0"/>
    <x v="1"/>
  </r>
  <r>
    <x v="1514"/>
    <x v="82"/>
    <x v="0"/>
    <x v="9"/>
    <x v="8"/>
    <x v="2"/>
    <x v="3"/>
    <x v="1505"/>
    <x v="1"/>
    <x v="0"/>
  </r>
  <r>
    <x v="1515"/>
    <x v="9"/>
    <x v="0"/>
    <x v="9"/>
    <x v="2"/>
    <x v="1"/>
    <x v="14"/>
    <x v="1506"/>
    <x v="0"/>
    <x v="0"/>
  </r>
  <r>
    <x v="1516"/>
    <x v="20"/>
    <x v="0"/>
    <x v="4"/>
    <x v="6"/>
    <x v="0"/>
    <x v="14"/>
    <x v="1507"/>
    <x v="0"/>
    <x v="1"/>
  </r>
  <r>
    <x v="1517"/>
    <x v="17"/>
    <x v="0"/>
    <x v="0"/>
    <x v="3"/>
    <x v="1"/>
    <x v="6"/>
    <x v="1508"/>
    <x v="0"/>
    <x v="1"/>
  </r>
  <r>
    <x v="1518"/>
    <x v="9"/>
    <x v="0"/>
    <x v="9"/>
    <x v="2"/>
    <x v="0"/>
    <x v="6"/>
    <x v="1509"/>
    <x v="1"/>
    <x v="3"/>
  </r>
  <r>
    <x v="1519"/>
    <x v="73"/>
    <x v="1"/>
    <x v="3"/>
    <x v="0"/>
    <x v="0"/>
    <x v="9"/>
    <x v="1510"/>
    <x v="0"/>
    <x v="3"/>
  </r>
  <r>
    <x v="1520"/>
    <x v="37"/>
    <x v="1"/>
    <x v="4"/>
    <x v="5"/>
    <x v="1"/>
    <x v="10"/>
    <x v="1511"/>
    <x v="1"/>
    <x v="0"/>
  </r>
  <r>
    <x v="1521"/>
    <x v="35"/>
    <x v="1"/>
    <x v="5"/>
    <x v="6"/>
    <x v="0"/>
    <x v="3"/>
    <x v="1512"/>
    <x v="1"/>
    <x v="1"/>
  </r>
  <r>
    <x v="1522"/>
    <x v="80"/>
    <x v="0"/>
    <x v="6"/>
    <x v="4"/>
    <x v="2"/>
    <x v="13"/>
    <x v="1513"/>
    <x v="1"/>
    <x v="2"/>
  </r>
  <r>
    <x v="1523"/>
    <x v="28"/>
    <x v="0"/>
    <x v="4"/>
    <x v="7"/>
    <x v="0"/>
    <x v="0"/>
    <x v="1514"/>
    <x v="0"/>
    <x v="4"/>
  </r>
  <r>
    <x v="1524"/>
    <x v="38"/>
    <x v="0"/>
    <x v="7"/>
    <x v="1"/>
    <x v="1"/>
    <x v="4"/>
    <x v="1515"/>
    <x v="1"/>
    <x v="4"/>
  </r>
  <r>
    <x v="1525"/>
    <x v="12"/>
    <x v="0"/>
    <x v="8"/>
    <x v="5"/>
    <x v="2"/>
    <x v="11"/>
    <x v="1516"/>
    <x v="0"/>
    <x v="2"/>
  </r>
  <r>
    <x v="1526"/>
    <x v="85"/>
    <x v="1"/>
    <x v="5"/>
    <x v="5"/>
    <x v="1"/>
    <x v="4"/>
    <x v="1517"/>
    <x v="1"/>
    <x v="4"/>
  </r>
  <r>
    <x v="1527"/>
    <x v="12"/>
    <x v="0"/>
    <x v="3"/>
    <x v="4"/>
    <x v="1"/>
    <x v="0"/>
    <x v="1518"/>
    <x v="0"/>
    <x v="2"/>
  </r>
  <r>
    <x v="1528"/>
    <x v="14"/>
    <x v="1"/>
    <x v="4"/>
    <x v="2"/>
    <x v="2"/>
    <x v="11"/>
    <x v="1519"/>
    <x v="0"/>
    <x v="4"/>
  </r>
  <r>
    <x v="1529"/>
    <x v="21"/>
    <x v="0"/>
    <x v="4"/>
    <x v="7"/>
    <x v="2"/>
    <x v="6"/>
    <x v="1520"/>
    <x v="0"/>
    <x v="3"/>
  </r>
  <r>
    <x v="1530"/>
    <x v="34"/>
    <x v="1"/>
    <x v="2"/>
    <x v="7"/>
    <x v="2"/>
    <x v="8"/>
    <x v="1521"/>
    <x v="1"/>
    <x v="1"/>
  </r>
  <r>
    <x v="1531"/>
    <x v="18"/>
    <x v="0"/>
    <x v="9"/>
    <x v="6"/>
    <x v="0"/>
    <x v="8"/>
    <x v="1522"/>
    <x v="0"/>
    <x v="2"/>
  </r>
  <r>
    <x v="1532"/>
    <x v="10"/>
    <x v="1"/>
    <x v="2"/>
    <x v="3"/>
    <x v="2"/>
    <x v="1"/>
    <x v="1523"/>
    <x v="1"/>
    <x v="1"/>
  </r>
  <r>
    <x v="1533"/>
    <x v="43"/>
    <x v="0"/>
    <x v="6"/>
    <x v="2"/>
    <x v="2"/>
    <x v="12"/>
    <x v="1524"/>
    <x v="1"/>
    <x v="3"/>
  </r>
  <r>
    <x v="1534"/>
    <x v="6"/>
    <x v="1"/>
    <x v="0"/>
    <x v="6"/>
    <x v="1"/>
    <x v="10"/>
    <x v="1525"/>
    <x v="0"/>
    <x v="2"/>
  </r>
  <r>
    <x v="1535"/>
    <x v="31"/>
    <x v="1"/>
    <x v="9"/>
    <x v="5"/>
    <x v="1"/>
    <x v="6"/>
    <x v="228"/>
    <x v="1"/>
    <x v="0"/>
  </r>
  <r>
    <x v="1536"/>
    <x v="31"/>
    <x v="1"/>
    <x v="0"/>
    <x v="3"/>
    <x v="1"/>
    <x v="3"/>
    <x v="1526"/>
    <x v="1"/>
    <x v="0"/>
  </r>
  <r>
    <x v="1537"/>
    <x v="19"/>
    <x v="1"/>
    <x v="8"/>
    <x v="0"/>
    <x v="0"/>
    <x v="11"/>
    <x v="1527"/>
    <x v="0"/>
    <x v="1"/>
  </r>
  <r>
    <x v="1538"/>
    <x v="7"/>
    <x v="0"/>
    <x v="9"/>
    <x v="5"/>
    <x v="0"/>
    <x v="13"/>
    <x v="1528"/>
    <x v="1"/>
    <x v="1"/>
  </r>
  <r>
    <x v="1539"/>
    <x v="66"/>
    <x v="1"/>
    <x v="5"/>
    <x v="3"/>
    <x v="2"/>
    <x v="6"/>
    <x v="1529"/>
    <x v="1"/>
    <x v="3"/>
  </r>
  <r>
    <x v="1540"/>
    <x v="49"/>
    <x v="1"/>
    <x v="5"/>
    <x v="6"/>
    <x v="0"/>
    <x v="5"/>
    <x v="1530"/>
    <x v="0"/>
    <x v="3"/>
  </r>
  <r>
    <x v="1541"/>
    <x v="45"/>
    <x v="0"/>
    <x v="5"/>
    <x v="6"/>
    <x v="0"/>
    <x v="1"/>
    <x v="1531"/>
    <x v="0"/>
    <x v="3"/>
  </r>
  <r>
    <x v="1542"/>
    <x v="48"/>
    <x v="0"/>
    <x v="7"/>
    <x v="4"/>
    <x v="0"/>
    <x v="3"/>
    <x v="1532"/>
    <x v="1"/>
    <x v="0"/>
  </r>
  <r>
    <x v="1543"/>
    <x v="57"/>
    <x v="0"/>
    <x v="5"/>
    <x v="1"/>
    <x v="1"/>
    <x v="3"/>
    <x v="1533"/>
    <x v="0"/>
    <x v="3"/>
  </r>
  <r>
    <x v="1544"/>
    <x v="67"/>
    <x v="1"/>
    <x v="4"/>
    <x v="5"/>
    <x v="1"/>
    <x v="10"/>
    <x v="1534"/>
    <x v="1"/>
    <x v="4"/>
  </r>
  <r>
    <x v="1545"/>
    <x v="64"/>
    <x v="0"/>
    <x v="4"/>
    <x v="1"/>
    <x v="1"/>
    <x v="1"/>
    <x v="1535"/>
    <x v="0"/>
    <x v="1"/>
  </r>
  <r>
    <x v="1546"/>
    <x v="19"/>
    <x v="1"/>
    <x v="5"/>
    <x v="7"/>
    <x v="2"/>
    <x v="7"/>
    <x v="1536"/>
    <x v="1"/>
    <x v="3"/>
  </r>
  <r>
    <x v="1547"/>
    <x v="87"/>
    <x v="1"/>
    <x v="3"/>
    <x v="9"/>
    <x v="2"/>
    <x v="1"/>
    <x v="1537"/>
    <x v="0"/>
    <x v="0"/>
  </r>
  <r>
    <x v="1548"/>
    <x v="84"/>
    <x v="0"/>
    <x v="4"/>
    <x v="5"/>
    <x v="0"/>
    <x v="13"/>
    <x v="1538"/>
    <x v="1"/>
    <x v="1"/>
  </r>
  <r>
    <x v="1549"/>
    <x v="67"/>
    <x v="1"/>
    <x v="3"/>
    <x v="4"/>
    <x v="2"/>
    <x v="5"/>
    <x v="1539"/>
    <x v="0"/>
    <x v="2"/>
  </r>
  <r>
    <x v="1550"/>
    <x v="68"/>
    <x v="1"/>
    <x v="8"/>
    <x v="2"/>
    <x v="2"/>
    <x v="13"/>
    <x v="1540"/>
    <x v="0"/>
    <x v="4"/>
  </r>
  <r>
    <x v="1551"/>
    <x v="64"/>
    <x v="1"/>
    <x v="2"/>
    <x v="1"/>
    <x v="0"/>
    <x v="11"/>
    <x v="1541"/>
    <x v="0"/>
    <x v="1"/>
  </r>
  <r>
    <x v="1552"/>
    <x v="40"/>
    <x v="0"/>
    <x v="4"/>
    <x v="9"/>
    <x v="1"/>
    <x v="12"/>
    <x v="1542"/>
    <x v="0"/>
    <x v="0"/>
  </r>
  <r>
    <x v="1553"/>
    <x v="57"/>
    <x v="1"/>
    <x v="8"/>
    <x v="3"/>
    <x v="0"/>
    <x v="14"/>
    <x v="1543"/>
    <x v="1"/>
    <x v="4"/>
  </r>
  <r>
    <x v="1554"/>
    <x v="28"/>
    <x v="0"/>
    <x v="0"/>
    <x v="1"/>
    <x v="0"/>
    <x v="2"/>
    <x v="1544"/>
    <x v="1"/>
    <x v="3"/>
  </r>
  <r>
    <x v="1555"/>
    <x v="55"/>
    <x v="0"/>
    <x v="9"/>
    <x v="3"/>
    <x v="0"/>
    <x v="6"/>
    <x v="1545"/>
    <x v="0"/>
    <x v="4"/>
  </r>
  <r>
    <x v="1556"/>
    <x v="59"/>
    <x v="0"/>
    <x v="6"/>
    <x v="0"/>
    <x v="0"/>
    <x v="10"/>
    <x v="1546"/>
    <x v="0"/>
    <x v="4"/>
  </r>
  <r>
    <x v="1557"/>
    <x v="11"/>
    <x v="0"/>
    <x v="9"/>
    <x v="5"/>
    <x v="1"/>
    <x v="7"/>
    <x v="1547"/>
    <x v="0"/>
    <x v="3"/>
  </r>
  <r>
    <x v="1558"/>
    <x v="47"/>
    <x v="1"/>
    <x v="6"/>
    <x v="0"/>
    <x v="1"/>
    <x v="6"/>
    <x v="1548"/>
    <x v="1"/>
    <x v="4"/>
  </r>
  <r>
    <x v="1559"/>
    <x v="71"/>
    <x v="1"/>
    <x v="9"/>
    <x v="8"/>
    <x v="1"/>
    <x v="14"/>
    <x v="1549"/>
    <x v="0"/>
    <x v="3"/>
  </r>
  <r>
    <x v="1560"/>
    <x v="30"/>
    <x v="1"/>
    <x v="9"/>
    <x v="9"/>
    <x v="0"/>
    <x v="13"/>
    <x v="1550"/>
    <x v="0"/>
    <x v="1"/>
  </r>
  <r>
    <x v="1561"/>
    <x v="83"/>
    <x v="0"/>
    <x v="4"/>
    <x v="0"/>
    <x v="1"/>
    <x v="7"/>
    <x v="1551"/>
    <x v="0"/>
    <x v="1"/>
  </r>
  <r>
    <x v="1562"/>
    <x v="85"/>
    <x v="0"/>
    <x v="2"/>
    <x v="9"/>
    <x v="2"/>
    <x v="13"/>
    <x v="1552"/>
    <x v="1"/>
    <x v="3"/>
  </r>
  <r>
    <x v="1563"/>
    <x v="28"/>
    <x v="1"/>
    <x v="4"/>
    <x v="5"/>
    <x v="1"/>
    <x v="14"/>
    <x v="1553"/>
    <x v="1"/>
    <x v="2"/>
  </r>
  <r>
    <x v="1564"/>
    <x v="30"/>
    <x v="1"/>
    <x v="3"/>
    <x v="7"/>
    <x v="2"/>
    <x v="5"/>
    <x v="1554"/>
    <x v="0"/>
    <x v="0"/>
  </r>
  <r>
    <x v="1565"/>
    <x v="29"/>
    <x v="0"/>
    <x v="3"/>
    <x v="3"/>
    <x v="0"/>
    <x v="5"/>
    <x v="1555"/>
    <x v="0"/>
    <x v="2"/>
  </r>
  <r>
    <x v="1566"/>
    <x v="67"/>
    <x v="0"/>
    <x v="5"/>
    <x v="4"/>
    <x v="1"/>
    <x v="13"/>
    <x v="1556"/>
    <x v="1"/>
    <x v="0"/>
  </r>
  <r>
    <x v="1567"/>
    <x v="25"/>
    <x v="0"/>
    <x v="4"/>
    <x v="8"/>
    <x v="2"/>
    <x v="2"/>
    <x v="1557"/>
    <x v="0"/>
    <x v="3"/>
  </r>
  <r>
    <x v="1568"/>
    <x v="52"/>
    <x v="1"/>
    <x v="4"/>
    <x v="6"/>
    <x v="0"/>
    <x v="10"/>
    <x v="1558"/>
    <x v="0"/>
    <x v="2"/>
  </r>
  <r>
    <x v="1569"/>
    <x v="73"/>
    <x v="1"/>
    <x v="2"/>
    <x v="8"/>
    <x v="1"/>
    <x v="12"/>
    <x v="1559"/>
    <x v="1"/>
    <x v="4"/>
  </r>
  <r>
    <x v="1570"/>
    <x v="31"/>
    <x v="0"/>
    <x v="7"/>
    <x v="7"/>
    <x v="0"/>
    <x v="13"/>
    <x v="1560"/>
    <x v="1"/>
    <x v="2"/>
  </r>
  <r>
    <x v="1571"/>
    <x v="2"/>
    <x v="1"/>
    <x v="1"/>
    <x v="6"/>
    <x v="2"/>
    <x v="11"/>
    <x v="1561"/>
    <x v="1"/>
    <x v="4"/>
  </r>
  <r>
    <x v="1572"/>
    <x v="19"/>
    <x v="1"/>
    <x v="7"/>
    <x v="2"/>
    <x v="0"/>
    <x v="6"/>
    <x v="1562"/>
    <x v="1"/>
    <x v="0"/>
  </r>
  <r>
    <x v="1573"/>
    <x v="7"/>
    <x v="0"/>
    <x v="8"/>
    <x v="2"/>
    <x v="2"/>
    <x v="11"/>
    <x v="1563"/>
    <x v="1"/>
    <x v="4"/>
  </r>
  <r>
    <x v="1574"/>
    <x v="56"/>
    <x v="0"/>
    <x v="3"/>
    <x v="8"/>
    <x v="1"/>
    <x v="11"/>
    <x v="1564"/>
    <x v="0"/>
    <x v="2"/>
  </r>
  <r>
    <x v="1575"/>
    <x v="79"/>
    <x v="0"/>
    <x v="5"/>
    <x v="3"/>
    <x v="0"/>
    <x v="10"/>
    <x v="1565"/>
    <x v="1"/>
    <x v="0"/>
  </r>
  <r>
    <x v="1576"/>
    <x v="81"/>
    <x v="1"/>
    <x v="7"/>
    <x v="8"/>
    <x v="1"/>
    <x v="12"/>
    <x v="1566"/>
    <x v="1"/>
    <x v="4"/>
  </r>
  <r>
    <x v="1577"/>
    <x v="80"/>
    <x v="1"/>
    <x v="6"/>
    <x v="4"/>
    <x v="0"/>
    <x v="14"/>
    <x v="1567"/>
    <x v="0"/>
    <x v="4"/>
  </r>
  <r>
    <x v="1578"/>
    <x v="60"/>
    <x v="0"/>
    <x v="3"/>
    <x v="8"/>
    <x v="1"/>
    <x v="1"/>
    <x v="1568"/>
    <x v="1"/>
    <x v="3"/>
  </r>
  <r>
    <x v="1579"/>
    <x v="66"/>
    <x v="1"/>
    <x v="1"/>
    <x v="0"/>
    <x v="0"/>
    <x v="1"/>
    <x v="1569"/>
    <x v="1"/>
    <x v="2"/>
  </r>
  <r>
    <x v="1580"/>
    <x v="57"/>
    <x v="0"/>
    <x v="4"/>
    <x v="7"/>
    <x v="2"/>
    <x v="14"/>
    <x v="1570"/>
    <x v="1"/>
    <x v="1"/>
  </r>
  <r>
    <x v="1581"/>
    <x v="76"/>
    <x v="0"/>
    <x v="5"/>
    <x v="4"/>
    <x v="0"/>
    <x v="12"/>
    <x v="1571"/>
    <x v="0"/>
    <x v="2"/>
  </r>
  <r>
    <x v="1582"/>
    <x v="47"/>
    <x v="0"/>
    <x v="9"/>
    <x v="0"/>
    <x v="1"/>
    <x v="0"/>
    <x v="1572"/>
    <x v="1"/>
    <x v="2"/>
  </r>
  <r>
    <x v="1583"/>
    <x v="7"/>
    <x v="0"/>
    <x v="9"/>
    <x v="2"/>
    <x v="1"/>
    <x v="9"/>
    <x v="1573"/>
    <x v="1"/>
    <x v="0"/>
  </r>
  <r>
    <x v="1584"/>
    <x v="16"/>
    <x v="0"/>
    <x v="9"/>
    <x v="0"/>
    <x v="1"/>
    <x v="1"/>
    <x v="1574"/>
    <x v="1"/>
    <x v="4"/>
  </r>
  <r>
    <x v="1585"/>
    <x v="11"/>
    <x v="0"/>
    <x v="2"/>
    <x v="4"/>
    <x v="1"/>
    <x v="7"/>
    <x v="1575"/>
    <x v="0"/>
    <x v="0"/>
  </r>
  <r>
    <x v="1586"/>
    <x v="2"/>
    <x v="1"/>
    <x v="2"/>
    <x v="8"/>
    <x v="2"/>
    <x v="5"/>
    <x v="1576"/>
    <x v="1"/>
    <x v="3"/>
  </r>
  <r>
    <x v="1587"/>
    <x v="33"/>
    <x v="1"/>
    <x v="2"/>
    <x v="5"/>
    <x v="0"/>
    <x v="3"/>
    <x v="1577"/>
    <x v="1"/>
    <x v="2"/>
  </r>
  <r>
    <x v="1588"/>
    <x v="2"/>
    <x v="0"/>
    <x v="4"/>
    <x v="3"/>
    <x v="1"/>
    <x v="11"/>
    <x v="1578"/>
    <x v="0"/>
    <x v="3"/>
  </r>
  <r>
    <x v="1589"/>
    <x v="48"/>
    <x v="0"/>
    <x v="8"/>
    <x v="0"/>
    <x v="0"/>
    <x v="6"/>
    <x v="1579"/>
    <x v="1"/>
    <x v="3"/>
  </r>
  <r>
    <x v="1590"/>
    <x v="0"/>
    <x v="0"/>
    <x v="3"/>
    <x v="4"/>
    <x v="2"/>
    <x v="4"/>
    <x v="1580"/>
    <x v="0"/>
    <x v="4"/>
  </r>
  <r>
    <x v="1591"/>
    <x v="53"/>
    <x v="0"/>
    <x v="7"/>
    <x v="7"/>
    <x v="2"/>
    <x v="12"/>
    <x v="1581"/>
    <x v="1"/>
    <x v="0"/>
  </r>
  <r>
    <x v="1592"/>
    <x v="15"/>
    <x v="0"/>
    <x v="5"/>
    <x v="7"/>
    <x v="1"/>
    <x v="2"/>
    <x v="1582"/>
    <x v="0"/>
    <x v="1"/>
  </r>
  <r>
    <x v="1593"/>
    <x v="15"/>
    <x v="0"/>
    <x v="2"/>
    <x v="6"/>
    <x v="2"/>
    <x v="5"/>
    <x v="1583"/>
    <x v="1"/>
    <x v="2"/>
  </r>
  <r>
    <x v="1594"/>
    <x v="2"/>
    <x v="1"/>
    <x v="8"/>
    <x v="4"/>
    <x v="2"/>
    <x v="4"/>
    <x v="1584"/>
    <x v="0"/>
    <x v="3"/>
  </r>
  <r>
    <x v="1595"/>
    <x v="69"/>
    <x v="0"/>
    <x v="0"/>
    <x v="4"/>
    <x v="1"/>
    <x v="11"/>
    <x v="1585"/>
    <x v="0"/>
    <x v="1"/>
  </r>
  <r>
    <x v="1596"/>
    <x v="54"/>
    <x v="0"/>
    <x v="6"/>
    <x v="9"/>
    <x v="2"/>
    <x v="6"/>
    <x v="1586"/>
    <x v="1"/>
    <x v="3"/>
  </r>
  <r>
    <x v="1597"/>
    <x v="11"/>
    <x v="0"/>
    <x v="4"/>
    <x v="9"/>
    <x v="0"/>
    <x v="11"/>
    <x v="1587"/>
    <x v="0"/>
    <x v="4"/>
  </r>
  <r>
    <x v="1598"/>
    <x v="84"/>
    <x v="1"/>
    <x v="4"/>
    <x v="1"/>
    <x v="2"/>
    <x v="3"/>
    <x v="1588"/>
    <x v="0"/>
    <x v="2"/>
  </r>
  <r>
    <x v="1599"/>
    <x v="88"/>
    <x v="1"/>
    <x v="3"/>
    <x v="7"/>
    <x v="0"/>
    <x v="8"/>
    <x v="1589"/>
    <x v="1"/>
    <x v="2"/>
  </r>
  <r>
    <x v="1600"/>
    <x v="37"/>
    <x v="1"/>
    <x v="5"/>
    <x v="9"/>
    <x v="2"/>
    <x v="2"/>
    <x v="1590"/>
    <x v="1"/>
    <x v="3"/>
  </r>
  <r>
    <x v="1601"/>
    <x v="17"/>
    <x v="1"/>
    <x v="6"/>
    <x v="4"/>
    <x v="0"/>
    <x v="5"/>
    <x v="1591"/>
    <x v="0"/>
    <x v="0"/>
  </r>
  <r>
    <x v="1602"/>
    <x v="73"/>
    <x v="1"/>
    <x v="4"/>
    <x v="2"/>
    <x v="1"/>
    <x v="0"/>
    <x v="1592"/>
    <x v="1"/>
    <x v="4"/>
  </r>
  <r>
    <x v="1603"/>
    <x v="66"/>
    <x v="0"/>
    <x v="0"/>
    <x v="1"/>
    <x v="2"/>
    <x v="2"/>
    <x v="1593"/>
    <x v="1"/>
    <x v="4"/>
  </r>
  <r>
    <x v="1604"/>
    <x v="45"/>
    <x v="0"/>
    <x v="1"/>
    <x v="9"/>
    <x v="1"/>
    <x v="3"/>
    <x v="1594"/>
    <x v="1"/>
    <x v="2"/>
  </r>
  <r>
    <x v="1605"/>
    <x v="69"/>
    <x v="0"/>
    <x v="0"/>
    <x v="7"/>
    <x v="1"/>
    <x v="2"/>
    <x v="1595"/>
    <x v="0"/>
    <x v="4"/>
  </r>
  <r>
    <x v="1606"/>
    <x v="58"/>
    <x v="1"/>
    <x v="4"/>
    <x v="6"/>
    <x v="2"/>
    <x v="1"/>
    <x v="1596"/>
    <x v="0"/>
    <x v="3"/>
  </r>
  <r>
    <x v="1607"/>
    <x v="72"/>
    <x v="0"/>
    <x v="6"/>
    <x v="2"/>
    <x v="0"/>
    <x v="7"/>
    <x v="1597"/>
    <x v="0"/>
    <x v="2"/>
  </r>
  <r>
    <x v="1608"/>
    <x v="50"/>
    <x v="0"/>
    <x v="2"/>
    <x v="4"/>
    <x v="0"/>
    <x v="1"/>
    <x v="1598"/>
    <x v="1"/>
    <x v="2"/>
  </r>
  <r>
    <x v="1609"/>
    <x v="0"/>
    <x v="0"/>
    <x v="2"/>
    <x v="5"/>
    <x v="2"/>
    <x v="12"/>
    <x v="1599"/>
    <x v="1"/>
    <x v="0"/>
  </r>
  <r>
    <x v="1610"/>
    <x v="8"/>
    <x v="1"/>
    <x v="5"/>
    <x v="6"/>
    <x v="1"/>
    <x v="14"/>
    <x v="1600"/>
    <x v="1"/>
    <x v="4"/>
  </r>
  <r>
    <x v="1611"/>
    <x v="34"/>
    <x v="1"/>
    <x v="5"/>
    <x v="3"/>
    <x v="1"/>
    <x v="9"/>
    <x v="1601"/>
    <x v="0"/>
    <x v="3"/>
  </r>
  <r>
    <x v="1612"/>
    <x v="14"/>
    <x v="0"/>
    <x v="8"/>
    <x v="7"/>
    <x v="0"/>
    <x v="2"/>
    <x v="1602"/>
    <x v="0"/>
    <x v="3"/>
  </r>
  <r>
    <x v="1613"/>
    <x v="15"/>
    <x v="0"/>
    <x v="4"/>
    <x v="9"/>
    <x v="2"/>
    <x v="1"/>
    <x v="1603"/>
    <x v="1"/>
    <x v="4"/>
  </r>
  <r>
    <x v="1614"/>
    <x v="31"/>
    <x v="0"/>
    <x v="3"/>
    <x v="2"/>
    <x v="0"/>
    <x v="5"/>
    <x v="1604"/>
    <x v="0"/>
    <x v="0"/>
  </r>
  <r>
    <x v="1615"/>
    <x v="82"/>
    <x v="0"/>
    <x v="1"/>
    <x v="7"/>
    <x v="0"/>
    <x v="6"/>
    <x v="1605"/>
    <x v="1"/>
    <x v="3"/>
  </r>
  <r>
    <x v="1616"/>
    <x v="49"/>
    <x v="1"/>
    <x v="7"/>
    <x v="3"/>
    <x v="0"/>
    <x v="7"/>
    <x v="1606"/>
    <x v="0"/>
    <x v="4"/>
  </r>
  <r>
    <x v="1617"/>
    <x v="50"/>
    <x v="1"/>
    <x v="6"/>
    <x v="2"/>
    <x v="0"/>
    <x v="9"/>
    <x v="1607"/>
    <x v="0"/>
    <x v="1"/>
  </r>
  <r>
    <x v="1618"/>
    <x v="36"/>
    <x v="1"/>
    <x v="9"/>
    <x v="6"/>
    <x v="0"/>
    <x v="4"/>
    <x v="1608"/>
    <x v="0"/>
    <x v="1"/>
  </r>
  <r>
    <x v="1619"/>
    <x v="23"/>
    <x v="0"/>
    <x v="0"/>
    <x v="1"/>
    <x v="0"/>
    <x v="11"/>
    <x v="1609"/>
    <x v="0"/>
    <x v="1"/>
  </r>
  <r>
    <x v="1620"/>
    <x v="78"/>
    <x v="1"/>
    <x v="8"/>
    <x v="7"/>
    <x v="0"/>
    <x v="10"/>
    <x v="1610"/>
    <x v="0"/>
    <x v="2"/>
  </r>
  <r>
    <x v="1621"/>
    <x v="50"/>
    <x v="0"/>
    <x v="2"/>
    <x v="7"/>
    <x v="2"/>
    <x v="3"/>
    <x v="1611"/>
    <x v="1"/>
    <x v="0"/>
  </r>
  <r>
    <x v="1622"/>
    <x v="23"/>
    <x v="1"/>
    <x v="5"/>
    <x v="2"/>
    <x v="2"/>
    <x v="14"/>
    <x v="1612"/>
    <x v="0"/>
    <x v="2"/>
  </r>
  <r>
    <x v="1623"/>
    <x v="31"/>
    <x v="1"/>
    <x v="7"/>
    <x v="9"/>
    <x v="2"/>
    <x v="8"/>
    <x v="1613"/>
    <x v="0"/>
    <x v="1"/>
  </r>
  <r>
    <x v="1624"/>
    <x v="13"/>
    <x v="0"/>
    <x v="3"/>
    <x v="2"/>
    <x v="0"/>
    <x v="4"/>
    <x v="1614"/>
    <x v="1"/>
    <x v="2"/>
  </r>
  <r>
    <x v="1625"/>
    <x v="41"/>
    <x v="1"/>
    <x v="8"/>
    <x v="0"/>
    <x v="2"/>
    <x v="6"/>
    <x v="1615"/>
    <x v="0"/>
    <x v="1"/>
  </r>
  <r>
    <x v="1626"/>
    <x v="30"/>
    <x v="0"/>
    <x v="4"/>
    <x v="9"/>
    <x v="0"/>
    <x v="9"/>
    <x v="1616"/>
    <x v="0"/>
    <x v="1"/>
  </r>
  <r>
    <x v="1627"/>
    <x v="66"/>
    <x v="0"/>
    <x v="8"/>
    <x v="1"/>
    <x v="1"/>
    <x v="7"/>
    <x v="1617"/>
    <x v="1"/>
    <x v="1"/>
  </r>
  <r>
    <x v="1628"/>
    <x v="49"/>
    <x v="0"/>
    <x v="3"/>
    <x v="2"/>
    <x v="0"/>
    <x v="6"/>
    <x v="1618"/>
    <x v="0"/>
    <x v="3"/>
  </r>
  <r>
    <x v="1629"/>
    <x v="19"/>
    <x v="0"/>
    <x v="1"/>
    <x v="7"/>
    <x v="2"/>
    <x v="4"/>
    <x v="1619"/>
    <x v="1"/>
    <x v="0"/>
  </r>
  <r>
    <x v="1630"/>
    <x v="64"/>
    <x v="0"/>
    <x v="9"/>
    <x v="6"/>
    <x v="2"/>
    <x v="3"/>
    <x v="1620"/>
    <x v="1"/>
    <x v="1"/>
  </r>
  <r>
    <x v="1631"/>
    <x v="0"/>
    <x v="0"/>
    <x v="4"/>
    <x v="4"/>
    <x v="1"/>
    <x v="11"/>
    <x v="1621"/>
    <x v="0"/>
    <x v="2"/>
  </r>
  <r>
    <x v="1632"/>
    <x v="29"/>
    <x v="1"/>
    <x v="4"/>
    <x v="9"/>
    <x v="0"/>
    <x v="0"/>
    <x v="1622"/>
    <x v="0"/>
    <x v="2"/>
  </r>
  <r>
    <x v="1633"/>
    <x v="31"/>
    <x v="0"/>
    <x v="2"/>
    <x v="6"/>
    <x v="0"/>
    <x v="13"/>
    <x v="1119"/>
    <x v="1"/>
    <x v="0"/>
  </r>
  <r>
    <x v="1634"/>
    <x v="55"/>
    <x v="1"/>
    <x v="2"/>
    <x v="0"/>
    <x v="2"/>
    <x v="1"/>
    <x v="1623"/>
    <x v="0"/>
    <x v="2"/>
  </r>
  <r>
    <x v="1635"/>
    <x v="16"/>
    <x v="0"/>
    <x v="6"/>
    <x v="6"/>
    <x v="0"/>
    <x v="5"/>
    <x v="1624"/>
    <x v="1"/>
    <x v="4"/>
  </r>
  <r>
    <x v="1636"/>
    <x v="56"/>
    <x v="1"/>
    <x v="1"/>
    <x v="6"/>
    <x v="0"/>
    <x v="1"/>
    <x v="1625"/>
    <x v="0"/>
    <x v="4"/>
  </r>
  <r>
    <x v="1637"/>
    <x v="32"/>
    <x v="1"/>
    <x v="2"/>
    <x v="8"/>
    <x v="0"/>
    <x v="11"/>
    <x v="1626"/>
    <x v="0"/>
    <x v="0"/>
  </r>
  <r>
    <x v="1638"/>
    <x v="59"/>
    <x v="1"/>
    <x v="7"/>
    <x v="4"/>
    <x v="2"/>
    <x v="14"/>
    <x v="1627"/>
    <x v="1"/>
    <x v="4"/>
  </r>
  <r>
    <x v="1639"/>
    <x v="41"/>
    <x v="1"/>
    <x v="7"/>
    <x v="3"/>
    <x v="1"/>
    <x v="8"/>
    <x v="1628"/>
    <x v="0"/>
    <x v="4"/>
  </r>
  <r>
    <x v="1640"/>
    <x v="89"/>
    <x v="0"/>
    <x v="8"/>
    <x v="8"/>
    <x v="0"/>
    <x v="3"/>
    <x v="1629"/>
    <x v="1"/>
    <x v="4"/>
  </r>
  <r>
    <x v="1641"/>
    <x v="27"/>
    <x v="1"/>
    <x v="3"/>
    <x v="5"/>
    <x v="2"/>
    <x v="11"/>
    <x v="1630"/>
    <x v="0"/>
    <x v="4"/>
  </r>
  <r>
    <x v="1642"/>
    <x v="62"/>
    <x v="0"/>
    <x v="6"/>
    <x v="9"/>
    <x v="1"/>
    <x v="11"/>
    <x v="1631"/>
    <x v="0"/>
    <x v="3"/>
  </r>
  <r>
    <x v="1643"/>
    <x v="7"/>
    <x v="1"/>
    <x v="6"/>
    <x v="3"/>
    <x v="2"/>
    <x v="8"/>
    <x v="1632"/>
    <x v="0"/>
    <x v="4"/>
  </r>
  <r>
    <x v="1644"/>
    <x v="17"/>
    <x v="0"/>
    <x v="1"/>
    <x v="5"/>
    <x v="0"/>
    <x v="10"/>
    <x v="1633"/>
    <x v="0"/>
    <x v="4"/>
  </r>
  <r>
    <x v="1645"/>
    <x v="48"/>
    <x v="1"/>
    <x v="8"/>
    <x v="0"/>
    <x v="2"/>
    <x v="5"/>
    <x v="1634"/>
    <x v="1"/>
    <x v="4"/>
  </r>
  <r>
    <x v="1646"/>
    <x v="43"/>
    <x v="0"/>
    <x v="4"/>
    <x v="6"/>
    <x v="1"/>
    <x v="12"/>
    <x v="1635"/>
    <x v="0"/>
    <x v="0"/>
  </r>
  <r>
    <x v="1647"/>
    <x v="1"/>
    <x v="1"/>
    <x v="6"/>
    <x v="9"/>
    <x v="2"/>
    <x v="3"/>
    <x v="1636"/>
    <x v="0"/>
    <x v="4"/>
  </r>
  <r>
    <x v="1648"/>
    <x v="29"/>
    <x v="0"/>
    <x v="4"/>
    <x v="1"/>
    <x v="2"/>
    <x v="9"/>
    <x v="1637"/>
    <x v="1"/>
    <x v="4"/>
  </r>
  <r>
    <x v="1649"/>
    <x v="84"/>
    <x v="1"/>
    <x v="1"/>
    <x v="1"/>
    <x v="0"/>
    <x v="13"/>
    <x v="1638"/>
    <x v="1"/>
    <x v="2"/>
  </r>
  <r>
    <x v="1650"/>
    <x v="21"/>
    <x v="0"/>
    <x v="3"/>
    <x v="2"/>
    <x v="0"/>
    <x v="3"/>
    <x v="1639"/>
    <x v="1"/>
    <x v="3"/>
  </r>
  <r>
    <x v="1651"/>
    <x v="1"/>
    <x v="1"/>
    <x v="4"/>
    <x v="1"/>
    <x v="1"/>
    <x v="5"/>
    <x v="1640"/>
    <x v="0"/>
    <x v="4"/>
  </r>
  <r>
    <x v="1652"/>
    <x v="47"/>
    <x v="1"/>
    <x v="3"/>
    <x v="8"/>
    <x v="1"/>
    <x v="10"/>
    <x v="1389"/>
    <x v="1"/>
    <x v="1"/>
  </r>
  <r>
    <x v="1653"/>
    <x v="59"/>
    <x v="1"/>
    <x v="5"/>
    <x v="2"/>
    <x v="0"/>
    <x v="4"/>
    <x v="1641"/>
    <x v="0"/>
    <x v="1"/>
  </r>
  <r>
    <x v="1654"/>
    <x v="78"/>
    <x v="0"/>
    <x v="6"/>
    <x v="9"/>
    <x v="1"/>
    <x v="6"/>
    <x v="1642"/>
    <x v="0"/>
    <x v="4"/>
  </r>
  <r>
    <x v="1655"/>
    <x v="1"/>
    <x v="0"/>
    <x v="5"/>
    <x v="7"/>
    <x v="0"/>
    <x v="13"/>
    <x v="1643"/>
    <x v="1"/>
    <x v="0"/>
  </r>
  <r>
    <x v="1656"/>
    <x v="13"/>
    <x v="1"/>
    <x v="0"/>
    <x v="1"/>
    <x v="2"/>
    <x v="10"/>
    <x v="1644"/>
    <x v="1"/>
    <x v="0"/>
  </r>
  <r>
    <x v="1657"/>
    <x v="79"/>
    <x v="1"/>
    <x v="0"/>
    <x v="4"/>
    <x v="0"/>
    <x v="12"/>
    <x v="1645"/>
    <x v="0"/>
    <x v="2"/>
  </r>
  <r>
    <x v="1658"/>
    <x v="1"/>
    <x v="1"/>
    <x v="9"/>
    <x v="6"/>
    <x v="2"/>
    <x v="7"/>
    <x v="1646"/>
    <x v="1"/>
    <x v="0"/>
  </r>
  <r>
    <x v="1659"/>
    <x v="11"/>
    <x v="1"/>
    <x v="7"/>
    <x v="2"/>
    <x v="0"/>
    <x v="14"/>
    <x v="1647"/>
    <x v="1"/>
    <x v="0"/>
  </r>
  <r>
    <x v="1660"/>
    <x v="54"/>
    <x v="1"/>
    <x v="6"/>
    <x v="9"/>
    <x v="0"/>
    <x v="1"/>
    <x v="1648"/>
    <x v="0"/>
    <x v="1"/>
  </r>
  <r>
    <x v="1661"/>
    <x v="0"/>
    <x v="0"/>
    <x v="1"/>
    <x v="8"/>
    <x v="1"/>
    <x v="1"/>
    <x v="1649"/>
    <x v="1"/>
    <x v="2"/>
  </r>
  <r>
    <x v="1662"/>
    <x v="52"/>
    <x v="1"/>
    <x v="3"/>
    <x v="0"/>
    <x v="1"/>
    <x v="6"/>
    <x v="1650"/>
    <x v="0"/>
    <x v="1"/>
  </r>
  <r>
    <x v="1663"/>
    <x v="71"/>
    <x v="1"/>
    <x v="3"/>
    <x v="8"/>
    <x v="0"/>
    <x v="3"/>
    <x v="1651"/>
    <x v="0"/>
    <x v="1"/>
  </r>
  <r>
    <x v="1664"/>
    <x v="55"/>
    <x v="0"/>
    <x v="1"/>
    <x v="2"/>
    <x v="2"/>
    <x v="8"/>
    <x v="1652"/>
    <x v="0"/>
    <x v="3"/>
  </r>
  <r>
    <x v="1665"/>
    <x v="24"/>
    <x v="0"/>
    <x v="0"/>
    <x v="3"/>
    <x v="2"/>
    <x v="5"/>
    <x v="1653"/>
    <x v="0"/>
    <x v="4"/>
  </r>
  <r>
    <x v="1666"/>
    <x v="78"/>
    <x v="0"/>
    <x v="8"/>
    <x v="0"/>
    <x v="1"/>
    <x v="5"/>
    <x v="1654"/>
    <x v="0"/>
    <x v="0"/>
  </r>
  <r>
    <x v="1667"/>
    <x v="46"/>
    <x v="0"/>
    <x v="7"/>
    <x v="7"/>
    <x v="0"/>
    <x v="7"/>
    <x v="1655"/>
    <x v="0"/>
    <x v="0"/>
  </r>
  <r>
    <x v="1668"/>
    <x v="69"/>
    <x v="0"/>
    <x v="1"/>
    <x v="7"/>
    <x v="1"/>
    <x v="3"/>
    <x v="1656"/>
    <x v="0"/>
    <x v="0"/>
  </r>
  <r>
    <x v="1669"/>
    <x v="66"/>
    <x v="1"/>
    <x v="1"/>
    <x v="4"/>
    <x v="2"/>
    <x v="13"/>
    <x v="1657"/>
    <x v="1"/>
    <x v="2"/>
  </r>
  <r>
    <x v="1670"/>
    <x v="25"/>
    <x v="0"/>
    <x v="3"/>
    <x v="7"/>
    <x v="0"/>
    <x v="12"/>
    <x v="1658"/>
    <x v="0"/>
    <x v="0"/>
  </r>
  <r>
    <x v="1671"/>
    <x v="85"/>
    <x v="0"/>
    <x v="9"/>
    <x v="5"/>
    <x v="0"/>
    <x v="2"/>
    <x v="1659"/>
    <x v="1"/>
    <x v="3"/>
  </r>
  <r>
    <x v="1672"/>
    <x v="18"/>
    <x v="1"/>
    <x v="2"/>
    <x v="4"/>
    <x v="1"/>
    <x v="4"/>
    <x v="1660"/>
    <x v="0"/>
    <x v="2"/>
  </r>
  <r>
    <x v="1673"/>
    <x v="10"/>
    <x v="0"/>
    <x v="8"/>
    <x v="4"/>
    <x v="1"/>
    <x v="6"/>
    <x v="1661"/>
    <x v="1"/>
    <x v="4"/>
  </r>
  <r>
    <x v="1674"/>
    <x v="27"/>
    <x v="1"/>
    <x v="0"/>
    <x v="7"/>
    <x v="2"/>
    <x v="12"/>
    <x v="1662"/>
    <x v="1"/>
    <x v="2"/>
  </r>
  <r>
    <x v="1675"/>
    <x v="48"/>
    <x v="1"/>
    <x v="7"/>
    <x v="7"/>
    <x v="2"/>
    <x v="12"/>
    <x v="1663"/>
    <x v="0"/>
    <x v="2"/>
  </r>
  <r>
    <x v="1676"/>
    <x v="32"/>
    <x v="1"/>
    <x v="2"/>
    <x v="4"/>
    <x v="1"/>
    <x v="11"/>
    <x v="1664"/>
    <x v="0"/>
    <x v="4"/>
  </r>
  <r>
    <x v="1677"/>
    <x v="51"/>
    <x v="1"/>
    <x v="0"/>
    <x v="1"/>
    <x v="0"/>
    <x v="11"/>
    <x v="1665"/>
    <x v="1"/>
    <x v="4"/>
  </r>
  <r>
    <x v="1678"/>
    <x v="49"/>
    <x v="1"/>
    <x v="8"/>
    <x v="5"/>
    <x v="0"/>
    <x v="5"/>
    <x v="1666"/>
    <x v="0"/>
    <x v="0"/>
  </r>
  <r>
    <x v="1679"/>
    <x v="3"/>
    <x v="0"/>
    <x v="3"/>
    <x v="1"/>
    <x v="1"/>
    <x v="9"/>
    <x v="1667"/>
    <x v="0"/>
    <x v="4"/>
  </r>
  <r>
    <x v="1680"/>
    <x v="64"/>
    <x v="0"/>
    <x v="4"/>
    <x v="6"/>
    <x v="0"/>
    <x v="12"/>
    <x v="1668"/>
    <x v="0"/>
    <x v="3"/>
  </r>
  <r>
    <x v="1681"/>
    <x v="16"/>
    <x v="0"/>
    <x v="5"/>
    <x v="9"/>
    <x v="2"/>
    <x v="11"/>
    <x v="1669"/>
    <x v="1"/>
    <x v="0"/>
  </r>
  <r>
    <x v="1682"/>
    <x v="71"/>
    <x v="1"/>
    <x v="0"/>
    <x v="0"/>
    <x v="1"/>
    <x v="13"/>
    <x v="1670"/>
    <x v="1"/>
    <x v="4"/>
  </r>
  <r>
    <x v="1683"/>
    <x v="81"/>
    <x v="0"/>
    <x v="4"/>
    <x v="5"/>
    <x v="0"/>
    <x v="14"/>
    <x v="1671"/>
    <x v="0"/>
    <x v="0"/>
  </r>
  <r>
    <x v="1684"/>
    <x v="22"/>
    <x v="0"/>
    <x v="8"/>
    <x v="3"/>
    <x v="1"/>
    <x v="8"/>
    <x v="1672"/>
    <x v="1"/>
    <x v="2"/>
  </r>
  <r>
    <x v="1685"/>
    <x v="48"/>
    <x v="0"/>
    <x v="9"/>
    <x v="6"/>
    <x v="1"/>
    <x v="2"/>
    <x v="1673"/>
    <x v="0"/>
    <x v="3"/>
  </r>
  <r>
    <x v="1686"/>
    <x v="35"/>
    <x v="0"/>
    <x v="8"/>
    <x v="9"/>
    <x v="1"/>
    <x v="13"/>
    <x v="1674"/>
    <x v="0"/>
    <x v="1"/>
  </r>
  <r>
    <x v="1687"/>
    <x v="37"/>
    <x v="0"/>
    <x v="6"/>
    <x v="0"/>
    <x v="1"/>
    <x v="0"/>
    <x v="1675"/>
    <x v="0"/>
    <x v="4"/>
  </r>
  <r>
    <x v="1688"/>
    <x v="10"/>
    <x v="0"/>
    <x v="0"/>
    <x v="1"/>
    <x v="1"/>
    <x v="7"/>
    <x v="1676"/>
    <x v="1"/>
    <x v="1"/>
  </r>
  <r>
    <x v="1689"/>
    <x v="78"/>
    <x v="0"/>
    <x v="1"/>
    <x v="5"/>
    <x v="2"/>
    <x v="13"/>
    <x v="1677"/>
    <x v="0"/>
    <x v="1"/>
  </r>
  <r>
    <x v="1690"/>
    <x v="9"/>
    <x v="0"/>
    <x v="9"/>
    <x v="1"/>
    <x v="1"/>
    <x v="14"/>
    <x v="1678"/>
    <x v="1"/>
    <x v="3"/>
  </r>
  <r>
    <x v="1691"/>
    <x v="65"/>
    <x v="0"/>
    <x v="8"/>
    <x v="2"/>
    <x v="2"/>
    <x v="2"/>
    <x v="1679"/>
    <x v="0"/>
    <x v="3"/>
  </r>
  <r>
    <x v="1692"/>
    <x v="29"/>
    <x v="1"/>
    <x v="4"/>
    <x v="4"/>
    <x v="2"/>
    <x v="3"/>
    <x v="1680"/>
    <x v="1"/>
    <x v="2"/>
  </r>
  <r>
    <x v="1693"/>
    <x v="62"/>
    <x v="0"/>
    <x v="2"/>
    <x v="7"/>
    <x v="2"/>
    <x v="1"/>
    <x v="1681"/>
    <x v="1"/>
    <x v="0"/>
  </r>
  <r>
    <x v="1694"/>
    <x v="17"/>
    <x v="0"/>
    <x v="5"/>
    <x v="6"/>
    <x v="1"/>
    <x v="2"/>
    <x v="1682"/>
    <x v="0"/>
    <x v="3"/>
  </r>
  <r>
    <x v="1695"/>
    <x v="83"/>
    <x v="1"/>
    <x v="0"/>
    <x v="8"/>
    <x v="0"/>
    <x v="0"/>
    <x v="1683"/>
    <x v="0"/>
    <x v="0"/>
  </r>
  <r>
    <x v="1696"/>
    <x v="63"/>
    <x v="0"/>
    <x v="1"/>
    <x v="8"/>
    <x v="0"/>
    <x v="9"/>
    <x v="1684"/>
    <x v="0"/>
    <x v="3"/>
  </r>
  <r>
    <x v="1697"/>
    <x v="37"/>
    <x v="0"/>
    <x v="3"/>
    <x v="2"/>
    <x v="2"/>
    <x v="14"/>
    <x v="1685"/>
    <x v="0"/>
    <x v="1"/>
  </r>
  <r>
    <x v="1698"/>
    <x v="1"/>
    <x v="0"/>
    <x v="4"/>
    <x v="1"/>
    <x v="1"/>
    <x v="8"/>
    <x v="1686"/>
    <x v="1"/>
    <x v="4"/>
  </r>
  <r>
    <x v="1699"/>
    <x v="6"/>
    <x v="1"/>
    <x v="5"/>
    <x v="1"/>
    <x v="0"/>
    <x v="1"/>
    <x v="1687"/>
    <x v="1"/>
    <x v="3"/>
  </r>
  <r>
    <x v="1700"/>
    <x v="35"/>
    <x v="1"/>
    <x v="3"/>
    <x v="0"/>
    <x v="2"/>
    <x v="7"/>
    <x v="1688"/>
    <x v="0"/>
    <x v="4"/>
  </r>
  <r>
    <x v="1701"/>
    <x v="1"/>
    <x v="0"/>
    <x v="1"/>
    <x v="2"/>
    <x v="2"/>
    <x v="12"/>
    <x v="1689"/>
    <x v="1"/>
    <x v="0"/>
  </r>
  <r>
    <x v="1702"/>
    <x v="61"/>
    <x v="1"/>
    <x v="7"/>
    <x v="2"/>
    <x v="0"/>
    <x v="2"/>
    <x v="1690"/>
    <x v="1"/>
    <x v="3"/>
  </r>
  <r>
    <x v="1703"/>
    <x v="6"/>
    <x v="0"/>
    <x v="5"/>
    <x v="9"/>
    <x v="0"/>
    <x v="6"/>
    <x v="1691"/>
    <x v="1"/>
    <x v="3"/>
  </r>
  <r>
    <x v="1704"/>
    <x v="21"/>
    <x v="0"/>
    <x v="8"/>
    <x v="0"/>
    <x v="1"/>
    <x v="13"/>
    <x v="1692"/>
    <x v="0"/>
    <x v="2"/>
  </r>
  <r>
    <x v="1705"/>
    <x v="33"/>
    <x v="0"/>
    <x v="4"/>
    <x v="5"/>
    <x v="2"/>
    <x v="4"/>
    <x v="1693"/>
    <x v="1"/>
    <x v="4"/>
  </r>
  <r>
    <x v="1706"/>
    <x v="62"/>
    <x v="0"/>
    <x v="9"/>
    <x v="1"/>
    <x v="0"/>
    <x v="12"/>
    <x v="1694"/>
    <x v="1"/>
    <x v="2"/>
  </r>
  <r>
    <x v="1707"/>
    <x v="65"/>
    <x v="1"/>
    <x v="9"/>
    <x v="9"/>
    <x v="0"/>
    <x v="0"/>
    <x v="1695"/>
    <x v="1"/>
    <x v="1"/>
  </r>
  <r>
    <x v="1708"/>
    <x v="55"/>
    <x v="0"/>
    <x v="8"/>
    <x v="1"/>
    <x v="1"/>
    <x v="12"/>
    <x v="1696"/>
    <x v="0"/>
    <x v="1"/>
  </r>
  <r>
    <x v="1709"/>
    <x v="29"/>
    <x v="1"/>
    <x v="9"/>
    <x v="5"/>
    <x v="0"/>
    <x v="14"/>
    <x v="1697"/>
    <x v="1"/>
    <x v="2"/>
  </r>
  <r>
    <x v="1710"/>
    <x v="41"/>
    <x v="1"/>
    <x v="5"/>
    <x v="5"/>
    <x v="1"/>
    <x v="3"/>
    <x v="1698"/>
    <x v="1"/>
    <x v="1"/>
  </r>
  <r>
    <x v="1711"/>
    <x v="72"/>
    <x v="0"/>
    <x v="7"/>
    <x v="6"/>
    <x v="2"/>
    <x v="11"/>
    <x v="1699"/>
    <x v="0"/>
    <x v="4"/>
  </r>
  <r>
    <x v="1712"/>
    <x v="89"/>
    <x v="0"/>
    <x v="0"/>
    <x v="9"/>
    <x v="1"/>
    <x v="6"/>
    <x v="1700"/>
    <x v="1"/>
    <x v="0"/>
  </r>
  <r>
    <x v="1713"/>
    <x v="20"/>
    <x v="0"/>
    <x v="8"/>
    <x v="6"/>
    <x v="2"/>
    <x v="6"/>
    <x v="1701"/>
    <x v="1"/>
    <x v="2"/>
  </r>
  <r>
    <x v="1714"/>
    <x v="89"/>
    <x v="1"/>
    <x v="5"/>
    <x v="6"/>
    <x v="0"/>
    <x v="7"/>
    <x v="1702"/>
    <x v="1"/>
    <x v="3"/>
  </r>
  <r>
    <x v="1715"/>
    <x v="8"/>
    <x v="0"/>
    <x v="5"/>
    <x v="9"/>
    <x v="1"/>
    <x v="5"/>
    <x v="1703"/>
    <x v="1"/>
    <x v="4"/>
  </r>
  <r>
    <x v="1716"/>
    <x v="89"/>
    <x v="1"/>
    <x v="0"/>
    <x v="6"/>
    <x v="1"/>
    <x v="3"/>
    <x v="1704"/>
    <x v="0"/>
    <x v="4"/>
  </r>
  <r>
    <x v="1717"/>
    <x v="69"/>
    <x v="1"/>
    <x v="2"/>
    <x v="8"/>
    <x v="0"/>
    <x v="10"/>
    <x v="1705"/>
    <x v="1"/>
    <x v="2"/>
  </r>
  <r>
    <x v="1718"/>
    <x v="38"/>
    <x v="1"/>
    <x v="3"/>
    <x v="6"/>
    <x v="0"/>
    <x v="0"/>
    <x v="1706"/>
    <x v="1"/>
    <x v="1"/>
  </r>
  <r>
    <x v="1719"/>
    <x v="79"/>
    <x v="0"/>
    <x v="2"/>
    <x v="6"/>
    <x v="0"/>
    <x v="12"/>
    <x v="1707"/>
    <x v="0"/>
    <x v="2"/>
  </r>
  <r>
    <x v="1720"/>
    <x v="75"/>
    <x v="1"/>
    <x v="8"/>
    <x v="7"/>
    <x v="2"/>
    <x v="13"/>
    <x v="1708"/>
    <x v="1"/>
    <x v="1"/>
  </r>
  <r>
    <x v="1721"/>
    <x v="31"/>
    <x v="1"/>
    <x v="2"/>
    <x v="0"/>
    <x v="1"/>
    <x v="3"/>
    <x v="1709"/>
    <x v="0"/>
    <x v="4"/>
  </r>
  <r>
    <x v="1722"/>
    <x v="65"/>
    <x v="0"/>
    <x v="4"/>
    <x v="5"/>
    <x v="1"/>
    <x v="7"/>
    <x v="1710"/>
    <x v="1"/>
    <x v="0"/>
  </r>
  <r>
    <x v="1723"/>
    <x v="18"/>
    <x v="1"/>
    <x v="0"/>
    <x v="1"/>
    <x v="2"/>
    <x v="5"/>
    <x v="1711"/>
    <x v="0"/>
    <x v="4"/>
  </r>
  <r>
    <x v="1724"/>
    <x v="14"/>
    <x v="0"/>
    <x v="2"/>
    <x v="6"/>
    <x v="1"/>
    <x v="9"/>
    <x v="1712"/>
    <x v="1"/>
    <x v="1"/>
  </r>
  <r>
    <x v="1725"/>
    <x v="59"/>
    <x v="0"/>
    <x v="8"/>
    <x v="0"/>
    <x v="0"/>
    <x v="11"/>
    <x v="1713"/>
    <x v="1"/>
    <x v="0"/>
  </r>
  <r>
    <x v="1726"/>
    <x v="27"/>
    <x v="1"/>
    <x v="3"/>
    <x v="9"/>
    <x v="1"/>
    <x v="2"/>
    <x v="1714"/>
    <x v="0"/>
    <x v="2"/>
  </r>
  <r>
    <x v="1727"/>
    <x v="5"/>
    <x v="0"/>
    <x v="1"/>
    <x v="9"/>
    <x v="2"/>
    <x v="7"/>
    <x v="1715"/>
    <x v="0"/>
    <x v="4"/>
  </r>
  <r>
    <x v="1728"/>
    <x v="64"/>
    <x v="0"/>
    <x v="5"/>
    <x v="7"/>
    <x v="0"/>
    <x v="1"/>
    <x v="1716"/>
    <x v="0"/>
    <x v="3"/>
  </r>
  <r>
    <x v="1729"/>
    <x v="24"/>
    <x v="0"/>
    <x v="9"/>
    <x v="6"/>
    <x v="1"/>
    <x v="6"/>
    <x v="1717"/>
    <x v="0"/>
    <x v="0"/>
  </r>
  <r>
    <x v="1730"/>
    <x v="44"/>
    <x v="1"/>
    <x v="3"/>
    <x v="4"/>
    <x v="0"/>
    <x v="8"/>
    <x v="1718"/>
    <x v="0"/>
    <x v="2"/>
  </r>
  <r>
    <x v="1731"/>
    <x v="26"/>
    <x v="1"/>
    <x v="7"/>
    <x v="9"/>
    <x v="2"/>
    <x v="1"/>
    <x v="1719"/>
    <x v="1"/>
    <x v="4"/>
  </r>
  <r>
    <x v="1732"/>
    <x v="75"/>
    <x v="1"/>
    <x v="8"/>
    <x v="5"/>
    <x v="2"/>
    <x v="3"/>
    <x v="1720"/>
    <x v="1"/>
    <x v="0"/>
  </r>
  <r>
    <x v="1733"/>
    <x v="40"/>
    <x v="0"/>
    <x v="8"/>
    <x v="2"/>
    <x v="1"/>
    <x v="7"/>
    <x v="1721"/>
    <x v="1"/>
    <x v="2"/>
  </r>
  <r>
    <x v="1734"/>
    <x v="59"/>
    <x v="1"/>
    <x v="1"/>
    <x v="9"/>
    <x v="1"/>
    <x v="2"/>
    <x v="1722"/>
    <x v="1"/>
    <x v="1"/>
  </r>
  <r>
    <x v="1735"/>
    <x v="81"/>
    <x v="0"/>
    <x v="4"/>
    <x v="7"/>
    <x v="1"/>
    <x v="4"/>
    <x v="1723"/>
    <x v="1"/>
    <x v="2"/>
  </r>
  <r>
    <x v="1736"/>
    <x v="6"/>
    <x v="1"/>
    <x v="5"/>
    <x v="8"/>
    <x v="0"/>
    <x v="11"/>
    <x v="1724"/>
    <x v="0"/>
    <x v="3"/>
  </r>
  <r>
    <x v="1737"/>
    <x v="4"/>
    <x v="1"/>
    <x v="2"/>
    <x v="8"/>
    <x v="1"/>
    <x v="14"/>
    <x v="1725"/>
    <x v="1"/>
    <x v="3"/>
  </r>
  <r>
    <x v="1738"/>
    <x v="9"/>
    <x v="1"/>
    <x v="6"/>
    <x v="1"/>
    <x v="1"/>
    <x v="13"/>
    <x v="1726"/>
    <x v="1"/>
    <x v="0"/>
  </r>
  <r>
    <x v="1739"/>
    <x v="3"/>
    <x v="0"/>
    <x v="6"/>
    <x v="3"/>
    <x v="1"/>
    <x v="7"/>
    <x v="1727"/>
    <x v="0"/>
    <x v="0"/>
  </r>
  <r>
    <x v="1740"/>
    <x v="11"/>
    <x v="0"/>
    <x v="2"/>
    <x v="2"/>
    <x v="2"/>
    <x v="12"/>
    <x v="1728"/>
    <x v="0"/>
    <x v="1"/>
  </r>
  <r>
    <x v="1741"/>
    <x v="14"/>
    <x v="0"/>
    <x v="2"/>
    <x v="1"/>
    <x v="1"/>
    <x v="9"/>
    <x v="1729"/>
    <x v="0"/>
    <x v="2"/>
  </r>
  <r>
    <x v="1742"/>
    <x v="13"/>
    <x v="0"/>
    <x v="1"/>
    <x v="9"/>
    <x v="1"/>
    <x v="13"/>
    <x v="1730"/>
    <x v="0"/>
    <x v="3"/>
  </r>
  <r>
    <x v="1743"/>
    <x v="63"/>
    <x v="1"/>
    <x v="4"/>
    <x v="4"/>
    <x v="1"/>
    <x v="11"/>
    <x v="1731"/>
    <x v="0"/>
    <x v="0"/>
  </r>
  <r>
    <x v="1744"/>
    <x v="59"/>
    <x v="1"/>
    <x v="5"/>
    <x v="5"/>
    <x v="2"/>
    <x v="1"/>
    <x v="1732"/>
    <x v="1"/>
    <x v="3"/>
  </r>
  <r>
    <x v="1745"/>
    <x v="77"/>
    <x v="0"/>
    <x v="3"/>
    <x v="8"/>
    <x v="1"/>
    <x v="4"/>
    <x v="1733"/>
    <x v="1"/>
    <x v="2"/>
  </r>
  <r>
    <x v="1746"/>
    <x v="81"/>
    <x v="0"/>
    <x v="4"/>
    <x v="9"/>
    <x v="2"/>
    <x v="11"/>
    <x v="1734"/>
    <x v="0"/>
    <x v="1"/>
  </r>
  <r>
    <x v="1747"/>
    <x v="30"/>
    <x v="1"/>
    <x v="3"/>
    <x v="1"/>
    <x v="2"/>
    <x v="12"/>
    <x v="1735"/>
    <x v="1"/>
    <x v="4"/>
  </r>
  <r>
    <x v="1748"/>
    <x v="0"/>
    <x v="1"/>
    <x v="0"/>
    <x v="9"/>
    <x v="1"/>
    <x v="6"/>
    <x v="1736"/>
    <x v="0"/>
    <x v="3"/>
  </r>
  <r>
    <x v="1749"/>
    <x v="3"/>
    <x v="0"/>
    <x v="7"/>
    <x v="3"/>
    <x v="0"/>
    <x v="4"/>
    <x v="1737"/>
    <x v="0"/>
    <x v="4"/>
  </r>
  <r>
    <x v="1750"/>
    <x v="12"/>
    <x v="0"/>
    <x v="7"/>
    <x v="6"/>
    <x v="2"/>
    <x v="14"/>
    <x v="1738"/>
    <x v="1"/>
    <x v="1"/>
  </r>
  <r>
    <x v="1751"/>
    <x v="65"/>
    <x v="0"/>
    <x v="9"/>
    <x v="2"/>
    <x v="1"/>
    <x v="7"/>
    <x v="1739"/>
    <x v="0"/>
    <x v="2"/>
  </r>
  <r>
    <x v="1752"/>
    <x v="80"/>
    <x v="1"/>
    <x v="1"/>
    <x v="4"/>
    <x v="2"/>
    <x v="10"/>
    <x v="1740"/>
    <x v="1"/>
    <x v="2"/>
  </r>
  <r>
    <x v="1753"/>
    <x v="30"/>
    <x v="1"/>
    <x v="1"/>
    <x v="8"/>
    <x v="1"/>
    <x v="3"/>
    <x v="1741"/>
    <x v="1"/>
    <x v="4"/>
  </r>
  <r>
    <x v="1754"/>
    <x v="83"/>
    <x v="1"/>
    <x v="0"/>
    <x v="0"/>
    <x v="1"/>
    <x v="2"/>
    <x v="1742"/>
    <x v="0"/>
    <x v="1"/>
  </r>
  <r>
    <x v="1755"/>
    <x v="74"/>
    <x v="1"/>
    <x v="5"/>
    <x v="3"/>
    <x v="1"/>
    <x v="2"/>
    <x v="1743"/>
    <x v="1"/>
    <x v="2"/>
  </r>
  <r>
    <x v="1756"/>
    <x v="18"/>
    <x v="1"/>
    <x v="5"/>
    <x v="7"/>
    <x v="2"/>
    <x v="4"/>
    <x v="1744"/>
    <x v="0"/>
    <x v="4"/>
  </r>
  <r>
    <x v="1757"/>
    <x v="71"/>
    <x v="0"/>
    <x v="5"/>
    <x v="5"/>
    <x v="2"/>
    <x v="7"/>
    <x v="1745"/>
    <x v="1"/>
    <x v="2"/>
  </r>
  <r>
    <x v="1758"/>
    <x v="61"/>
    <x v="0"/>
    <x v="9"/>
    <x v="9"/>
    <x v="0"/>
    <x v="8"/>
    <x v="1746"/>
    <x v="1"/>
    <x v="2"/>
  </r>
  <r>
    <x v="1759"/>
    <x v="66"/>
    <x v="0"/>
    <x v="1"/>
    <x v="4"/>
    <x v="0"/>
    <x v="9"/>
    <x v="1747"/>
    <x v="0"/>
    <x v="4"/>
  </r>
  <r>
    <x v="1760"/>
    <x v="1"/>
    <x v="0"/>
    <x v="4"/>
    <x v="7"/>
    <x v="1"/>
    <x v="6"/>
    <x v="1554"/>
    <x v="1"/>
    <x v="4"/>
  </r>
  <r>
    <x v="1761"/>
    <x v="62"/>
    <x v="1"/>
    <x v="0"/>
    <x v="4"/>
    <x v="0"/>
    <x v="5"/>
    <x v="1748"/>
    <x v="1"/>
    <x v="2"/>
  </r>
  <r>
    <x v="1762"/>
    <x v="66"/>
    <x v="0"/>
    <x v="8"/>
    <x v="5"/>
    <x v="1"/>
    <x v="4"/>
    <x v="1749"/>
    <x v="1"/>
    <x v="2"/>
  </r>
  <r>
    <x v="1763"/>
    <x v="47"/>
    <x v="0"/>
    <x v="0"/>
    <x v="5"/>
    <x v="1"/>
    <x v="13"/>
    <x v="1750"/>
    <x v="0"/>
    <x v="0"/>
  </r>
  <r>
    <x v="1764"/>
    <x v="9"/>
    <x v="1"/>
    <x v="8"/>
    <x v="5"/>
    <x v="0"/>
    <x v="13"/>
    <x v="1751"/>
    <x v="1"/>
    <x v="4"/>
  </r>
  <r>
    <x v="1765"/>
    <x v="69"/>
    <x v="1"/>
    <x v="4"/>
    <x v="3"/>
    <x v="2"/>
    <x v="6"/>
    <x v="1752"/>
    <x v="1"/>
    <x v="0"/>
  </r>
  <r>
    <x v="1766"/>
    <x v="43"/>
    <x v="0"/>
    <x v="8"/>
    <x v="9"/>
    <x v="1"/>
    <x v="4"/>
    <x v="1753"/>
    <x v="1"/>
    <x v="3"/>
  </r>
  <r>
    <x v="1767"/>
    <x v="26"/>
    <x v="0"/>
    <x v="6"/>
    <x v="6"/>
    <x v="2"/>
    <x v="10"/>
    <x v="1754"/>
    <x v="0"/>
    <x v="4"/>
  </r>
  <r>
    <x v="1768"/>
    <x v="79"/>
    <x v="0"/>
    <x v="0"/>
    <x v="9"/>
    <x v="1"/>
    <x v="3"/>
    <x v="1755"/>
    <x v="1"/>
    <x v="4"/>
  </r>
  <r>
    <x v="1769"/>
    <x v="42"/>
    <x v="1"/>
    <x v="7"/>
    <x v="3"/>
    <x v="1"/>
    <x v="0"/>
    <x v="1756"/>
    <x v="0"/>
    <x v="4"/>
  </r>
  <r>
    <x v="1770"/>
    <x v="43"/>
    <x v="1"/>
    <x v="3"/>
    <x v="9"/>
    <x v="0"/>
    <x v="11"/>
    <x v="1757"/>
    <x v="0"/>
    <x v="3"/>
  </r>
  <r>
    <x v="1771"/>
    <x v="39"/>
    <x v="0"/>
    <x v="9"/>
    <x v="3"/>
    <x v="1"/>
    <x v="6"/>
    <x v="1758"/>
    <x v="0"/>
    <x v="2"/>
  </r>
  <r>
    <x v="1772"/>
    <x v="82"/>
    <x v="1"/>
    <x v="6"/>
    <x v="2"/>
    <x v="1"/>
    <x v="9"/>
    <x v="1759"/>
    <x v="0"/>
    <x v="0"/>
  </r>
  <r>
    <x v="1773"/>
    <x v="41"/>
    <x v="0"/>
    <x v="1"/>
    <x v="1"/>
    <x v="1"/>
    <x v="10"/>
    <x v="1760"/>
    <x v="1"/>
    <x v="4"/>
  </r>
  <r>
    <x v="1774"/>
    <x v="19"/>
    <x v="0"/>
    <x v="0"/>
    <x v="2"/>
    <x v="1"/>
    <x v="1"/>
    <x v="1761"/>
    <x v="1"/>
    <x v="3"/>
  </r>
  <r>
    <x v="1775"/>
    <x v="62"/>
    <x v="0"/>
    <x v="1"/>
    <x v="2"/>
    <x v="2"/>
    <x v="3"/>
    <x v="1762"/>
    <x v="0"/>
    <x v="0"/>
  </r>
  <r>
    <x v="1776"/>
    <x v="62"/>
    <x v="1"/>
    <x v="6"/>
    <x v="8"/>
    <x v="1"/>
    <x v="9"/>
    <x v="1763"/>
    <x v="1"/>
    <x v="0"/>
  </r>
  <r>
    <x v="1777"/>
    <x v="78"/>
    <x v="0"/>
    <x v="8"/>
    <x v="4"/>
    <x v="1"/>
    <x v="1"/>
    <x v="1764"/>
    <x v="1"/>
    <x v="1"/>
  </r>
  <r>
    <x v="1778"/>
    <x v="27"/>
    <x v="1"/>
    <x v="4"/>
    <x v="4"/>
    <x v="1"/>
    <x v="1"/>
    <x v="1765"/>
    <x v="0"/>
    <x v="1"/>
  </r>
  <r>
    <x v="1779"/>
    <x v="8"/>
    <x v="0"/>
    <x v="8"/>
    <x v="7"/>
    <x v="2"/>
    <x v="1"/>
    <x v="1766"/>
    <x v="1"/>
    <x v="4"/>
  </r>
  <r>
    <x v="1780"/>
    <x v="49"/>
    <x v="0"/>
    <x v="7"/>
    <x v="4"/>
    <x v="0"/>
    <x v="7"/>
    <x v="1767"/>
    <x v="0"/>
    <x v="1"/>
  </r>
  <r>
    <x v="1781"/>
    <x v="28"/>
    <x v="1"/>
    <x v="9"/>
    <x v="1"/>
    <x v="1"/>
    <x v="6"/>
    <x v="1768"/>
    <x v="1"/>
    <x v="4"/>
  </r>
  <r>
    <x v="1782"/>
    <x v="83"/>
    <x v="1"/>
    <x v="1"/>
    <x v="2"/>
    <x v="1"/>
    <x v="11"/>
    <x v="1769"/>
    <x v="0"/>
    <x v="1"/>
  </r>
  <r>
    <x v="1783"/>
    <x v="10"/>
    <x v="0"/>
    <x v="8"/>
    <x v="4"/>
    <x v="0"/>
    <x v="6"/>
    <x v="1770"/>
    <x v="1"/>
    <x v="2"/>
  </r>
  <r>
    <x v="1784"/>
    <x v="29"/>
    <x v="0"/>
    <x v="3"/>
    <x v="0"/>
    <x v="2"/>
    <x v="7"/>
    <x v="1771"/>
    <x v="0"/>
    <x v="2"/>
  </r>
  <r>
    <x v="1785"/>
    <x v="51"/>
    <x v="0"/>
    <x v="4"/>
    <x v="0"/>
    <x v="1"/>
    <x v="6"/>
    <x v="1772"/>
    <x v="1"/>
    <x v="0"/>
  </r>
  <r>
    <x v="1786"/>
    <x v="26"/>
    <x v="0"/>
    <x v="0"/>
    <x v="1"/>
    <x v="0"/>
    <x v="4"/>
    <x v="1773"/>
    <x v="0"/>
    <x v="0"/>
  </r>
  <r>
    <x v="1787"/>
    <x v="74"/>
    <x v="0"/>
    <x v="6"/>
    <x v="6"/>
    <x v="2"/>
    <x v="7"/>
    <x v="1774"/>
    <x v="0"/>
    <x v="0"/>
  </r>
  <r>
    <x v="1788"/>
    <x v="72"/>
    <x v="0"/>
    <x v="7"/>
    <x v="4"/>
    <x v="1"/>
    <x v="9"/>
    <x v="1775"/>
    <x v="0"/>
    <x v="2"/>
  </r>
  <r>
    <x v="1789"/>
    <x v="50"/>
    <x v="1"/>
    <x v="1"/>
    <x v="8"/>
    <x v="0"/>
    <x v="5"/>
    <x v="1776"/>
    <x v="1"/>
    <x v="4"/>
  </r>
  <r>
    <x v="1790"/>
    <x v="27"/>
    <x v="1"/>
    <x v="8"/>
    <x v="8"/>
    <x v="2"/>
    <x v="1"/>
    <x v="1777"/>
    <x v="1"/>
    <x v="4"/>
  </r>
  <r>
    <x v="1791"/>
    <x v="1"/>
    <x v="0"/>
    <x v="0"/>
    <x v="4"/>
    <x v="0"/>
    <x v="11"/>
    <x v="1778"/>
    <x v="0"/>
    <x v="1"/>
  </r>
  <r>
    <x v="1792"/>
    <x v="88"/>
    <x v="0"/>
    <x v="4"/>
    <x v="8"/>
    <x v="0"/>
    <x v="7"/>
    <x v="1779"/>
    <x v="0"/>
    <x v="3"/>
  </r>
  <r>
    <x v="1793"/>
    <x v="50"/>
    <x v="1"/>
    <x v="6"/>
    <x v="9"/>
    <x v="2"/>
    <x v="8"/>
    <x v="1780"/>
    <x v="1"/>
    <x v="3"/>
  </r>
  <r>
    <x v="1794"/>
    <x v="2"/>
    <x v="0"/>
    <x v="8"/>
    <x v="8"/>
    <x v="0"/>
    <x v="7"/>
    <x v="1781"/>
    <x v="0"/>
    <x v="1"/>
  </r>
  <r>
    <x v="1795"/>
    <x v="44"/>
    <x v="0"/>
    <x v="6"/>
    <x v="6"/>
    <x v="2"/>
    <x v="14"/>
    <x v="1782"/>
    <x v="1"/>
    <x v="0"/>
  </r>
  <r>
    <x v="1796"/>
    <x v="45"/>
    <x v="0"/>
    <x v="6"/>
    <x v="3"/>
    <x v="0"/>
    <x v="3"/>
    <x v="1783"/>
    <x v="0"/>
    <x v="2"/>
  </r>
  <r>
    <x v="1797"/>
    <x v="3"/>
    <x v="0"/>
    <x v="1"/>
    <x v="3"/>
    <x v="2"/>
    <x v="12"/>
    <x v="1784"/>
    <x v="1"/>
    <x v="0"/>
  </r>
  <r>
    <x v="1798"/>
    <x v="77"/>
    <x v="1"/>
    <x v="3"/>
    <x v="5"/>
    <x v="0"/>
    <x v="0"/>
    <x v="1785"/>
    <x v="1"/>
    <x v="1"/>
  </r>
  <r>
    <x v="1799"/>
    <x v="67"/>
    <x v="1"/>
    <x v="2"/>
    <x v="3"/>
    <x v="1"/>
    <x v="12"/>
    <x v="1786"/>
    <x v="0"/>
    <x v="0"/>
  </r>
  <r>
    <x v="1800"/>
    <x v="57"/>
    <x v="1"/>
    <x v="5"/>
    <x v="4"/>
    <x v="1"/>
    <x v="10"/>
    <x v="1787"/>
    <x v="1"/>
    <x v="4"/>
  </r>
  <r>
    <x v="1801"/>
    <x v="75"/>
    <x v="1"/>
    <x v="1"/>
    <x v="7"/>
    <x v="0"/>
    <x v="13"/>
    <x v="1788"/>
    <x v="1"/>
    <x v="0"/>
  </r>
  <r>
    <x v="1802"/>
    <x v="83"/>
    <x v="0"/>
    <x v="9"/>
    <x v="5"/>
    <x v="2"/>
    <x v="0"/>
    <x v="1789"/>
    <x v="0"/>
    <x v="4"/>
  </r>
  <r>
    <x v="1803"/>
    <x v="44"/>
    <x v="0"/>
    <x v="7"/>
    <x v="6"/>
    <x v="1"/>
    <x v="11"/>
    <x v="1790"/>
    <x v="0"/>
    <x v="2"/>
  </r>
  <r>
    <x v="1804"/>
    <x v="59"/>
    <x v="1"/>
    <x v="0"/>
    <x v="8"/>
    <x v="0"/>
    <x v="5"/>
    <x v="1791"/>
    <x v="1"/>
    <x v="3"/>
  </r>
  <r>
    <x v="1805"/>
    <x v="75"/>
    <x v="0"/>
    <x v="0"/>
    <x v="1"/>
    <x v="1"/>
    <x v="0"/>
    <x v="1792"/>
    <x v="0"/>
    <x v="0"/>
  </r>
  <r>
    <x v="1806"/>
    <x v="16"/>
    <x v="0"/>
    <x v="1"/>
    <x v="7"/>
    <x v="1"/>
    <x v="14"/>
    <x v="1793"/>
    <x v="0"/>
    <x v="3"/>
  </r>
  <r>
    <x v="1807"/>
    <x v="5"/>
    <x v="0"/>
    <x v="9"/>
    <x v="0"/>
    <x v="2"/>
    <x v="8"/>
    <x v="1794"/>
    <x v="1"/>
    <x v="0"/>
  </r>
  <r>
    <x v="1808"/>
    <x v="24"/>
    <x v="0"/>
    <x v="1"/>
    <x v="2"/>
    <x v="2"/>
    <x v="9"/>
    <x v="1795"/>
    <x v="1"/>
    <x v="3"/>
  </r>
  <r>
    <x v="1809"/>
    <x v="77"/>
    <x v="1"/>
    <x v="0"/>
    <x v="5"/>
    <x v="1"/>
    <x v="9"/>
    <x v="1796"/>
    <x v="1"/>
    <x v="0"/>
  </r>
  <r>
    <x v="1810"/>
    <x v="35"/>
    <x v="0"/>
    <x v="2"/>
    <x v="1"/>
    <x v="2"/>
    <x v="0"/>
    <x v="1797"/>
    <x v="0"/>
    <x v="0"/>
  </r>
  <r>
    <x v="1811"/>
    <x v="86"/>
    <x v="1"/>
    <x v="6"/>
    <x v="6"/>
    <x v="2"/>
    <x v="7"/>
    <x v="1798"/>
    <x v="0"/>
    <x v="2"/>
  </r>
  <r>
    <x v="1812"/>
    <x v="22"/>
    <x v="0"/>
    <x v="9"/>
    <x v="5"/>
    <x v="2"/>
    <x v="8"/>
    <x v="1799"/>
    <x v="1"/>
    <x v="2"/>
  </r>
  <r>
    <x v="1813"/>
    <x v="10"/>
    <x v="0"/>
    <x v="7"/>
    <x v="1"/>
    <x v="1"/>
    <x v="5"/>
    <x v="1800"/>
    <x v="0"/>
    <x v="0"/>
  </r>
  <r>
    <x v="1814"/>
    <x v="85"/>
    <x v="0"/>
    <x v="9"/>
    <x v="4"/>
    <x v="2"/>
    <x v="11"/>
    <x v="1801"/>
    <x v="1"/>
    <x v="4"/>
  </r>
  <r>
    <x v="1815"/>
    <x v="6"/>
    <x v="1"/>
    <x v="9"/>
    <x v="9"/>
    <x v="0"/>
    <x v="5"/>
    <x v="1802"/>
    <x v="1"/>
    <x v="3"/>
  </r>
  <r>
    <x v="1816"/>
    <x v="78"/>
    <x v="0"/>
    <x v="1"/>
    <x v="8"/>
    <x v="1"/>
    <x v="9"/>
    <x v="1803"/>
    <x v="0"/>
    <x v="0"/>
  </r>
  <r>
    <x v="1817"/>
    <x v="19"/>
    <x v="0"/>
    <x v="2"/>
    <x v="4"/>
    <x v="1"/>
    <x v="6"/>
    <x v="1804"/>
    <x v="1"/>
    <x v="1"/>
  </r>
  <r>
    <x v="1818"/>
    <x v="5"/>
    <x v="0"/>
    <x v="3"/>
    <x v="7"/>
    <x v="0"/>
    <x v="8"/>
    <x v="1805"/>
    <x v="1"/>
    <x v="4"/>
  </r>
  <r>
    <x v="1819"/>
    <x v="41"/>
    <x v="0"/>
    <x v="5"/>
    <x v="5"/>
    <x v="1"/>
    <x v="14"/>
    <x v="1806"/>
    <x v="0"/>
    <x v="4"/>
  </r>
  <r>
    <x v="1820"/>
    <x v="15"/>
    <x v="1"/>
    <x v="9"/>
    <x v="6"/>
    <x v="2"/>
    <x v="0"/>
    <x v="1807"/>
    <x v="1"/>
    <x v="1"/>
  </r>
  <r>
    <x v="1821"/>
    <x v="33"/>
    <x v="1"/>
    <x v="9"/>
    <x v="2"/>
    <x v="1"/>
    <x v="2"/>
    <x v="1808"/>
    <x v="1"/>
    <x v="2"/>
  </r>
  <r>
    <x v="1822"/>
    <x v="71"/>
    <x v="0"/>
    <x v="9"/>
    <x v="7"/>
    <x v="0"/>
    <x v="7"/>
    <x v="1809"/>
    <x v="1"/>
    <x v="3"/>
  </r>
  <r>
    <x v="1823"/>
    <x v="30"/>
    <x v="1"/>
    <x v="5"/>
    <x v="4"/>
    <x v="0"/>
    <x v="13"/>
    <x v="1810"/>
    <x v="0"/>
    <x v="0"/>
  </r>
  <r>
    <x v="1824"/>
    <x v="18"/>
    <x v="0"/>
    <x v="6"/>
    <x v="9"/>
    <x v="2"/>
    <x v="3"/>
    <x v="1811"/>
    <x v="1"/>
    <x v="3"/>
  </r>
  <r>
    <x v="1825"/>
    <x v="75"/>
    <x v="0"/>
    <x v="9"/>
    <x v="9"/>
    <x v="1"/>
    <x v="9"/>
    <x v="1812"/>
    <x v="0"/>
    <x v="3"/>
  </r>
  <r>
    <x v="1826"/>
    <x v="38"/>
    <x v="0"/>
    <x v="8"/>
    <x v="5"/>
    <x v="2"/>
    <x v="10"/>
    <x v="1813"/>
    <x v="1"/>
    <x v="1"/>
  </r>
  <r>
    <x v="1827"/>
    <x v="62"/>
    <x v="0"/>
    <x v="4"/>
    <x v="1"/>
    <x v="2"/>
    <x v="8"/>
    <x v="1814"/>
    <x v="0"/>
    <x v="2"/>
  </r>
  <r>
    <x v="1828"/>
    <x v="9"/>
    <x v="0"/>
    <x v="4"/>
    <x v="7"/>
    <x v="0"/>
    <x v="4"/>
    <x v="1815"/>
    <x v="1"/>
    <x v="3"/>
  </r>
  <r>
    <x v="1829"/>
    <x v="82"/>
    <x v="0"/>
    <x v="5"/>
    <x v="9"/>
    <x v="0"/>
    <x v="1"/>
    <x v="1816"/>
    <x v="0"/>
    <x v="0"/>
  </r>
  <r>
    <x v="1830"/>
    <x v="57"/>
    <x v="1"/>
    <x v="3"/>
    <x v="5"/>
    <x v="2"/>
    <x v="10"/>
    <x v="1817"/>
    <x v="1"/>
    <x v="4"/>
  </r>
  <r>
    <x v="1831"/>
    <x v="8"/>
    <x v="1"/>
    <x v="3"/>
    <x v="9"/>
    <x v="1"/>
    <x v="9"/>
    <x v="1818"/>
    <x v="1"/>
    <x v="2"/>
  </r>
  <r>
    <x v="1832"/>
    <x v="63"/>
    <x v="0"/>
    <x v="8"/>
    <x v="8"/>
    <x v="1"/>
    <x v="10"/>
    <x v="1819"/>
    <x v="0"/>
    <x v="1"/>
  </r>
  <r>
    <x v="1833"/>
    <x v="16"/>
    <x v="0"/>
    <x v="1"/>
    <x v="8"/>
    <x v="1"/>
    <x v="6"/>
    <x v="1820"/>
    <x v="0"/>
    <x v="2"/>
  </r>
  <r>
    <x v="1834"/>
    <x v="80"/>
    <x v="0"/>
    <x v="4"/>
    <x v="4"/>
    <x v="1"/>
    <x v="1"/>
    <x v="1821"/>
    <x v="1"/>
    <x v="0"/>
  </r>
  <r>
    <x v="1835"/>
    <x v="48"/>
    <x v="0"/>
    <x v="4"/>
    <x v="7"/>
    <x v="1"/>
    <x v="14"/>
    <x v="1822"/>
    <x v="1"/>
    <x v="1"/>
  </r>
  <r>
    <x v="1836"/>
    <x v="16"/>
    <x v="1"/>
    <x v="7"/>
    <x v="1"/>
    <x v="2"/>
    <x v="14"/>
    <x v="1823"/>
    <x v="1"/>
    <x v="0"/>
  </r>
  <r>
    <x v="1837"/>
    <x v="83"/>
    <x v="0"/>
    <x v="5"/>
    <x v="5"/>
    <x v="2"/>
    <x v="11"/>
    <x v="1824"/>
    <x v="1"/>
    <x v="4"/>
  </r>
  <r>
    <x v="1838"/>
    <x v="17"/>
    <x v="0"/>
    <x v="9"/>
    <x v="2"/>
    <x v="0"/>
    <x v="5"/>
    <x v="1825"/>
    <x v="0"/>
    <x v="0"/>
  </r>
  <r>
    <x v="1839"/>
    <x v="45"/>
    <x v="1"/>
    <x v="8"/>
    <x v="2"/>
    <x v="2"/>
    <x v="11"/>
    <x v="1826"/>
    <x v="1"/>
    <x v="3"/>
  </r>
  <r>
    <x v="1840"/>
    <x v="85"/>
    <x v="1"/>
    <x v="2"/>
    <x v="2"/>
    <x v="2"/>
    <x v="13"/>
    <x v="1827"/>
    <x v="0"/>
    <x v="2"/>
  </r>
  <r>
    <x v="1841"/>
    <x v="33"/>
    <x v="1"/>
    <x v="9"/>
    <x v="7"/>
    <x v="0"/>
    <x v="4"/>
    <x v="1828"/>
    <x v="1"/>
    <x v="2"/>
  </r>
  <r>
    <x v="1842"/>
    <x v="33"/>
    <x v="0"/>
    <x v="7"/>
    <x v="0"/>
    <x v="0"/>
    <x v="4"/>
    <x v="1829"/>
    <x v="0"/>
    <x v="1"/>
  </r>
  <r>
    <x v="1843"/>
    <x v="42"/>
    <x v="0"/>
    <x v="6"/>
    <x v="8"/>
    <x v="2"/>
    <x v="14"/>
    <x v="1830"/>
    <x v="1"/>
    <x v="2"/>
  </r>
  <r>
    <x v="1844"/>
    <x v="32"/>
    <x v="0"/>
    <x v="5"/>
    <x v="3"/>
    <x v="1"/>
    <x v="2"/>
    <x v="1831"/>
    <x v="0"/>
    <x v="4"/>
  </r>
  <r>
    <x v="1845"/>
    <x v="52"/>
    <x v="0"/>
    <x v="8"/>
    <x v="0"/>
    <x v="2"/>
    <x v="9"/>
    <x v="1832"/>
    <x v="0"/>
    <x v="3"/>
  </r>
  <r>
    <x v="1846"/>
    <x v="23"/>
    <x v="1"/>
    <x v="5"/>
    <x v="5"/>
    <x v="1"/>
    <x v="9"/>
    <x v="1833"/>
    <x v="1"/>
    <x v="0"/>
  </r>
  <r>
    <x v="1847"/>
    <x v="36"/>
    <x v="1"/>
    <x v="2"/>
    <x v="9"/>
    <x v="1"/>
    <x v="8"/>
    <x v="1834"/>
    <x v="0"/>
    <x v="1"/>
  </r>
  <r>
    <x v="1848"/>
    <x v="6"/>
    <x v="0"/>
    <x v="6"/>
    <x v="9"/>
    <x v="1"/>
    <x v="13"/>
    <x v="1835"/>
    <x v="0"/>
    <x v="4"/>
  </r>
  <r>
    <x v="1849"/>
    <x v="35"/>
    <x v="0"/>
    <x v="6"/>
    <x v="1"/>
    <x v="0"/>
    <x v="14"/>
    <x v="1836"/>
    <x v="1"/>
    <x v="3"/>
  </r>
  <r>
    <x v="1850"/>
    <x v="19"/>
    <x v="0"/>
    <x v="2"/>
    <x v="2"/>
    <x v="2"/>
    <x v="10"/>
    <x v="1837"/>
    <x v="0"/>
    <x v="1"/>
  </r>
  <r>
    <x v="1851"/>
    <x v="35"/>
    <x v="1"/>
    <x v="9"/>
    <x v="5"/>
    <x v="2"/>
    <x v="6"/>
    <x v="1838"/>
    <x v="0"/>
    <x v="1"/>
  </r>
  <r>
    <x v="1852"/>
    <x v="85"/>
    <x v="1"/>
    <x v="3"/>
    <x v="8"/>
    <x v="0"/>
    <x v="8"/>
    <x v="1839"/>
    <x v="1"/>
    <x v="1"/>
  </r>
  <r>
    <x v="1853"/>
    <x v="47"/>
    <x v="1"/>
    <x v="9"/>
    <x v="8"/>
    <x v="2"/>
    <x v="13"/>
    <x v="1840"/>
    <x v="1"/>
    <x v="4"/>
  </r>
  <r>
    <x v="1854"/>
    <x v="47"/>
    <x v="1"/>
    <x v="4"/>
    <x v="4"/>
    <x v="1"/>
    <x v="1"/>
    <x v="1841"/>
    <x v="0"/>
    <x v="3"/>
  </r>
  <r>
    <x v="1855"/>
    <x v="18"/>
    <x v="0"/>
    <x v="3"/>
    <x v="7"/>
    <x v="0"/>
    <x v="10"/>
    <x v="1842"/>
    <x v="1"/>
    <x v="0"/>
  </r>
  <r>
    <x v="1856"/>
    <x v="5"/>
    <x v="0"/>
    <x v="5"/>
    <x v="9"/>
    <x v="2"/>
    <x v="11"/>
    <x v="1843"/>
    <x v="1"/>
    <x v="2"/>
  </r>
  <r>
    <x v="1857"/>
    <x v="23"/>
    <x v="0"/>
    <x v="3"/>
    <x v="2"/>
    <x v="0"/>
    <x v="0"/>
    <x v="1844"/>
    <x v="0"/>
    <x v="4"/>
  </r>
  <r>
    <x v="1858"/>
    <x v="59"/>
    <x v="0"/>
    <x v="4"/>
    <x v="3"/>
    <x v="2"/>
    <x v="11"/>
    <x v="1845"/>
    <x v="0"/>
    <x v="2"/>
  </r>
  <r>
    <x v="1859"/>
    <x v="48"/>
    <x v="0"/>
    <x v="2"/>
    <x v="0"/>
    <x v="1"/>
    <x v="10"/>
    <x v="1846"/>
    <x v="0"/>
    <x v="4"/>
  </r>
  <r>
    <x v="1860"/>
    <x v="15"/>
    <x v="1"/>
    <x v="1"/>
    <x v="2"/>
    <x v="2"/>
    <x v="10"/>
    <x v="1847"/>
    <x v="1"/>
    <x v="1"/>
  </r>
  <r>
    <x v="1861"/>
    <x v="56"/>
    <x v="1"/>
    <x v="3"/>
    <x v="8"/>
    <x v="0"/>
    <x v="9"/>
    <x v="1848"/>
    <x v="1"/>
    <x v="0"/>
  </r>
  <r>
    <x v="1862"/>
    <x v="43"/>
    <x v="0"/>
    <x v="9"/>
    <x v="0"/>
    <x v="1"/>
    <x v="4"/>
    <x v="1849"/>
    <x v="1"/>
    <x v="3"/>
  </r>
  <r>
    <x v="1863"/>
    <x v="27"/>
    <x v="1"/>
    <x v="5"/>
    <x v="3"/>
    <x v="2"/>
    <x v="11"/>
    <x v="1850"/>
    <x v="1"/>
    <x v="1"/>
  </r>
  <r>
    <x v="1864"/>
    <x v="47"/>
    <x v="0"/>
    <x v="6"/>
    <x v="2"/>
    <x v="2"/>
    <x v="10"/>
    <x v="1851"/>
    <x v="1"/>
    <x v="2"/>
  </r>
  <r>
    <x v="1865"/>
    <x v="66"/>
    <x v="0"/>
    <x v="5"/>
    <x v="7"/>
    <x v="0"/>
    <x v="9"/>
    <x v="1852"/>
    <x v="1"/>
    <x v="1"/>
  </r>
  <r>
    <x v="1866"/>
    <x v="81"/>
    <x v="1"/>
    <x v="8"/>
    <x v="8"/>
    <x v="2"/>
    <x v="14"/>
    <x v="1853"/>
    <x v="1"/>
    <x v="0"/>
  </r>
  <r>
    <x v="1867"/>
    <x v="82"/>
    <x v="1"/>
    <x v="9"/>
    <x v="5"/>
    <x v="0"/>
    <x v="0"/>
    <x v="1854"/>
    <x v="1"/>
    <x v="1"/>
  </r>
  <r>
    <x v="1868"/>
    <x v="4"/>
    <x v="0"/>
    <x v="3"/>
    <x v="5"/>
    <x v="0"/>
    <x v="3"/>
    <x v="1855"/>
    <x v="1"/>
    <x v="2"/>
  </r>
  <r>
    <x v="1869"/>
    <x v="73"/>
    <x v="0"/>
    <x v="3"/>
    <x v="3"/>
    <x v="1"/>
    <x v="5"/>
    <x v="1856"/>
    <x v="0"/>
    <x v="2"/>
  </r>
  <r>
    <x v="1870"/>
    <x v="7"/>
    <x v="1"/>
    <x v="2"/>
    <x v="6"/>
    <x v="2"/>
    <x v="3"/>
    <x v="1857"/>
    <x v="1"/>
    <x v="1"/>
  </r>
  <r>
    <x v="1871"/>
    <x v="83"/>
    <x v="1"/>
    <x v="2"/>
    <x v="8"/>
    <x v="2"/>
    <x v="1"/>
    <x v="1858"/>
    <x v="1"/>
    <x v="2"/>
  </r>
  <r>
    <x v="1872"/>
    <x v="11"/>
    <x v="1"/>
    <x v="9"/>
    <x v="2"/>
    <x v="2"/>
    <x v="13"/>
    <x v="1859"/>
    <x v="0"/>
    <x v="2"/>
  </r>
  <r>
    <x v="1873"/>
    <x v="65"/>
    <x v="1"/>
    <x v="0"/>
    <x v="2"/>
    <x v="0"/>
    <x v="11"/>
    <x v="1860"/>
    <x v="1"/>
    <x v="4"/>
  </r>
  <r>
    <x v="1874"/>
    <x v="80"/>
    <x v="0"/>
    <x v="1"/>
    <x v="6"/>
    <x v="0"/>
    <x v="5"/>
    <x v="1861"/>
    <x v="1"/>
    <x v="0"/>
  </r>
  <r>
    <x v="1875"/>
    <x v="56"/>
    <x v="0"/>
    <x v="2"/>
    <x v="7"/>
    <x v="0"/>
    <x v="12"/>
    <x v="1862"/>
    <x v="1"/>
    <x v="2"/>
  </r>
  <r>
    <x v="1876"/>
    <x v="20"/>
    <x v="0"/>
    <x v="2"/>
    <x v="7"/>
    <x v="1"/>
    <x v="0"/>
    <x v="1863"/>
    <x v="0"/>
    <x v="3"/>
  </r>
  <r>
    <x v="1877"/>
    <x v="57"/>
    <x v="0"/>
    <x v="1"/>
    <x v="9"/>
    <x v="0"/>
    <x v="8"/>
    <x v="1864"/>
    <x v="0"/>
    <x v="4"/>
  </r>
  <r>
    <x v="1878"/>
    <x v="17"/>
    <x v="0"/>
    <x v="7"/>
    <x v="8"/>
    <x v="0"/>
    <x v="8"/>
    <x v="1865"/>
    <x v="0"/>
    <x v="4"/>
  </r>
  <r>
    <x v="1879"/>
    <x v="4"/>
    <x v="0"/>
    <x v="3"/>
    <x v="9"/>
    <x v="1"/>
    <x v="14"/>
    <x v="1866"/>
    <x v="1"/>
    <x v="0"/>
  </r>
  <r>
    <x v="1880"/>
    <x v="60"/>
    <x v="0"/>
    <x v="7"/>
    <x v="5"/>
    <x v="1"/>
    <x v="4"/>
    <x v="1867"/>
    <x v="1"/>
    <x v="4"/>
  </r>
  <r>
    <x v="1881"/>
    <x v="48"/>
    <x v="0"/>
    <x v="8"/>
    <x v="7"/>
    <x v="1"/>
    <x v="8"/>
    <x v="1868"/>
    <x v="0"/>
    <x v="2"/>
  </r>
  <r>
    <x v="1882"/>
    <x v="79"/>
    <x v="0"/>
    <x v="7"/>
    <x v="3"/>
    <x v="2"/>
    <x v="8"/>
    <x v="1869"/>
    <x v="1"/>
    <x v="2"/>
  </r>
  <r>
    <x v="1883"/>
    <x v="46"/>
    <x v="1"/>
    <x v="2"/>
    <x v="5"/>
    <x v="1"/>
    <x v="2"/>
    <x v="1870"/>
    <x v="1"/>
    <x v="1"/>
  </r>
  <r>
    <x v="1884"/>
    <x v="37"/>
    <x v="1"/>
    <x v="4"/>
    <x v="5"/>
    <x v="1"/>
    <x v="10"/>
    <x v="1871"/>
    <x v="1"/>
    <x v="3"/>
  </r>
  <r>
    <x v="1885"/>
    <x v="42"/>
    <x v="1"/>
    <x v="0"/>
    <x v="5"/>
    <x v="2"/>
    <x v="11"/>
    <x v="1872"/>
    <x v="0"/>
    <x v="0"/>
  </r>
  <r>
    <x v="1886"/>
    <x v="66"/>
    <x v="1"/>
    <x v="5"/>
    <x v="7"/>
    <x v="1"/>
    <x v="9"/>
    <x v="1873"/>
    <x v="1"/>
    <x v="3"/>
  </r>
  <r>
    <x v="1887"/>
    <x v="59"/>
    <x v="0"/>
    <x v="2"/>
    <x v="2"/>
    <x v="2"/>
    <x v="9"/>
    <x v="1874"/>
    <x v="1"/>
    <x v="1"/>
  </r>
  <r>
    <x v="1888"/>
    <x v="81"/>
    <x v="1"/>
    <x v="2"/>
    <x v="5"/>
    <x v="0"/>
    <x v="2"/>
    <x v="1875"/>
    <x v="1"/>
    <x v="4"/>
  </r>
  <r>
    <x v="1889"/>
    <x v="60"/>
    <x v="0"/>
    <x v="3"/>
    <x v="7"/>
    <x v="0"/>
    <x v="7"/>
    <x v="1876"/>
    <x v="0"/>
    <x v="4"/>
  </r>
  <r>
    <x v="1890"/>
    <x v="22"/>
    <x v="0"/>
    <x v="9"/>
    <x v="2"/>
    <x v="2"/>
    <x v="13"/>
    <x v="1877"/>
    <x v="1"/>
    <x v="1"/>
  </r>
  <r>
    <x v="1891"/>
    <x v="71"/>
    <x v="0"/>
    <x v="1"/>
    <x v="4"/>
    <x v="2"/>
    <x v="7"/>
    <x v="1878"/>
    <x v="1"/>
    <x v="3"/>
  </r>
  <r>
    <x v="1892"/>
    <x v="54"/>
    <x v="1"/>
    <x v="6"/>
    <x v="6"/>
    <x v="0"/>
    <x v="5"/>
    <x v="1879"/>
    <x v="1"/>
    <x v="2"/>
  </r>
  <r>
    <x v="1893"/>
    <x v="50"/>
    <x v="1"/>
    <x v="4"/>
    <x v="2"/>
    <x v="2"/>
    <x v="0"/>
    <x v="1880"/>
    <x v="0"/>
    <x v="2"/>
  </r>
  <r>
    <x v="1894"/>
    <x v="9"/>
    <x v="0"/>
    <x v="9"/>
    <x v="5"/>
    <x v="2"/>
    <x v="9"/>
    <x v="1881"/>
    <x v="1"/>
    <x v="0"/>
  </r>
  <r>
    <x v="1895"/>
    <x v="58"/>
    <x v="1"/>
    <x v="3"/>
    <x v="0"/>
    <x v="2"/>
    <x v="7"/>
    <x v="1882"/>
    <x v="1"/>
    <x v="4"/>
  </r>
  <r>
    <x v="1896"/>
    <x v="83"/>
    <x v="1"/>
    <x v="2"/>
    <x v="2"/>
    <x v="1"/>
    <x v="12"/>
    <x v="1883"/>
    <x v="1"/>
    <x v="3"/>
  </r>
  <r>
    <x v="1897"/>
    <x v="34"/>
    <x v="0"/>
    <x v="6"/>
    <x v="7"/>
    <x v="0"/>
    <x v="8"/>
    <x v="1884"/>
    <x v="1"/>
    <x v="3"/>
  </r>
  <r>
    <x v="1898"/>
    <x v="64"/>
    <x v="0"/>
    <x v="0"/>
    <x v="7"/>
    <x v="2"/>
    <x v="13"/>
    <x v="1885"/>
    <x v="1"/>
    <x v="2"/>
  </r>
  <r>
    <x v="1899"/>
    <x v="33"/>
    <x v="1"/>
    <x v="0"/>
    <x v="7"/>
    <x v="2"/>
    <x v="7"/>
    <x v="1886"/>
    <x v="1"/>
    <x v="2"/>
  </r>
  <r>
    <x v="1900"/>
    <x v="25"/>
    <x v="0"/>
    <x v="5"/>
    <x v="9"/>
    <x v="1"/>
    <x v="12"/>
    <x v="1887"/>
    <x v="0"/>
    <x v="3"/>
  </r>
  <r>
    <x v="1901"/>
    <x v="81"/>
    <x v="1"/>
    <x v="0"/>
    <x v="3"/>
    <x v="2"/>
    <x v="10"/>
    <x v="1888"/>
    <x v="0"/>
    <x v="3"/>
  </r>
  <r>
    <x v="1902"/>
    <x v="83"/>
    <x v="1"/>
    <x v="5"/>
    <x v="3"/>
    <x v="2"/>
    <x v="10"/>
    <x v="1889"/>
    <x v="1"/>
    <x v="2"/>
  </r>
  <r>
    <x v="1903"/>
    <x v="2"/>
    <x v="0"/>
    <x v="8"/>
    <x v="2"/>
    <x v="0"/>
    <x v="8"/>
    <x v="1890"/>
    <x v="1"/>
    <x v="1"/>
  </r>
  <r>
    <x v="1904"/>
    <x v="16"/>
    <x v="0"/>
    <x v="7"/>
    <x v="3"/>
    <x v="2"/>
    <x v="9"/>
    <x v="1891"/>
    <x v="0"/>
    <x v="4"/>
  </r>
  <r>
    <x v="1905"/>
    <x v="77"/>
    <x v="0"/>
    <x v="6"/>
    <x v="4"/>
    <x v="1"/>
    <x v="12"/>
    <x v="1892"/>
    <x v="0"/>
    <x v="4"/>
  </r>
  <r>
    <x v="1906"/>
    <x v="4"/>
    <x v="0"/>
    <x v="8"/>
    <x v="1"/>
    <x v="0"/>
    <x v="11"/>
    <x v="1893"/>
    <x v="1"/>
    <x v="0"/>
  </r>
  <r>
    <x v="1907"/>
    <x v="80"/>
    <x v="1"/>
    <x v="2"/>
    <x v="4"/>
    <x v="2"/>
    <x v="0"/>
    <x v="1894"/>
    <x v="0"/>
    <x v="2"/>
  </r>
  <r>
    <x v="1908"/>
    <x v="32"/>
    <x v="1"/>
    <x v="0"/>
    <x v="9"/>
    <x v="1"/>
    <x v="4"/>
    <x v="1895"/>
    <x v="1"/>
    <x v="2"/>
  </r>
  <r>
    <x v="1909"/>
    <x v="26"/>
    <x v="0"/>
    <x v="0"/>
    <x v="2"/>
    <x v="2"/>
    <x v="8"/>
    <x v="1896"/>
    <x v="0"/>
    <x v="0"/>
  </r>
  <r>
    <x v="1910"/>
    <x v="53"/>
    <x v="1"/>
    <x v="4"/>
    <x v="3"/>
    <x v="0"/>
    <x v="4"/>
    <x v="1897"/>
    <x v="1"/>
    <x v="1"/>
  </r>
  <r>
    <x v="1911"/>
    <x v="21"/>
    <x v="1"/>
    <x v="1"/>
    <x v="8"/>
    <x v="1"/>
    <x v="12"/>
    <x v="1898"/>
    <x v="1"/>
    <x v="3"/>
  </r>
  <r>
    <x v="1912"/>
    <x v="1"/>
    <x v="0"/>
    <x v="4"/>
    <x v="6"/>
    <x v="2"/>
    <x v="0"/>
    <x v="1899"/>
    <x v="1"/>
    <x v="3"/>
  </r>
  <r>
    <x v="1913"/>
    <x v="30"/>
    <x v="0"/>
    <x v="1"/>
    <x v="6"/>
    <x v="2"/>
    <x v="0"/>
    <x v="1900"/>
    <x v="1"/>
    <x v="4"/>
  </r>
  <r>
    <x v="1914"/>
    <x v="68"/>
    <x v="1"/>
    <x v="6"/>
    <x v="6"/>
    <x v="1"/>
    <x v="5"/>
    <x v="1901"/>
    <x v="1"/>
    <x v="0"/>
  </r>
  <r>
    <x v="1915"/>
    <x v="18"/>
    <x v="1"/>
    <x v="4"/>
    <x v="4"/>
    <x v="0"/>
    <x v="8"/>
    <x v="1902"/>
    <x v="1"/>
    <x v="4"/>
  </r>
  <r>
    <x v="1916"/>
    <x v="33"/>
    <x v="1"/>
    <x v="7"/>
    <x v="5"/>
    <x v="0"/>
    <x v="8"/>
    <x v="1903"/>
    <x v="0"/>
    <x v="1"/>
  </r>
  <r>
    <x v="1917"/>
    <x v="62"/>
    <x v="1"/>
    <x v="5"/>
    <x v="8"/>
    <x v="1"/>
    <x v="3"/>
    <x v="1904"/>
    <x v="0"/>
    <x v="1"/>
  </r>
  <r>
    <x v="1918"/>
    <x v="10"/>
    <x v="1"/>
    <x v="7"/>
    <x v="2"/>
    <x v="1"/>
    <x v="4"/>
    <x v="1905"/>
    <x v="1"/>
    <x v="2"/>
  </r>
  <r>
    <x v="1919"/>
    <x v="50"/>
    <x v="0"/>
    <x v="0"/>
    <x v="8"/>
    <x v="1"/>
    <x v="5"/>
    <x v="1906"/>
    <x v="0"/>
    <x v="4"/>
  </r>
  <r>
    <x v="1920"/>
    <x v="57"/>
    <x v="1"/>
    <x v="8"/>
    <x v="0"/>
    <x v="0"/>
    <x v="5"/>
    <x v="1907"/>
    <x v="1"/>
    <x v="0"/>
  </r>
  <r>
    <x v="1921"/>
    <x v="30"/>
    <x v="1"/>
    <x v="3"/>
    <x v="2"/>
    <x v="1"/>
    <x v="0"/>
    <x v="1908"/>
    <x v="1"/>
    <x v="0"/>
  </r>
  <r>
    <x v="1922"/>
    <x v="84"/>
    <x v="0"/>
    <x v="2"/>
    <x v="8"/>
    <x v="1"/>
    <x v="4"/>
    <x v="1899"/>
    <x v="0"/>
    <x v="0"/>
  </r>
  <r>
    <x v="1923"/>
    <x v="59"/>
    <x v="0"/>
    <x v="8"/>
    <x v="4"/>
    <x v="2"/>
    <x v="7"/>
    <x v="1909"/>
    <x v="1"/>
    <x v="2"/>
  </r>
  <r>
    <x v="1924"/>
    <x v="13"/>
    <x v="1"/>
    <x v="3"/>
    <x v="7"/>
    <x v="2"/>
    <x v="0"/>
    <x v="1910"/>
    <x v="0"/>
    <x v="3"/>
  </r>
  <r>
    <x v="1925"/>
    <x v="15"/>
    <x v="0"/>
    <x v="9"/>
    <x v="9"/>
    <x v="0"/>
    <x v="14"/>
    <x v="1911"/>
    <x v="1"/>
    <x v="1"/>
  </r>
  <r>
    <x v="1926"/>
    <x v="38"/>
    <x v="0"/>
    <x v="1"/>
    <x v="5"/>
    <x v="2"/>
    <x v="5"/>
    <x v="1912"/>
    <x v="1"/>
    <x v="2"/>
  </r>
  <r>
    <x v="1927"/>
    <x v="35"/>
    <x v="0"/>
    <x v="0"/>
    <x v="2"/>
    <x v="1"/>
    <x v="10"/>
    <x v="1913"/>
    <x v="1"/>
    <x v="3"/>
  </r>
  <r>
    <x v="1928"/>
    <x v="18"/>
    <x v="1"/>
    <x v="8"/>
    <x v="2"/>
    <x v="0"/>
    <x v="3"/>
    <x v="1914"/>
    <x v="0"/>
    <x v="2"/>
  </r>
  <r>
    <x v="1929"/>
    <x v="68"/>
    <x v="1"/>
    <x v="8"/>
    <x v="1"/>
    <x v="2"/>
    <x v="11"/>
    <x v="1915"/>
    <x v="1"/>
    <x v="1"/>
  </r>
  <r>
    <x v="1930"/>
    <x v="70"/>
    <x v="0"/>
    <x v="0"/>
    <x v="2"/>
    <x v="0"/>
    <x v="2"/>
    <x v="1916"/>
    <x v="0"/>
    <x v="4"/>
  </r>
  <r>
    <x v="1931"/>
    <x v="18"/>
    <x v="1"/>
    <x v="1"/>
    <x v="5"/>
    <x v="1"/>
    <x v="7"/>
    <x v="1917"/>
    <x v="1"/>
    <x v="1"/>
  </r>
  <r>
    <x v="1932"/>
    <x v="49"/>
    <x v="1"/>
    <x v="4"/>
    <x v="7"/>
    <x v="2"/>
    <x v="11"/>
    <x v="1918"/>
    <x v="0"/>
    <x v="3"/>
  </r>
  <r>
    <x v="1933"/>
    <x v="68"/>
    <x v="1"/>
    <x v="2"/>
    <x v="3"/>
    <x v="0"/>
    <x v="5"/>
    <x v="1919"/>
    <x v="0"/>
    <x v="3"/>
  </r>
  <r>
    <x v="1934"/>
    <x v="1"/>
    <x v="0"/>
    <x v="6"/>
    <x v="3"/>
    <x v="2"/>
    <x v="6"/>
    <x v="1920"/>
    <x v="1"/>
    <x v="3"/>
  </r>
  <r>
    <x v="1935"/>
    <x v="46"/>
    <x v="0"/>
    <x v="1"/>
    <x v="4"/>
    <x v="1"/>
    <x v="3"/>
    <x v="1921"/>
    <x v="0"/>
    <x v="4"/>
  </r>
  <r>
    <x v="1936"/>
    <x v="62"/>
    <x v="1"/>
    <x v="4"/>
    <x v="9"/>
    <x v="0"/>
    <x v="6"/>
    <x v="1922"/>
    <x v="1"/>
    <x v="0"/>
  </r>
  <r>
    <x v="1937"/>
    <x v="18"/>
    <x v="1"/>
    <x v="1"/>
    <x v="7"/>
    <x v="2"/>
    <x v="13"/>
    <x v="1923"/>
    <x v="1"/>
    <x v="3"/>
  </r>
  <r>
    <x v="1938"/>
    <x v="70"/>
    <x v="1"/>
    <x v="4"/>
    <x v="4"/>
    <x v="1"/>
    <x v="4"/>
    <x v="1924"/>
    <x v="1"/>
    <x v="4"/>
  </r>
  <r>
    <x v="1939"/>
    <x v="55"/>
    <x v="1"/>
    <x v="6"/>
    <x v="9"/>
    <x v="1"/>
    <x v="5"/>
    <x v="1925"/>
    <x v="1"/>
    <x v="3"/>
  </r>
  <r>
    <x v="1940"/>
    <x v="82"/>
    <x v="1"/>
    <x v="5"/>
    <x v="2"/>
    <x v="1"/>
    <x v="3"/>
    <x v="1926"/>
    <x v="0"/>
    <x v="1"/>
  </r>
  <r>
    <x v="1941"/>
    <x v="47"/>
    <x v="1"/>
    <x v="4"/>
    <x v="8"/>
    <x v="1"/>
    <x v="12"/>
    <x v="1927"/>
    <x v="0"/>
    <x v="3"/>
  </r>
  <r>
    <x v="1942"/>
    <x v="66"/>
    <x v="0"/>
    <x v="4"/>
    <x v="8"/>
    <x v="2"/>
    <x v="4"/>
    <x v="1928"/>
    <x v="0"/>
    <x v="2"/>
  </r>
  <r>
    <x v="1943"/>
    <x v="3"/>
    <x v="1"/>
    <x v="6"/>
    <x v="8"/>
    <x v="2"/>
    <x v="14"/>
    <x v="1929"/>
    <x v="0"/>
    <x v="0"/>
  </r>
  <r>
    <x v="1944"/>
    <x v="41"/>
    <x v="1"/>
    <x v="2"/>
    <x v="3"/>
    <x v="0"/>
    <x v="11"/>
    <x v="1930"/>
    <x v="0"/>
    <x v="2"/>
  </r>
  <r>
    <x v="1945"/>
    <x v="29"/>
    <x v="0"/>
    <x v="4"/>
    <x v="2"/>
    <x v="2"/>
    <x v="8"/>
    <x v="1931"/>
    <x v="1"/>
    <x v="3"/>
  </r>
  <r>
    <x v="1946"/>
    <x v="40"/>
    <x v="0"/>
    <x v="8"/>
    <x v="4"/>
    <x v="1"/>
    <x v="10"/>
    <x v="1932"/>
    <x v="0"/>
    <x v="4"/>
  </r>
  <r>
    <x v="1947"/>
    <x v="46"/>
    <x v="1"/>
    <x v="0"/>
    <x v="1"/>
    <x v="1"/>
    <x v="13"/>
    <x v="1933"/>
    <x v="0"/>
    <x v="1"/>
  </r>
  <r>
    <x v="1948"/>
    <x v="74"/>
    <x v="0"/>
    <x v="6"/>
    <x v="1"/>
    <x v="1"/>
    <x v="7"/>
    <x v="1934"/>
    <x v="1"/>
    <x v="1"/>
  </r>
  <r>
    <x v="1949"/>
    <x v="47"/>
    <x v="0"/>
    <x v="4"/>
    <x v="6"/>
    <x v="0"/>
    <x v="10"/>
    <x v="1935"/>
    <x v="0"/>
    <x v="1"/>
  </r>
  <r>
    <x v="1950"/>
    <x v="10"/>
    <x v="0"/>
    <x v="9"/>
    <x v="9"/>
    <x v="1"/>
    <x v="12"/>
    <x v="1936"/>
    <x v="0"/>
    <x v="4"/>
  </r>
  <r>
    <x v="1951"/>
    <x v="34"/>
    <x v="0"/>
    <x v="3"/>
    <x v="5"/>
    <x v="0"/>
    <x v="13"/>
    <x v="1937"/>
    <x v="0"/>
    <x v="1"/>
  </r>
  <r>
    <x v="1952"/>
    <x v="79"/>
    <x v="1"/>
    <x v="7"/>
    <x v="8"/>
    <x v="2"/>
    <x v="1"/>
    <x v="1938"/>
    <x v="1"/>
    <x v="1"/>
  </r>
  <r>
    <x v="1953"/>
    <x v="14"/>
    <x v="1"/>
    <x v="7"/>
    <x v="9"/>
    <x v="2"/>
    <x v="0"/>
    <x v="1939"/>
    <x v="1"/>
    <x v="1"/>
  </r>
  <r>
    <x v="1954"/>
    <x v="30"/>
    <x v="1"/>
    <x v="9"/>
    <x v="5"/>
    <x v="0"/>
    <x v="12"/>
    <x v="1940"/>
    <x v="1"/>
    <x v="3"/>
  </r>
  <r>
    <x v="1955"/>
    <x v="9"/>
    <x v="1"/>
    <x v="0"/>
    <x v="8"/>
    <x v="0"/>
    <x v="6"/>
    <x v="1941"/>
    <x v="1"/>
    <x v="2"/>
  </r>
  <r>
    <x v="1956"/>
    <x v="36"/>
    <x v="0"/>
    <x v="6"/>
    <x v="4"/>
    <x v="0"/>
    <x v="3"/>
    <x v="1942"/>
    <x v="1"/>
    <x v="1"/>
  </r>
  <r>
    <x v="1957"/>
    <x v="15"/>
    <x v="0"/>
    <x v="8"/>
    <x v="3"/>
    <x v="2"/>
    <x v="6"/>
    <x v="1943"/>
    <x v="1"/>
    <x v="1"/>
  </r>
  <r>
    <x v="1958"/>
    <x v="59"/>
    <x v="0"/>
    <x v="4"/>
    <x v="2"/>
    <x v="2"/>
    <x v="12"/>
    <x v="1944"/>
    <x v="0"/>
    <x v="1"/>
  </r>
  <r>
    <x v="1959"/>
    <x v="86"/>
    <x v="0"/>
    <x v="0"/>
    <x v="5"/>
    <x v="1"/>
    <x v="7"/>
    <x v="1945"/>
    <x v="1"/>
    <x v="1"/>
  </r>
  <r>
    <x v="1960"/>
    <x v="7"/>
    <x v="1"/>
    <x v="7"/>
    <x v="3"/>
    <x v="1"/>
    <x v="8"/>
    <x v="1946"/>
    <x v="1"/>
    <x v="4"/>
  </r>
  <r>
    <x v="1961"/>
    <x v="79"/>
    <x v="0"/>
    <x v="7"/>
    <x v="3"/>
    <x v="0"/>
    <x v="11"/>
    <x v="1947"/>
    <x v="0"/>
    <x v="2"/>
  </r>
  <r>
    <x v="1962"/>
    <x v="38"/>
    <x v="1"/>
    <x v="3"/>
    <x v="5"/>
    <x v="0"/>
    <x v="4"/>
    <x v="1948"/>
    <x v="0"/>
    <x v="4"/>
  </r>
  <r>
    <x v="1963"/>
    <x v="22"/>
    <x v="0"/>
    <x v="3"/>
    <x v="4"/>
    <x v="2"/>
    <x v="13"/>
    <x v="1949"/>
    <x v="1"/>
    <x v="1"/>
  </r>
  <r>
    <x v="1964"/>
    <x v="23"/>
    <x v="0"/>
    <x v="9"/>
    <x v="1"/>
    <x v="1"/>
    <x v="7"/>
    <x v="1950"/>
    <x v="1"/>
    <x v="4"/>
  </r>
  <r>
    <x v="1965"/>
    <x v="61"/>
    <x v="1"/>
    <x v="1"/>
    <x v="6"/>
    <x v="2"/>
    <x v="9"/>
    <x v="1951"/>
    <x v="0"/>
    <x v="1"/>
  </r>
  <r>
    <x v="1966"/>
    <x v="26"/>
    <x v="0"/>
    <x v="5"/>
    <x v="4"/>
    <x v="0"/>
    <x v="0"/>
    <x v="1952"/>
    <x v="0"/>
    <x v="2"/>
  </r>
  <r>
    <x v="1967"/>
    <x v="21"/>
    <x v="1"/>
    <x v="8"/>
    <x v="3"/>
    <x v="1"/>
    <x v="6"/>
    <x v="1953"/>
    <x v="1"/>
    <x v="1"/>
  </r>
  <r>
    <x v="1968"/>
    <x v="57"/>
    <x v="1"/>
    <x v="2"/>
    <x v="6"/>
    <x v="1"/>
    <x v="12"/>
    <x v="1954"/>
    <x v="1"/>
    <x v="0"/>
  </r>
  <r>
    <x v="1969"/>
    <x v="6"/>
    <x v="0"/>
    <x v="8"/>
    <x v="9"/>
    <x v="1"/>
    <x v="11"/>
    <x v="1955"/>
    <x v="0"/>
    <x v="4"/>
  </r>
  <r>
    <x v="1970"/>
    <x v="49"/>
    <x v="1"/>
    <x v="8"/>
    <x v="3"/>
    <x v="0"/>
    <x v="7"/>
    <x v="653"/>
    <x v="0"/>
    <x v="3"/>
  </r>
  <r>
    <x v="1971"/>
    <x v="88"/>
    <x v="1"/>
    <x v="4"/>
    <x v="2"/>
    <x v="1"/>
    <x v="3"/>
    <x v="1956"/>
    <x v="1"/>
    <x v="4"/>
  </r>
  <r>
    <x v="1972"/>
    <x v="17"/>
    <x v="1"/>
    <x v="4"/>
    <x v="1"/>
    <x v="2"/>
    <x v="0"/>
    <x v="1957"/>
    <x v="1"/>
    <x v="4"/>
  </r>
  <r>
    <x v="1973"/>
    <x v="35"/>
    <x v="1"/>
    <x v="3"/>
    <x v="1"/>
    <x v="2"/>
    <x v="3"/>
    <x v="1958"/>
    <x v="1"/>
    <x v="4"/>
  </r>
  <r>
    <x v="1974"/>
    <x v="42"/>
    <x v="1"/>
    <x v="8"/>
    <x v="0"/>
    <x v="0"/>
    <x v="10"/>
    <x v="1959"/>
    <x v="0"/>
    <x v="4"/>
  </r>
  <r>
    <x v="1975"/>
    <x v="85"/>
    <x v="0"/>
    <x v="4"/>
    <x v="9"/>
    <x v="0"/>
    <x v="12"/>
    <x v="391"/>
    <x v="1"/>
    <x v="0"/>
  </r>
  <r>
    <x v="1976"/>
    <x v="56"/>
    <x v="0"/>
    <x v="8"/>
    <x v="8"/>
    <x v="1"/>
    <x v="13"/>
    <x v="1960"/>
    <x v="0"/>
    <x v="3"/>
  </r>
  <r>
    <x v="1977"/>
    <x v="47"/>
    <x v="1"/>
    <x v="0"/>
    <x v="1"/>
    <x v="2"/>
    <x v="9"/>
    <x v="1961"/>
    <x v="1"/>
    <x v="1"/>
  </r>
  <r>
    <x v="1978"/>
    <x v="27"/>
    <x v="0"/>
    <x v="3"/>
    <x v="2"/>
    <x v="0"/>
    <x v="0"/>
    <x v="1962"/>
    <x v="0"/>
    <x v="2"/>
  </r>
  <r>
    <x v="1979"/>
    <x v="75"/>
    <x v="0"/>
    <x v="8"/>
    <x v="9"/>
    <x v="1"/>
    <x v="14"/>
    <x v="1963"/>
    <x v="1"/>
    <x v="3"/>
  </r>
  <r>
    <x v="1980"/>
    <x v="51"/>
    <x v="0"/>
    <x v="7"/>
    <x v="9"/>
    <x v="1"/>
    <x v="12"/>
    <x v="1964"/>
    <x v="1"/>
    <x v="2"/>
  </r>
  <r>
    <x v="1981"/>
    <x v="47"/>
    <x v="1"/>
    <x v="5"/>
    <x v="2"/>
    <x v="0"/>
    <x v="9"/>
    <x v="1965"/>
    <x v="0"/>
    <x v="3"/>
  </r>
  <r>
    <x v="1982"/>
    <x v="61"/>
    <x v="1"/>
    <x v="6"/>
    <x v="5"/>
    <x v="1"/>
    <x v="14"/>
    <x v="1966"/>
    <x v="0"/>
    <x v="2"/>
  </r>
  <r>
    <x v="1983"/>
    <x v="59"/>
    <x v="0"/>
    <x v="0"/>
    <x v="9"/>
    <x v="1"/>
    <x v="3"/>
    <x v="1967"/>
    <x v="0"/>
    <x v="0"/>
  </r>
  <r>
    <x v="1984"/>
    <x v="3"/>
    <x v="0"/>
    <x v="9"/>
    <x v="7"/>
    <x v="1"/>
    <x v="7"/>
    <x v="1968"/>
    <x v="1"/>
    <x v="2"/>
  </r>
  <r>
    <x v="1985"/>
    <x v="84"/>
    <x v="0"/>
    <x v="8"/>
    <x v="9"/>
    <x v="0"/>
    <x v="4"/>
    <x v="1969"/>
    <x v="1"/>
    <x v="2"/>
  </r>
  <r>
    <x v="1986"/>
    <x v="83"/>
    <x v="0"/>
    <x v="9"/>
    <x v="8"/>
    <x v="1"/>
    <x v="3"/>
    <x v="1970"/>
    <x v="0"/>
    <x v="1"/>
  </r>
  <r>
    <x v="1987"/>
    <x v="87"/>
    <x v="1"/>
    <x v="2"/>
    <x v="7"/>
    <x v="1"/>
    <x v="1"/>
    <x v="1971"/>
    <x v="0"/>
    <x v="4"/>
  </r>
  <r>
    <x v="1988"/>
    <x v="87"/>
    <x v="1"/>
    <x v="3"/>
    <x v="6"/>
    <x v="1"/>
    <x v="1"/>
    <x v="1972"/>
    <x v="1"/>
    <x v="1"/>
  </r>
  <r>
    <x v="1989"/>
    <x v="71"/>
    <x v="0"/>
    <x v="6"/>
    <x v="3"/>
    <x v="2"/>
    <x v="2"/>
    <x v="1973"/>
    <x v="0"/>
    <x v="1"/>
  </r>
  <r>
    <x v="1990"/>
    <x v="2"/>
    <x v="1"/>
    <x v="9"/>
    <x v="2"/>
    <x v="0"/>
    <x v="0"/>
    <x v="1974"/>
    <x v="1"/>
    <x v="3"/>
  </r>
  <r>
    <x v="1991"/>
    <x v="58"/>
    <x v="0"/>
    <x v="5"/>
    <x v="2"/>
    <x v="0"/>
    <x v="2"/>
    <x v="1975"/>
    <x v="0"/>
    <x v="3"/>
  </r>
  <r>
    <x v="1992"/>
    <x v="58"/>
    <x v="1"/>
    <x v="8"/>
    <x v="3"/>
    <x v="1"/>
    <x v="2"/>
    <x v="1976"/>
    <x v="1"/>
    <x v="2"/>
  </r>
  <r>
    <x v="1993"/>
    <x v="41"/>
    <x v="1"/>
    <x v="7"/>
    <x v="6"/>
    <x v="2"/>
    <x v="2"/>
    <x v="1977"/>
    <x v="0"/>
    <x v="4"/>
  </r>
  <r>
    <x v="1994"/>
    <x v="12"/>
    <x v="0"/>
    <x v="4"/>
    <x v="1"/>
    <x v="0"/>
    <x v="7"/>
    <x v="1978"/>
    <x v="0"/>
    <x v="4"/>
  </r>
  <r>
    <x v="1995"/>
    <x v="15"/>
    <x v="0"/>
    <x v="0"/>
    <x v="6"/>
    <x v="0"/>
    <x v="14"/>
    <x v="1979"/>
    <x v="0"/>
    <x v="2"/>
  </r>
  <r>
    <x v="1996"/>
    <x v="8"/>
    <x v="1"/>
    <x v="0"/>
    <x v="5"/>
    <x v="1"/>
    <x v="11"/>
    <x v="897"/>
    <x v="1"/>
    <x v="4"/>
  </r>
  <r>
    <x v="1997"/>
    <x v="9"/>
    <x v="0"/>
    <x v="8"/>
    <x v="4"/>
    <x v="0"/>
    <x v="1"/>
    <x v="1980"/>
    <x v="0"/>
    <x v="3"/>
  </r>
  <r>
    <x v="1998"/>
    <x v="22"/>
    <x v="0"/>
    <x v="6"/>
    <x v="9"/>
    <x v="1"/>
    <x v="2"/>
    <x v="1981"/>
    <x v="0"/>
    <x v="1"/>
  </r>
  <r>
    <x v="1999"/>
    <x v="70"/>
    <x v="0"/>
    <x v="4"/>
    <x v="2"/>
    <x v="1"/>
    <x v="2"/>
    <x v="1982"/>
    <x v="1"/>
    <x v="0"/>
  </r>
  <r>
    <x v="2000"/>
    <x v="72"/>
    <x v="0"/>
    <x v="6"/>
    <x v="5"/>
    <x v="1"/>
    <x v="13"/>
    <x v="1983"/>
    <x v="1"/>
    <x v="4"/>
  </r>
  <r>
    <x v="2001"/>
    <x v="10"/>
    <x v="1"/>
    <x v="7"/>
    <x v="9"/>
    <x v="1"/>
    <x v="13"/>
    <x v="1984"/>
    <x v="0"/>
    <x v="4"/>
  </r>
  <r>
    <x v="2002"/>
    <x v="40"/>
    <x v="0"/>
    <x v="1"/>
    <x v="6"/>
    <x v="0"/>
    <x v="12"/>
    <x v="1985"/>
    <x v="0"/>
    <x v="3"/>
  </r>
  <r>
    <x v="2003"/>
    <x v="0"/>
    <x v="1"/>
    <x v="8"/>
    <x v="9"/>
    <x v="1"/>
    <x v="10"/>
    <x v="1986"/>
    <x v="1"/>
    <x v="2"/>
  </r>
  <r>
    <x v="2004"/>
    <x v="32"/>
    <x v="1"/>
    <x v="5"/>
    <x v="8"/>
    <x v="0"/>
    <x v="11"/>
    <x v="1987"/>
    <x v="0"/>
    <x v="1"/>
  </r>
  <r>
    <x v="2005"/>
    <x v="46"/>
    <x v="1"/>
    <x v="9"/>
    <x v="9"/>
    <x v="0"/>
    <x v="4"/>
    <x v="1988"/>
    <x v="0"/>
    <x v="4"/>
  </r>
  <r>
    <x v="2006"/>
    <x v="8"/>
    <x v="1"/>
    <x v="1"/>
    <x v="1"/>
    <x v="0"/>
    <x v="5"/>
    <x v="1538"/>
    <x v="1"/>
    <x v="3"/>
  </r>
  <r>
    <x v="2007"/>
    <x v="24"/>
    <x v="1"/>
    <x v="7"/>
    <x v="9"/>
    <x v="2"/>
    <x v="7"/>
    <x v="1989"/>
    <x v="1"/>
    <x v="0"/>
  </r>
  <r>
    <x v="2008"/>
    <x v="19"/>
    <x v="1"/>
    <x v="1"/>
    <x v="0"/>
    <x v="1"/>
    <x v="14"/>
    <x v="1990"/>
    <x v="1"/>
    <x v="3"/>
  </r>
  <r>
    <x v="2009"/>
    <x v="61"/>
    <x v="0"/>
    <x v="1"/>
    <x v="3"/>
    <x v="2"/>
    <x v="4"/>
    <x v="1991"/>
    <x v="0"/>
    <x v="1"/>
  </r>
  <r>
    <x v="2010"/>
    <x v="88"/>
    <x v="1"/>
    <x v="1"/>
    <x v="2"/>
    <x v="2"/>
    <x v="6"/>
    <x v="1992"/>
    <x v="0"/>
    <x v="1"/>
  </r>
  <r>
    <x v="2011"/>
    <x v="6"/>
    <x v="0"/>
    <x v="6"/>
    <x v="2"/>
    <x v="2"/>
    <x v="13"/>
    <x v="1993"/>
    <x v="0"/>
    <x v="3"/>
  </r>
  <r>
    <x v="2012"/>
    <x v="58"/>
    <x v="0"/>
    <x v="5"/>
    <x v="2"/>
    <x v="2"/>
    <x v="2"/>
    <x v="1994"/>
    <x v="0"/>
    <x v="0"/>
  </r>
  <r>
    <x v="2013"/>
    <x v="29"/>
    <x v="0"/>
    <x v="3"/>
    <x v="8"/>
    <x v="2"/>
    <x v="9"/>
    <x v="1995"/>
    <x v="1"/>
    <x v="2"/>
  </r>
  <r>
    <x v="2014"/>
    <x v="18"/>
    <x v="0"/>
    <x v="7"/>
    <x v="7"/>
    <x v="1"/>
    <x v="7"/>
    <x v="1996"/>
    <x v="0"/>
    <x v="0"/>
  </r>
  <r>
    <x v="2015"/>
    <x v="11"/>
    <x v="1"/>
    <x v="4"/>
    <x v="1"/>
    <x v="0"/>
    <x v="7"/>
    <x v="1997"/>
    <x v="1"/>
    <x v="0"/>
  </r>
  <r>
    <x v="2016"/>
    <x v="44"/>
    <x v="1"/>
    <x v="2"/>
    <x v="2"/>
    <x v="2"/>
    <x v="11"/>
    <x v="1998"/>
    <x v="0"/>
    <x v="3"/>
  </r>
  <r>
    <x v="2017"/>
    <x v="10"/>
    <x v="1"/>
    <x v="9"/>
    <x v="9"/>
    <x v="0"/>
    <x v="6"/>
    <x v="1999"/>
    <x v="0"/>
    <x v="2"/>
  </r>
  <r>
    <x v="2018"/>
    <x v="43"/>
    <x v="0"/>
    <x v="3"/>
    <x v="8"/>
    <x v="0"/>
    <x v="1"/>
    <x v="2000"/>
    <x v="0"/>
    <x v="4"/>
  </r>
  <r>
    <x v="2019"/>
    <x v="64"/>
    <x v="0"/>
    <x v="3"/>
    <x v="0"/>
    <x v="1"/>
    <x v="0"/>
    <x v="2001"/>
    <x v="1"/>
    <x v="1"/>
  </r>
  <r>
    <x v="2020"/>
    <x v="9"/>
    <x v="1"/>
    <x v="7"/>
    <x v="7"/>
    <x v="2"/>
    <x v="12"/>
    <x v="2002"/>
    <x v="0"/>
    <x v="3"/>
  </r>
  <r>
    <x v="2021"/>
    <x v="23"/>
    <x v="0"/>
    <x v="7"/>
    <x v="5"/>
    <x v="0"/>
    <x v="3"/>
    <x v="1006"/>
    <x v="0"/>
    <x v="0"/>
  </r>
  <r>
    <x v="2022"/>
    <x v="81"/>
    <x v="1"/>
    <x v="3"/>
    <x v="8"/>
    <x v="1"/>
    <x v="11"/>
    <x v="2003"/>
    <x v="0"/>
    <x v="4"/>
  </r>
  <r>
    <x v="2023"/>
    <x v="85"/>
    <x v="1"/>
    <x v="4"/>
    <x v="6"/>
    <x v="0"/>
    <x v="3"/>
    <x v="2004"/>
    <x v="0"/>
    <x v="1"/>
  </r>
  <r>
    <x v="2024"/>
    <x v="27"/>
    <x v="0"/>
    <x v="7"/>
    <x v="0"/>
    <x v="1"/>
    <x v="13"/>
    <x v="770"/>
    <x v="1"/>
    <x v="3"/>
  </r>
  <r>
    <x v="2025"/>
    <x v="45"/>
    <x v="1"/>
    <x v="7"/>
    <x v="1"/>
    <x v="2"/>
    <x v="14"/>
    <x v="2005"/>
    <x v="1"/>
    <x v="2"/>
  </r>
  <r>
    <x v="2026"/>
    <x v="47"/>
    <x v="0"/>
    <x v="4"/>
    <x v="0"/>
    <x v="1"/>
    <x v="9"/>
    <x v="2006"/>
    <x v="0"/>
    <x v="0"/>
  </r>
  <r>
    <x v="2027"/>
    <x v="0"/>
    <x v="1"/>
    <x v="7"/>
    <x v="0"/>
    <x v="2"/>
    <x v="3"/>
    <x v="2007"/>
    <x v="0"/>
    <x v="4"/>
  </r>
  <r>
    <x v="2028"/>
    <x v="33"/>
    <x v="0"/>
    <x v="4"/>
    <x v="5"/>
    <x v="2"/>
    <x v="12"/>
    <x v="2008"/>
    <x v="1"/>
    <x v="3"/>
  </r>
  <r>
    <x v="2029"/>
    <x v="44"/>
    <x v="0"/>
    <x v="9"/>
    <x v="2"/>
    <x v="1"/>
    <x v="11"/>
    <x v="2009"/>
    <x v="1"/>
    <x v="1"/>
  </r>
  <r>
    <x v="2030"/>
    <x v="34"/>
    <x v="0"/>
    <x v="4"/>
    <x v="9"/>
    <x v="1"/>
    <x v="4"/>
    <x v="2010"/>
    <x v="1"/>
    <x v="0"/>
  </r>
  <r>
    <x v="2031"/>
    <x v="23"/>
    <x v="0"/>
    <x v="7"/>
    <x v="2"/>
    <x v="1"/>
    <x v="1"/>
    <x v="2011"/>
    <x v="0"/>
    <x v="1"/>
  </r>
  <r>
    <x v="2032"/>
    <x v="45"/>
    <x v="0"/>
    <x v="6"/>
    <x v="5"/>
    <x v="0"/>
    <x v="8"/>
    <x v="2012"/>
    <x v="1"/>
    <x v="0"/>
  </r>
  <r>
    <x v="2033"/>
    <x v="46"/>
    <x v="1"/>
    <x v="8"/>
    <x v="3"/>
    <x v="0"/>
    <x v="6"/>
    <x v="2013"/>
    <x v="0"/>
    <x v="3"/>
  </r>
  <r>
    <x v="2034"/>
    <x v="23"/>
    <x v="0"/>
    <x v="3"/>
    <x v="5"/>
    <x v="2"/>
    <x v="4"/>
    <x v="2014"/>
    <x v="1"/>
    <x v="0"/>
  </r>
  <r>
    <x v="2035"/>
    <x v="37"/>
    <x v="0"/>
    <x v="2"/>
    <x v="8"/>
    <x v="0"/>
    <x v="10"/>
    <x v="2015"/>
    <x v="0"/>
    <x v="2"/>
  </r>
  <r>
    <x v="2036"/>
    <x v="35"/>
    <x v="0"/>
    <x v="0"/>
    <x v="4"/>
    <x v="2"/>
    <x v="13"/>
    <x v="2016"/>
    <x v="0"/>
    <x v="4"/>
  </r>
  <r>
    <x v="2037"/>
    <x v="65"/>
    <x v="1"/>
    <x v="9"/>
    <x v="9"/>
    <x v="0"/>
    <x v="4"/>
    <x v="2017"/>
    <x v="0"/>
    <x v="2"/>
  </r>
  <r>
    <x v="2038"/>
    <x v="66"/>
    <x v="1"/>
    <x v="6"/>
    <x v="4"/>
    <x v="0"/>
    <x v="9"/>
    <x v="2018"/>
    <x v="0"/>
    <x v="2"/>
  </r>
  <r>
    <x v="2039"/>
    <x v="38"/>
    <x v="0"/>
    <x v="4"/>
    <x v="7"/>
    <x v="2"/>
    <x v="14"/>
    <x v="2019"/>
    <x v="1"/>
    <x v="3"/>
  </r>
  <r>
    <x v="2040"/>
    <x v="73"/>
    <x v="1"/>
    <x v="5"/>
    <x v="9"/>
    <x v="0"/>
    <x v="2"/>
    <x v="2020"/>
    <x v="1"/>
    <x v="2"/>
  </r>
  <r>
    <x v="2041"/>
    <x v="17"/>
    <x v="0"/>
    <x v="2"/>
    <x v="2"/>
    <x v="2"/>
    <x v="1"/>
    <x v="2021"/>
    <x v="1"/>
    <x v="0"/>
  </r>
  <r>
    <x v="2042"/>
    <x v="50"/>
    <x v="1"/>
    <x v="1"/>
    <x v="3"/>
    <x v="2"/>
    <x v="10"/>
    <x v="2022"/>
    <x v="1"/>
    <x v="4"/>
  </r>
  <r>
    <x v="2043"/>
    <x v="54"/>
    <x v="1"/>
    <x v="3"/>
    <x v="0"/>
    <x v="0"/>
    <x v="14"/>
    <x v="317"/>
    <x v="0"/>
    <x v="4"/>
  </r>
  <r>
    <x v="2044"/>
    <x v="36"/>
    <x v="1"/>
    <x v="6"/>
    <x v="4"/>
    <x v="2"/>
    <x v="12"/>
    <x v="2023"/>
    <x v="0"/>
    <x v="3"/>
  </r>
  <r>
    <x v="2045"/>
    <x v="50"/>
    <x v="1"/>
    <x v="0"/>
    <x v="5"/>
    <x v="0"/>
    <x v="7"/>
    <x v="2024"/>
    <x v="0"/>
    <x v="3"/>
  </r>
  <r>
    <x v="2046"/>
    <x v="47"/>
    <x v="1"/>
    <x v="5"/>
    <x v="2"/>
    <x v="1"/>
    <x v="1"/>
    <x v="2025"/>
    <x v="1"/>
    <x v="4"/>
  </r>
  <r>
    <x v="2047"/>
    <x v="12"/>
    <x v="1"/>
    <x v="1"/>
    <x v="2"/>
    <x v="2"/>
    <x v="3"/>
    <x v="2026"/>
    <x v="0"/>
    <x v="0"/>
  </r>
  <r>
    <x v="2048"/>
    <x v="57"/>
    <x v="0"/>
    <x v="0"/>
    <x v="6"/>
    <x v="1"/>
    <x v="2"/>
    <x v="2027"/>
    <x v="1"/>
    <x v="1"/>
  </r>
  <r>
    <x v="2049"/>
    <x v="65"/>
    <x v="0"/>
    <x v="9"/>
    <x v="5"/>
    <x v="1"/>
    <x v="9"/>
    <x v="2028"/>
    <x v="1"/>
    <x v="0"/>
  </r>
  <r>
    <x v="2050"/>
    <x v="73"/>
    <x v="0"/>
    <x v="0"/>
    <x v="7"/>
    <x v="1"/>
    <x v="13"/>
    <x v="2029"/>
    <x v="1"/>
    <x v="3"/>
  </r>
  <r>
    <x v="2051"/>
    <x v="13"/>
    <x v="1"/>
    <x v="2"/>
    <x v="5"/>
    <x v="1"/>
    <x v="9"/>
    <x v="2030"/>
    <x v="1"/>
    <x v="4"/>
  </r>
  <r>
    <x v="2052"/>
    <x v="24"/>
    <x v="0"/>
    <x v="3"/>
    <x v="9"/>
    <x v="1"/>
    <x v="14"/>
    <x v="2031"/>
    <x v="0"/>
    <x v="0"/>
  </r>
  <r>
    <x v="2053"/>
    <x v="13"/>
    <x v="0"/>
    <x v="6"/>
    <x v="9"/>
    <x v="0"/>
    <x v="3"/>
    <x v="2032"/>
    <x v="1"/>
    <x v="2"/>
  </r>
  <r>
    <x v="2054"/>
    <x v="61"/>
    <x v="0"/>
    <x v="9"/>
    <x v="0"/>
    <x v="1"/>
    <x v="5"/>
    <x v="2033"/>
    <x v="0"/>
    <x v="1"/>
  </r>
  <r>
    <x v="2055"/>
    <x v="73"/>
    <x v="1"/>
    <x v="9"/>
    <x v="5"/>
    <x v="0"/>
    <x v="9"/>
    <x v="2034"/>
    <x v="0"/>
    <x v="0"/>
  </r>
  <r>
    <x v="2056"/>
    <x v="50"/>
    <x v="1"/>
    <x v="1"/>
    <x v="2"/>
    <x v="0"/>
    <x v="12"/>
    <x v="2035"/>
    <x v="0"/>
    <x v="1"/>
  </r>
  <r>
    <x v="2057"/>
    <x v="61"/>
    <x v="0"/>
    <x v="9"/>
    <x v="6"/>
    <x v="0"/>
    <x v="7"/>
    <x v="2036"/>
    <x v="0"/>
    <x v="0"/>
  </r>
  <r>
    <x v="2058"/>
    <x v="55"/>
    <x v="0"/>
    <x v="8"/>
    <x v="9"/>
    <x v="0"/>
    <x v="2"/>
    <x v="2037"/>
    <x v="1"/>
    <x v="1"/>
  </r>
  <r>
    <x v="2059"/>
    <x v="48"/>
    <x v="1"/>
    <x v="8"/>
    <x v="3"/>
    <x v="0"/>
    <x v="12"/>
    <x v="2038"/>
    <x v="0"/>
    <x v="4"/>
  </r>
  <r>
    <x v="2060"/>
    <x v="43"/>
    <x v="0"/>
    <x v="5"/>
    <x v="6"/>
    <x v="1"/>
    <x v="1"/>
    <x v="2039"/>
    <x v="1"/>
    <x v="3"/>
  </r>
  <r>
    <x v="2061"/>
    <x v="67"/>
    <x v="0"/>
    <x v="9"/>
    <x v="2"/>
    <x v="2"/>
    <x v="7"/>
    <x v="2040"/>
    <x v="1"/>
    <x v="1"/>
  </r>
  <r>
    <x v="2062"/>
    <x v="8"/>
    <x v="1"/>
    <x v="9"/>
    <x v="9"/>
    <x v="1"/>
    <x v="2"/>
    <x v="2041"/>
    <x v="0"/>
    <x v="4"/>
  </r>
  <r>
    <x v="2063"/>
    <x v="54"/>
    <x v="0"/>
    <x v="1"/>
    <x v="0"/>
    <x v="1"/>
    <x v="13"/>
    <x v="2042"/>
    <x v="0"/>
    <x v="2"/>
  </r>
  <r>
    <x v="2064"/>
    <x v="34"/>
    <x v="0"/>
    <x v="7"/>
    <x v="1"/>
    <x v="2"/>
    <x v="3"/>
    <x v="2043"/>
    <x v="1"/>
    <x v="2"/>
  </r>
  <r>
    <x v="2065"/>
    <x v="19"/>
    <x v="0"/>
    <x v="9"/>
    <x v="6"/>
    <x v="0"/>
    <x v="6"/>
    <x v="2044"/>
    <x v="0"/>
    <x v="4"/>
  </r>
  <r>
    <x v="2066"/>
    <x v="48"/>
    <x v="1"/>
    <x v="4"/>
    <x v="7"/>
    <x v="1"/>
    <x v="5"/>
    <x v="2045"/>
    <x v="1"/>
    <x v="1"/>
  </r>
  <r>
    <x v="2067"/>
    <x v="76"/>
    <x v="1"/>
    <x v="3"/>
    <x v="4"/>
    <x v="1"/>
    <x v="2"/>
    <x v="2046"/>
    <x v="1"/>
    <x v="4"/>
  </r>
  <r>
    <x v="2068"/>
    <x v="81"/>
    <x v="0"/>
    <x v="7"/>
    <x v="2"/>
    <x v="2"/>
    <x v="4"/>
    <x v="1359"/>
    <x v="0"/>
    <x v="1"/>
  </r>
  <r>
    <x v="2069"/>
    <x v="56"/>
    <x v="1"/>
    <x v="8"/>
    <x v="3"/>
    <x v="1"/>
    <x v="12"/>
    <x v="2047"/>
    <x v="1"/>
    <x v="4"/>
  </r>
  <r>
    <x v="2070"/>
    <x v="86"/>
    <x v="0"/>
    <x v="1"/>
    <x v="5"/>
    <x v="2"/>
    <x v="11"/>
    <x v="2048"/>
    <x v="1"/>
    <x v="1"/>
  </r>
  <r>
    <x v="2071"/>
    <x v="88"/>
    <x v="1"/>
    <x v="0"/>
    <x v="1"/>
    <x v="1"/>
    <x v="5"/>
    <x v="2049"/>
    <x v="0"/>
    <x v="1"/>
  </r>
  <r>
    <x v="2072"/>
    <x v="53"/>
    <x v="0"/>
    <x v="4"/>
    <x v="8"/>
    <x v="0"/>
    <x v="11"/>
    <x v="2050"/>
    <x v="0"/>
    <x v="4"/>
  </r>
  <r>
    <x v="2073"/>
    <x v="64"/>
    <x v="1"/>
    <x v="3"/>
    <x v="4"/>
    <x v="0"/>
    <x v="6"/>
    <x v="2051"/>
    <x v="0"/>
    <x v="3"/>
  </r>
  <r>
    <x v="2074"/>
    <x v="85"/>
    <x v="0"/>
    <x v="8"/>
    <x v="0"/>
    <x v="2"/>
    <x v="0"/>
    <x v="2052"/>
    <x v="0"/>
    <x v="1"/>
  </r>
  <r>
    <x v="2075"/>
    <x v="73"/>
    <x v="0"/>
    <x v="4"/>
    <x v="8"/>
    <x v="2"/>
    <x v="10"/>
    <x v="2053"/>
    <x v="1"/>
    <x v="0"/>
  </r>
  <r>
    <x v="2076"/>
    <x v="64"/>
    <x v="1"/>
    <x v="3"/>
    <x v="2"/>
    <x v="1"/>
    <x v="14"/>
    <x v="2054"/>
    <x v="0"/>
    <x v="3"/>
  </r>
  <r>
    <x v="2077"/>
    <x v="66"/>
    <x v="1"/>
    <x v="8"/>
    <x v="1"/>
    <x v="0"/>
    <x v="11"/>
    <x v="2055"/>
    <x v="0"/>
    <x v="3"/>
  </r>
  <r>
    <x v="2078"/>
    <x v="73"/>
    <x v="0"/>
    <x v="6"/>
    <x v="9"/>
    <x v="2"/>
    <x v="11"/>
    <x v="2056"/>
    <x v="1"/>
    <x v="0"/>
  </r>
  <r>
    <x v="2079"/>
    <x v="45"/>
    <x v="1"/>
    <x v="0"/>
    <x v="6"/>
    <x v="2"/>
    <x v="3"/>
    <x v="2057"/>
    <x v="0"/>
    <x v="0"/>
  </r>
  <r>
    <x v="2080"/>
    <x v="76"/>
    <x v="0"/>
    <x v="6"/>
    <x v="4"/>
    <x v="1"/>
    <x v="11"/>
    <x v="2058"/>
    <x v="0"/>
    <x v="4"/>
  </r>
  <r>
    <x v="2081"/>
    <x v="14"/>
    <x v="0"/>
    <x v="5"/>
    <x v="1"/>
    <x v="1"/>
    <x v="7"/>
    <x v="1829"/>
    <x v="0"/>
    <x v="2"/>
  </r>
  <r>
    <x v="2082"/>
    <x v="77"/>
    <x v="1"/>
    <x v="2"/>
    <x v="0"/>
    <x v="1"/>
    <x v="5"/>
    <x v="2059"/>
    <x v="0"/>
    <x v="1"/>
  </r>
  <r>
    <x v="2083"/>
    <x v="44"/>
    <x v="0"/>
    <x v="7"/>
    <x v="2"/>
    <x v="2"/>
    <x v="4"/>
    <x v="2060"/>
    <x v="0"/>
    <x v="1"/>
  </r>
  <r>
    <x v="2084"/>
    <x v="30"/>
    <x v="0"/>
    <x v="9"/>
    <x v="0"/>
    <x v="1"/>
    <x v="12"/>
    <x v="2061"/>
    <x v="0"/>
    <x v="4"/>
  </r>
  <r>
    <x v="2085"/>
    <x v="74"/>
    <x v="0"/>
    <x v="3"/>
    <x v="2"/>
    <x v="0"/>
    <x v="0"/>
    <x v="2062"/>
    <x v="1"/>
    <x v="3"/>
  </r>
  <r>
    <x v="2086"/>
    <x v="25"/>
    <x v="0"/>
    <x v="5"/>
    <x v="9"/>
    <x v="1"/>
    <x v="1"/>
    <x v="2063"/>
    <x v="1"/>
    <x v="0"/>
  </r>
  <r>
    <x v="2087"/>
    <x v="10"/>
    <x v="0"/>
    <x v="7"/>
    <x v="9"/>
    <x v="0"/>
    <x v="4"/>
    <x v="2064"/>
    <x v="0"/>
    <x v="1"/>
  </r>
  <r>
    <x v="2088"/>
    <x v="0"/>
    <x v="0"/>
    <x v="1"/>
    <x v="1"/>
    <x v="1"/>
    <x v="1"/>
    <x v="2065"/>
    <x v="0"/>
    <x v="4"/>
  </r>
  <r>
    <x v="2089"/>
    <x v="30"/>
    <x v="1"/>
    <x v="9"/>
    <x v="0"/>
    <x v="0"/>
    <x v="1"/>
    <x v="2066"/>
    <x v="1"/>
    <x v="4"/>
  </r>
  <r>
    <x v="2090"/>
    <x v="35"/>
    <x v="1"/>
    <x v="7"/>
    <x v="9"/>
    <x v="2"/>
    <x v="11"/>
    <x v="2067"/>
    <x v="1"/>
    <x v="0"/>
  </r>
  <r>
    <x v="2091"/>
    <x v="44"/>
    <x v="0"/>
    <x v="4"/>
    <x v="0"/>
    <x v="2"/>
    <x v="1"/>
    <x v="2068"/>
    <x v="1"/>
    <x v="1"/>
  </r>
  <r>
    <x v="2092"/>
    <x v="25"/>
    <x v="0"/>
    <x v="9"/>
    <x v="5"/>
    <x v="2"/>
    <x v="4"/>
    <x v="2069"/>
    <x v="1"/>
    <x v="1"/>
  </r>
  <r>
    <x v="2093"/>
    <x v="31"/>
    <x v="1"/>
    <x v="5"/>
    <x v="9"/>
    <x v="2"/>
    <x v="0"/>
    <x v="2070"/>
    <x v="1"/>
    <x v="2"/>
  </r>
  <r>
    <x v="2094"/>
    <x v="39"/>
    <x v="1"/>
    <x v="4"/>
    <x v="4"/>
    <x v="0"/>
    <x v="2"/>
    <x v="2071"/>
    <x v="0"/>
    <x v="2"/>
  </r>
  <r>
    <x v="2095"/>
    <x v="20"/>
    <x v="0"/>
    <x v="3"/>
    <x v="9"/>
    <x v="2"/>
    <x v="4"/>
    <x v="2072"/>
    <x v="0"/>
    <x v="2"/>
  </r>
  <r>
    <x v="2096"/>
    <x v="48"/>
    <x v="1"/>
    <x v="4"/>
    <x v="9"/>
    <x v="0"/>
    <x v="7"/>
    <x v="2073"/>
    <x v="1"/>
    <x v="1"/>
  </r>
  <r>
    <x v="2097"/>
    <x v="19"/>
    <x v="0"/>
    <x v="5"/>
    <x v="5"/>
    <x v="0"/>
    <x v="12"/>
    <x v="2074"/>
    <x v="0"/>
    <x v="1"/>
  </r>
  <r>
    <x v="2098"/>
    <x v="23"/>
    <x v="0"/>
    <x v="6"/>
    <x v="0"/>
    <x v="0"/>
    <x v="11"/>
    <x v="2075"/>
    <x v="1"/>
    <x v="3"/>
  </r>
  <r>
    <x v="2099"/>
    <x v="52"/>
    <x v="1"/>
    <x v="6"/>
    <x v="0"/>
    <x v="1"/>
    <x v="11"/>
    <x v="2076"/>
    <x v="1"/>
    <x v="3"/>
  </r>
  <r>
    <x v="2100"/>
    <x v="84"/>
    <x v="0"/>
    <x v="9"/>
    <x v="8"/>
    <x v="0"/>
    <x v="10"/>
    <x v="2077"/>
    <x v="0"/>
    <x v="4"/>
  </r>
  <r>
    <x v="2101"/>
    <x v="43"/>
    <x v="1"/>
    <x v="6"/>
    <x v="6"/>
    <x v="2"/>
    <x v="8"/>
    <x v="2078"/>
    <x v="1"/>
    <x v="0"/>
  </r>
  <r>
    <x v="2102"/>
    <x v="15"/>
    <x v="1"/>
    <x v="1"/>
    <x v="6"/>
    <x v="0"/>
    <x v="9"/>
    <x v="2079"/>
    <x v="0"/>
    <x v="1"/>
  </r>
  <r>
    <x v="2103"/>
    <x v="13"/>
    <x v="1"/>
    <x v="2"/>
    <x v="1"/>
    <x v="2"/>
    <x v="4"/>
    <x v="2080"/>
    <x v="0"/>
    <x v="1"/>
  </r>
  <r>
    <x v="2104"/>
    <x v="75"/>
    <x v="1"/>
    <x v="5"/>
    <x v="4"/>
    <x v="1"/>
    <x v="10"/>
    <x v="2081"/>
    <x v="1"/>
    <x v="0"/>
  </r>
  <r>
    <x v="2105"/>
    <x v="34"/>
    <x v="0"/>
    <x v="9"/>
    <x v="4"/>
    <x v="2"/>
    <x v="0"/>
    <x v="2082"/>
    <x v="0"/>
    <x v="2"/>
  </r>
  <r>
    <x v="2106"/>
    <x v="83"/>
    <x v="1"/>
    <x v="2"/>
    <x v="0"/>
    <x v="1"/>
    <x v="6"/>
    <x v="673"/>
    <x v="0"/>
    <x v="2"/>
  </r>
  <r>
    <x v="2107"/>
    <x v="68"/>
    <x v="1"/>
    <x v="8"/>
    <x v="1"/>
    <x v="2"/>
    <x v="7"/>
    <x v="2083"/>
    <x v="1"/>
    <x v="1"/>
  </r>
  <r>
    <x v="2108"/>
    <x v="47"/>
    <x v="0"/>
    <x v="5"/>
    <x v="5"/>
    <x v="1"/>
    <x v="13"/>
    <x v="2084"/>
    <x v="1"/>
    <x v="1"/>
  </r>
  <r>
    <x v="2109"/>
    <x v="33"/>
    <x v="0"/>
    <x v="9"/>
    <x v="0"/>
    <x v="1"/>
    <x v="13"/>
    <x v="2085"/>
    <x v="0"/>
    <x v="1"/>
  </r>
  <r>
    <x v="2110"/>
    <x v="9"/>
    <x v="0"/>
    <x v="7"/>
    <x v="3"/>
    <x v="0"/>
    <x v="4"/>
    <x v="2086"/>
    <x v="0"/>
    <x v="2"/>
  </r>
  <r>
    <x v="2111"/>
    <x v="71"/>
    <x v="1"/>
    <x v="1"/>
    <x v="6"/>
    <x v="2"/>
    <x v="5"/>
    <x v="2087"/>
    <x v="0"/>
    <x v="0"/>
  </r>
  <r>
    <x v="2112"/>
    <x v="86"/>
    <x v="0"/>
    <x v="8"/>
    <x v="1"/>
    <x v="2"/>
    <x v="1"/>
    <x v="2088"/>
    <x v="1"/>
    <x v="2"/>
  </r>
  <r>
    <x v="2113"/>
    <x v="3"/>
    <x v="1"/>
    <x v="3"/>
    <x v="4"/>
    <x v="2"/>
    <x v="6"/>
    <x v="2089"/>
    <x v="0"/>
    <x v="4"/>
  </r>
  <r>
    <x v="2114"/>
    <x v="60"/>
    <x v="0"/>
    <x v="3"/>
    <x v="7"/>
    <x v="2"/>
    <x v="6"/>
    <x v="2090"/>
    <x v="0"/>
    <x v="2"/>
  </r>
  <r>
    <x v="2115"/>
    <x v="89"/>
    <x v="0"/>
    <x v="9"/>
    <x v="3"/>
    <x v="0"/>
    <x v="11"/>
    <x v="715"/>
    <x v="0"/>
    <x v="3"/>
  </r>
  <r>
    <x v="2116"/>
    <x v="77"/>
    <x v="0"/>
    <x v="7"/>
    <x v="7"/>
    <x v="1"/>
    <x v="1"/>
    <x v="2091"/>
    <x v="0"/>
    <x v="3"/>
  </r>
  <r>
    <x v="2117"/>
    <x v="57"/>
    <x v="1"/>
    <x v="5"/>
    <x v="9"/>
    <x v="2"/>
    <x v="4"/>
    <x v="2092"/>
    <x v="0"/>
    <x v="0"/>
  </r>
  <r>
    <x v="2118"/>
    <x v="52"/>
    <x v="1"/>
    <x v="2"/>
    <x v="6"/>
    <x v="2"/>
    <x v="14"/>
    <x v="2093"/>
    <x v="0"/>
    <x v="4"/>
  </r>
  <r>
    <x v="2119"/>
    <x v="14"/>
    <x v="0"/>
    <x v="6"/>
    <x v="5"/>
    <x v="0"/>
    <x v="1"/>
    <x v="2094"/>
    <x v="0"/>
    <x v="0"/>
  </r>
  <r>
    <x v="2120"/>
    <x v="51"/>
    <x v="1"/>
    <x v="6"/>
    <x v="4"/>
    <x v="1"/>
    <x v="4"/>
    <x v="2095"/>
    <x v="0"/>
    <x v="4"/>
  </r>
  <r>
    <x v="2121"/>
    <x v="65"/>
    <x v="0"/>
    <x v="1"/>
    <x v="2"/>
    <x v="2"/>
    <x v="4"/>
    <x v="2096"/>
    <x v="1"/>
    <x v="4"/>
  </r>
  <r>
    <x v="2122"/>
    <x v="71"/>
    <x v="1"/>
    <x v="9"/>
    <x v="4"/>
    <x v="2"/>
    <x v="2"/>
    <x v="2097"/>
    <x v="0"/>
    <x v="3"/>
  </r>
  <r>
    <x v="2123"/>
    <x v="25"/>
    <x v="0"/>
    <x v="1"/>
    <x v="2"/>
    <x v="0"/>
    <x v="12"/>
    <x v="2098"/>
    <x v="0"/>
    <x v="3"/>
  </r>
  <r>
    <x v="2124"/>
    <x v="41"/>
    <x v="0"/>
    <x v="0"/>
    <x v="0"/>
    <x v="1"/>
    <x v="9"/>
    <x v="2099"/>
    <x v="0"/>
    <x v="0"/>
  </r>
  <r>
    <x v="2125"/>
    <x v="12"/>
    <x v="1"/>
    <x v="7"/>
    <x v="9"/>
    <x v="1"/>
    <x v="4"/>
    <x v="2100"/>
    <x v="1"/>
    <x v="1"/>
  </r>
  <r>
    <x v="2126"/>
    <x v="17"/>
    <x v="1"/>
    <x v="1"/>
    <x v="3"/>
    <x v="1"/>
    <x v="0"/>
    <x v="2101"/>
    <x v="0"/>
    <x v="1"/>
  </r>
  <r>
    <x v="2127"/>
    <x v="28"/>
    <x v="0"/>
    <x v="8"/>
    <x v="3"/>
    <x v="1"/>
    <x v="10"/>
    <x v="2102"/>
    <x v="1"/>
    <x v="1"/>
  </r>
  <r>
    <x v="2128"/>
    <x v="70"/>
    <x v="0"/>
    <x v="5"/>
    <x v="2"/>
    <x v="0"/>
    <x v="7"/>
    <x v="2103"/>
    <x v="1"/>
    <x v="2"/>
  </r>
  <r>
    <x v="2129"/>
    <x v="55"/>
    <x v="0"/>
    <x v="4"/>
    <x v="1"/>
    <x v="2"/>
    <x v="0"/>
    <x v="2104"/>
    <x v="1"/>
    <x v="2"/>
  </r>
  <r>
    <x v="2130"/>
    <x v="81"/>
    <x v="1"/>
    <x v="0"/>
    <x v="9"/>
    <x v="1"/>
    <x v="7"/>
    <x v="2105"/>
    <x v="0"/>
    <x v="2"/>
  </r>
  <r>
    <x v="2131"/>
    <x v="83"/>
    <x v="1"/>
    <x v="2"/>
    <x v="6"/>
    <x v="0"/>
    <x v="9"/>
    <x v="2106"/>
    <x v="0"/>
    <x v="3"/>
  </r>
  <r>
    <x v="2132"/>
    <x v="88"/>
    <x v="0"/>
    <x v="1"/>
    <x v="7"/>
    <x v="2"/>
    <x v="14"/>
    <x v="2107"/>
    <x v="1"/>
    <x v="4"/>
  </r>
  <r>
    <x v="2133"/>
    <x v="26"/>
    <x v="0"/>
    <x v="0"/>
    <x v="0"/>
    <x v="2"/>
    <x v="1"/>
    <x v="2108"/>
    <x v="1"/>
    <x v="1"/>
  </r>
  <r>
    <x v="2134"/>
    <x v="49"/>
    <x v="0"/>
    <x v="3"/>
    <x v="1"/>
    <x v="1"/>
    <x v="6"/>
    <x v="2109"/>
    <x v="1"/>
    <x v="4"/>
  </r>
  <r>
    <x v="2135"/>
    <x v="77"/>
    <x v="1"/>
    <x v="5"/>
    <x v="8"/>
    <x v="2"/>
    <x v="9"/>
    <x v="2110"/>
    <x v="0"/>
    <x v="2"/>
  </r>
  <r>
    <x v="2136"/>
    <x v="0"/>
    <x v="1"/>
    <x v="8"/>
    <x v="8"/>
    <x v="2"/>
    <x v="7"/>
    <x v="2111"/>
    <x v="0"/>
    <x v="1"/>
  </r>
  <r>
    <x v="2137"/>
    <x v="66"/>
    <x v="0"/>
    <x v="7"/>
    <x v="8"/>
    <x v="1"/>
    <x v="10"/>
    <x v="2112"/>
    <x v="1"/>
    <x v="3"/>
  </r>
  <r>
    <x v="2138"/>
    <x v="36"/>
    <x v="1"/>
    <x v="5"/>
    <x v="0"/>
    <x v="2"/>
    <x v="2"/>
    <x v="2113"/>
    <x v="1"/>
    <x v="1"/>
  </r>
  <r>
    <x v="2139"/>
    <x v="42"/>
    <x v="0"/>
    <x v="7"/>
    <x v="3"/>
    <x v="0"/>
    <x v="12"/>
    <x v="2114"/>
    <x v="0"/>
    <x v="3"/>
  </r>
  <r>
    <x v="2140"/>
    <x v="48"/>
    <x v="1"/>
    <x v="5"/>
    <x v="2"/>
    <x v="1"/>
    <x v="9"/>
    <x v="2115"/>
    <x v="0"/>
    <x v="4"/>
  </r>
  <r>
    <x v="2141"/>
    <x v="55"/>
    <x v="1"/>
    <x v="7"/>
    <x v="7"/>
    <x v="2"/>
    <x v="0"/>
    <x v="2116"/>
    <x v="1"/>
    <x v="4"/>
  </r>
  <r>
    <x v="2142"/>
    <x v="70"/>
    <x v="0"/>
    <x v="5"/>
    <x v="2"/>
    <x v="1"/>
    <x v="0"/>
    <x v="2117"/>
    <x v="0"/>
    <x v="4"/>
  </r>
  <r>
    <x v="2143"/>
    <x v="2"/>
    <x v="0"/>
    <x v="0"/>
    <x v="2"/>
    <x v="2"/>
    <x v="1"/>
    <x v="2118"/>
    <x v="1"/>
    <x v="4"/>
  </r>
  <r>
    <x v="2144"/>
    <x v="42"/>
    <x v="0"/>
    <x v="3"/>
    <x v="9"/>
    <x v="0"/>
    <x v="1"/>
    <x v="2119"/>
    <x v="1"/>
    <x v="3"/>
  </r>
  <r>
    <x v="2145"/>
    <x v="19"/>
    <x v="0"/>
    <x v="7"/>
    <x v="5"/>
    <x v="0"/>
    <x v="11"/>
    <x v="2120"/>
    <x v="1"/>
    <x v="1"/>
  </r>
  <r>
    <x v="2146"/>
    <x v="17"/>
    <x v="1"/>
    <x v="2"/>
    <x v="8"/>
    <x v="2"/>
    <x v="12"/>
    <x v="2121"/>
    <x v="1"/>
    <x v="1"/>
  </r>
  <r>
    <x v="2147"/>
    <x v="70"/>
    <x v="1"/>
    <x v="9"/>
    <x v="7"/>
    <x v="1"/>
    <x v="4"/>
    <x v="2122"/>
    <x v="1"/>
    <x v="1"/>
  </r>
  <r>
    <x v="2148"/>
    <x v="23"/>
    <x v="0"/>
    <x v="3"/>
    <x v="2"/>
    <x v="1"/>
    <x v="5"/>
    <x v="2123"/>
    <x v="1"/>
    <x v="1"/>
  </r>
  <r>
    <x v="2149"/>
    <x v="3"/>
    <x v="0"/>
    <x v="1"/>
    <x v="6"/>
    <x v="1"/>
    <x v="11"/>
    <x v="2124"/>
    <x v="0"/>
    <x v="1"/>
  </r>
  <r>
    <x v="2150"/>
    <x v="33"/>
    <x v="0"/>
    <x v="0"/>
    <x v="3"/>
    <x v="0"/>
    <x v="12"/>
    <x v="2125"/>
    <x v="1"/>
    <x v="2"/>
  </r>
  <r>
    <x v="2151"/>
    <x v="17"/>
    <x v="0"/>
    <x v="5"/>
    <x v="5"/>
    <x v="2"/>
    <x v="12"/>
    <x v="2126"/>
    <x v="1"/>
    <x v="1"/>
  </r>
  <r>
    <x v="2152"/>
    <x v="27"/>
    <x v="0"/>
    <x v="0"/>
    <x v="9"/>
    <x v="1"/>
    <x v="14"/>
    <x v="2127"/>
    <x v="0"/>
    <x v="0"/>
  </r>
  <r>
    <x v="2153"/>
    <x v="8"/>
    <x v="0"/>
    <x v="6"/>
    <x v="4"/>
    <x v="0"/>
    <x v="11"/>
    <x v="2128"/>
    <x v="1"/>
    <x v="4"/>
  </r>
  <r>
    <x v="2154"/>
    <x v="85"/>
    <x v="1"/>
    <x v="7"/>
    <x v="8"/>
    <x v="2"/>
    <x v="11"/>
    <x v="2129"/>
    <x v="0"/>
    <x v="4"/>
  </r>
  <r>
    <x v="2155"/>
    <x v="55"/>
    <x v="1"/>
    <x v="9"/>
    <x v="2"/>
    <x v="2"/>
    <x v="1"/>
    <x v="2130"/>
    <x v="0"/>
    <x v="2"/>
  </r>
  <r>
    <x v="2156"/>
    <x v="65"/>
    <x v="1"/>
    <x v="3"/>
    <x v="8"/>
    <x v="0"/>
    <x v="10"/>
    <x v="2131"/>
    <x v="0"/>
    <x v="2"/>
  </r>
  <r>
    <x v="2157"/>
    <x v="43"/>
    <x v="1"/>
    <x v="9"/>
    <x v="8"/>
    <x v="0"/>
    <x v="3"/>
    <x v="2132"/>
    <x v="1"/>
    <x v="2"/>
  </r>
  <r>
    <x v="2158"/>
    <x v="44"/>
    <x v="1"/>
    <x v="5"/>
    <x v="9"/>
    <x v="2"/>
    <x v="2"/>
    <x v="2133"/>
    <x v="1"/>
    <x v="4"/>
  </r>
  <r>
    <x v="2159"/>
    <x v="11"/>
    <x v="0"/>
    <x v="8"/>
    <x v="4"/>
    <x v="2"/>
    <x v="3"/>
    <x v="2134"/>
    <x v="1"/>
    <x v="4"/>
  </r>
  <r>
    <x v="2160"/>
    <x v="55"/>
    <x v="0"/>
    <x v="0"/>
    <x v="8"/>
    <x v="0"/>
    <x v="10"/>
    <x v="2135"/>
    <x v="1"/>
    <x v="2"/>
  </r>
  <r>
    <x v="2161"/>
    <x v="87"/>
    <x v="0"/>
    <x v="3"/>
    <x v="4"/>
    <x v="1"/>
    <x v="5"/>
    <x v="2136"/>
    <x v="1"/>
    <x v="2"/>
  </r>
  <r>
    <x v="2162"/>
    <x v="22"/>
    <x v="1"/>
    <x v="1"/>
    <x v="6"/>
    <x v="1"/>
    <x v="5"/>
    <x v="2137"/>
    <x v="1"/>
    <x v="1"/>
  </r>
  <r>
    <x v="2163"/>
    <x v="75"/>
    <x v="0"/>
    <x v="2"/>
    <x v="2"/>
    <x v="2"/>
    <x v="6"/>
    <x v="2138"/>
    <x v="1"/>
    <x v="1"/>
  </r>
  <r>
    <x v="2164"/>
    <x v="87"/>
    <x v="1"/>
    <x v="7"/>
    <x v="8"/>
    <x v="0"/>
    <x v="11"/>
    <x v="2139"/>
    <x v="1"/>
    <x v="3"/>
  </r>
  <r>
    <x v="2165"/>
    <x v="25"/>
    <x v="1"/>
    <x v="4"/>
    <x v="9"/>
    <x v="0"/>
    <x v="0"/>
    <x v="2140"/>
    <x v="1"/>
    <x v="4"/>
  </r>
  <r>
    <x v="2166"/>
    <x v="12"/>
    <x v="1"/>
    <x v="6"/>
    <x v="8"/>
    <x v="2"/>
    <x v="8"/>
    <x v="2141"/>
    <x v="0"/>
    <x v="4"/>
  </r>
  <r>
    <x v="2167"/>
    <x v="36"/>
    <x v="1"/>
    <x v="8"/>
    <x v="0"/>
    <x v="0"/>
    <x v="11"/>
    <x v="2142"/>
    <x v="1"/>
    <x v="3"/>
  </r>
  <r>
    <x v="2168"/>
    <x v="70"/>
    <x v="1"/>
    <x v="0"/>
    <x v="1"/>
    <x v="0"/>
    <x v="11"/>
    <x v="2143"/>
    <x v="1"/>
    <x v="3"/>
  </r>
  <r>
    <x v="2169"/>
    <x v="3"/>
    <x v="0"/>
    <x v="6"/>
    <x v="4"/>
    <x v="2"/>
    <x v="7"/>
    <x v="2144"/>
    <x v="1"/>
    <x v="2"/>
  </r>
  <r>
    <x v="2170"/>
    <x v="6"/>
    <x v="1"/>
    <x v="2"/>
    <x v="9"/>
    <x v="0"/>
    <x v="7"/>
    <x v="2145"/>
    <x v="1"/>
    <x v="1"/>
  </r>
  <r>
    <x v="2171"/>
    <x v="71"/>
    <x v="0"/>
    <x v="6"/>
    <x v="7"/>
    <x v="1"/>
    <x v="11"/>
    <x v="2146"/>
    <x v="0"/>
    <x v="3"/>
  </r>
  <r>
    <x v="2172"/>
    <x v="14"/>
    <x v="1"/>
    <x v="9"/>
    <x v="8"/>
    <x v="0"/>
    <x v="2"/>
    <x v="2147"/>
    <x v="0"/>
    <x v="2"/>
  </r>
  <r>
    <x v="2173"/>
    <x v="13"/>
    <x v="0"/>
    <x v="3"/>
    <x v="5"/>
    <x v="1"/>
    <x v="8"/>
    <x v="2148"/>
    <x v="0"/>
    <x v="2"/>
  </r>
  <r>
    <x v="2174"/>
    <x v="80"/>
    <x v="1"/>
    <x v="4"/>
    <x v="0"/>
    <x v="2"/>
    <x v="4"/>
    <x v="2149"/>
    <x v="0"/>
    <x v="2"/>
  </r>
  <r>
    <x v="2175"/>
    <x v="55"/>
    <x v="1"/>
    <x v="4"/>
    <x v="8"/>
    <x v="0"/>
    <x v="4"/>
    <x v="2150"/>
    <x v="0"/>
    <x v="1"/>
  </r>
  <r>
    <x v="2176"/>
    <x v="28"/>
    <x v="0"/>
    <x v="1"/>
    <x v="8"/>
    <x v="1"/>
    <x v="6"/>
    <x v="2151"/>
    <x v="1"/>
    <x v="1"/>
  </r>
  <r>
    <x v="2177"/>
    <x v="71"/>
    <x v="0"/>
    <x v="4"/>
    <x v="1"/>
    <x v="2"/>
    <x v="8"/>
    <x v="2152"/>
    <x v="1"/>
    <x v="3"/>
  </r>
  <r>
    <x v="2178"/>
    <x v="5"/>
    <x v="1"/>
    <x v="2"/>
    <x v="9"/>
    <x v="2"/>
    <x v="1"/>
    <x v="2153"/>
    <x v="0"/>
    <x v="3"/>
  </r>
  <r>
    <x v="2179"/>
    <x v="28"/>
    <x v="1"/>
    <x v="0"/>
    <x v="0"/>
    <x v="0"/>
    <x v="9"/>
    <x v="2154"/>
    <x v="0"/>
    <x v="1"/>
  </r>
  <r>
    <x v="2180"/>
    <x v="59"/>
    <x v="0"/>
    <x v="8"/>
    <x v="1"/>
    <x v="0"/>
    <x v="7"/>
    <x v="2155"/>
    <x v="1"/>
    <x v="3"/>
  </r>
  <r>
    <x v="2181"/>
    <x v="75"/>
    <x v="1"/>
    <x v="3"/>
    <x v="5"/>
    <x v="0"/>
    <x v="4"/>
    <x v="2156"/>
    <x v="0"/>
    <x v="4"/>
  </r>
  <r>
    <x v="2182"/>
    <x v="27"/>
    <x v="0"/>
    <x v="2"/>
    <x v="4"/>
    <x v="0"/>
    <x v="0"/>
    <x v="2157"/>
    <x v="1"/>
    <x v="4"/>
  </r>
  <r>
    <x v="2183"/>
    <x v="60"/>
    <x v="1"/>
    <x v="4"/>
    <x v="1"/>
    <x v="1"/>
    <x v="11"/>
    <x v="2158"/>
    <x v="0"/>
    <x v="3"/>
  </r>
  <r>
    <x v="2184"/>
    <x v="51"/>
    <x v="1"/>
    <x v="6"/>
    <x v="7"/>
    <x v="0"/>
    <x v="3"/>
    <x v="2159"/>
    <x v="1"/>
    <x v="1"/>
  </r>
  <r>
    <x v="2185"/>
    <x v="84"/>
    <x v="1"/>
    <x v="1"/>
    <x v="8"/>
    <x v="0"/>
    <x v="7"/>
    <x v="2160"/>
    <x v="1"/>
    <x v="4"/>
  </r>
  <r>
    <x v="2186"/>
    <x v="65"/>
    <x v="0"/>
    <x v="5"/>
    <x v="4"/>
    <x v="1"/>
    <x v="10"/>
    <x v="2161"/>
    <x v="1"/>
    <x v="3"/>
  </r>
  <r>
    <x v="2187"/>
    <x v="57"/>
    <x v="1"/>
    <x v="6"/>
    <x v="8"/>
    <x v="2"/>
    <x v="14"/>
    <x v="2162"/>
    <x v="0"/>
    <x v="4"/>
  </r>
  <r>
    <x v="2188"/>
    <x v="37"/>
    <x v="0"/>
    <x v="6"/>
    <x v="5"/>
    <x v="0"/>
    <x v="5"/>
    <x v="2163"/>
    <x v="0"/>
    <x v="0"/>
  </r>
  <r>
    <x v="2189"/>
    <x v="33"/>
    <x v="1"/>
    <x v="5"/>
    <x v="5"/>
    <x v="2"/>
    <x v="5"/>
    <x v="2164"/>
    <x v="0"/>
    <x v="0"/>
  </r>
  <r>
    <x v="2190"/>
    <x v="21"/>
    <x v="1"/>
    <x v="6"/>
    <x v="6"/>
    <x v="2"/>
    <x v="5"/>
    <x v="2165"/>
    <x v="0"/>
    <x v="0"/>
  </r>
  <r>
    <x v="2191"/>
    <x v="48"/>
    <x v="1"/>
    <x v="7"/>
    <x v="8"/>
    <x v="0"/>
    <x v="3"/>
    <x v="2166"/>
    <x v="1"/>
    <x v="2"/>
  </r>
  <r>
    <x v="2192"/>
    <x v="6"/>
    <x v="1"/>
    <x v="4"/>
    <x v="6"/>
    <x v="2"/>
    <x v="9"/>
    <x v="2167"/>
    <x v="1"/>
    <x v="1"/>
  </r>
  <r>
    <x v="2193"/>
    <x v="44"/>
    <x v="1"/>
    <x v="2"/>
    <x v="0"/>
    <x v="1"/>
    <x v="5"/>
    <x v="2168"/>
    <x v="0"/>
    <x v="1"/>
  </r>
  <r>
    <x v="2194"/>
    <x v="38"/>
    <x v="0"/>
    <x v="7"/>
    <x v="2"/>
    <x v="2"/>
    <x v="5"/>
    <x v="2169"/>
    <x v="0"/>
    <x v="4"/>
  </r>
  <r>
    <x v="2195"/>
    <x v="44"/>
    <x v="1"/>
    <x v="6"/>
    <x v="3"/>
    <x v="2"/>
    <x v="9"/>
    <x v="2170"/>
    <x v="0"/>
    <x v="0"/>
  </r>
  <r>
    <x v="2196"/>
    <x v="12"/>
    <x v="1"/>
    <x v="2"/>
    <x v="6"/>
    <x v="0"/>
    <x v="5"/>
    <x v="2171"/>
    <x v="0"/>
    <x v="3"/>
  </r>
  <r>
    <x v="2197"/>
    <x v="24"/>
    <x v="0"/>
    <x v="7"/>
    <x v="3"/>
    <x v="2"/>
    <x v="6"/>
    <x v="2172"/>
    <x v="1"/>
    <x v="2"/>
  </r>
  <r>
    <x v="2198"/>
    <x v="36"/>
    <x v="0"/>
    <x v="3"/>
    <x v="4"/>
    <x v="0"/>
    <x v="0"/>
    <x v="2173"/>
    <x v="1"/>
    <x v="4"/>
  </r>
  <r>
    <x v="2199"/>
    <x v="86"/>
    <x v="1"/>
    <x v="2"/>
    <x v="4"/>
    <x v="1"/>
    <x v="7"/>
    <x v="2174"/>
    <x v="0"/>
    <x v="2"/>
  </r>
  <r>
    <x v="2200"/>
    <x v="87"/>
    <x v="0"/>
    <x v="8"/>
    <x v="5"/>
    <x v="2"/>
    <x v="5"/>
    <x v="2175"/>
    <x v="0"/>
    <x v="3"/>
  </r>
  <r>
    <x v="2201"/>
    <x v="20"/>
    <x v="1"/>
    <x v="7"/>
    <x v="1"/>
    <x v="0"/>
    <x v="13"/>
    <x v="2176"/>
    <x v="1"/>
    <x v="4"/>
  </r>
  <r>
    <x v="2202"/>
    <x v="88"/>
    <x v="1"/>
    <x v="1"/>
    <x v="3"/>
    <x v="0"/>
    <x v="14"/>
    <x v="2177"/>
    <x v="0"/>
    <x v="4"/>
  </r>
  <r>
    <x v="2203"/>
    <x v="0"/>
    <x v="1"/>
    <x v="5"/>
    <x v="1"/>
    <x v="2"/>
    <x v="9"/>
    <x v="2178"/>
    <x v="1"/>
    <x v="3"/>
  </r>
  <r>
    <x v="2204"/>
    <x v="76"/>
    <x v="0"/>
    <x v="7"/>
    <x v="7"/>
    <x v="1"/>
    <x v="11"/>
    <x v="2179"/>
    <x v="1"/>
    <x v="1"/>
  </r>
  <r>
    <x v="2205"/>
    <x v="18"/>
    <x v="0"/>
    <x v="0"/>
    <x v="1"/>
    <x v="2"/>
    <x v="4"/>
    <x v="2180"/>
    <x v="1"/>
    <x v="3"/>
  </r>
  <r>
    <x v="2206"/>
    <x v="45"/>
    <x v="1"/>
    <x v="2"/>
    <x v="1"/>
    <x v="2"/>
    <x v="13"/>
    <x v="2181"/>
    <x v="0"/>
    <x v="0"/>
  </r>
  <r>
    <x v="2207"/>
    <x v="73"/>
    <x v="0"/>
    <x v="8"/>
    <x v="3"/>
    <x v="1"/>
    <x v="3"/>
    <x v="2182"/>
    <x v="0"/>
    <x v="4"/>
  </r>
  <r>
    <x v="2208"/>
    <x v="84"/>
    <x v="1"/>
    <x v="1"/>
    <x v="0"/>
    <x v="2"/>
    <x v="6"/>
    <x v="2183"/>
    <x v="1"/>
    <x v="1"/>
  </r>
  <r>
    <x v="2209"/>
    <x v="20"/>
    <x v="0"/>
    <x v="5"/>
    <x v="4"/>
    <x v="2"/>
    <x v="11"/>
    <x v="2184"/>
    <x v="1"/>
    <x v="2"/>
  </r>
  <r>
    <x v="2210"/>
    <x v="5"/>
    <x v="1"/>
    <x v="3"/>
    <x v="8"/>
    <x v="1"/>
    <x v="13"/>
    <x v="2185"/>
    <x v="0"/>
    <x v="2"/>
  </r>
  <r>
    <x v="2211"/>
    <x v="87"/>
    <x v="0"/>
    <x v="9"/>
    <x v="6"/>
    <x v="1"/>
    <x v="1"/>
    <x v="2186"/>
    <x v="1"/>
    <x v="2"/>
  </r>
  <r>
    <x v="2212"/>
    <x v="83"/>
    <x v="0"/>
    <x v="4"/>
    <x v="6"/>
    <x v="1"/>
    <x v="12"/>
    <x v="2187"/>
    <x v="1"/>
    <x v="4"/>
  </r>
  <r>
    <x v="2213"/>
    <x v="18"/>
    <x v="1"/>
    <x v="0"/>
    <x v="3"/>
    <x v="0"/>
    <x v="14"/>
    <x v="2188"/>
    <x v="1"/>
    <x v="0"/>
  </r>
  <r>
    <x v="2214"/>
    <x v="63"/>
    <x v="0"/>
    <x v="8"/>
    <x v="7"/>
    <x v="2"/>
    <x v="10"/>
    <x v="2189"/>
    <x v="1"/>
    <x v="3"/>
  </r>
  <r>
    <x v="2215"/>
    <x v="20"/>
    <x v="1"/>
    <x v="9"/>
    <x v="3"/>
    <x v="2"/>
    <x v="1"/>
    <x v="2190"/>
    <x v="0"/>
    <x v="1"/>
  </r>
  <r>
    <x v="2216"/>
    <x v="39"/>
    <x v="0"/>
    <x v="7"/>
    <x v="2"/>
    <x v="1"/>
    <x v="9"/>
    <x v="2191"/>
    <x v="1"/>
    <x v="4"/>
  </r>
  <r>
    <x v="2217"/>
    <x v="54"/>
    <x v="0"/>
    <x v="8"/>
    <x v="9"/>
    <x v="2"/>
    <x v="4"/>
    <x v="2192"/>
    <x v="0"/>
    <x v="1"/>
  </r>
  <r>
    <x v="2218"/>
    <x v="64"/>
    <x v="0"/>
    <x v="8"/>
    <x v="4"/>
    <x v="0"/>
    <x v="8"/>
    <x v="2193"/>
    <x v="1"/>
    <x v="4"/>
  </r>
  <r>
    <x v="2219"/>
    <x v="6"/>
    <x v="0"/>
    <x v="7"/>
    <x v="7"/>
    <x v="0"/>
    <x v="12"/>
    <x v="2194"/>
    <x v="1"/>
    <x v="0"/>
  </r>
  <r>
    <x v="2220"/>
    <x v="62"/>
    <x v="0"/>
    <x v="1"/>
    <x v="1"/>
    <x v="0"/>
    <x v="0"/>
    <x v="2195"/>
    <x v="0"/>
    <x v="1"/>
  </r>
  <r>
    <x v="2221"/>
    <x v="14"/>
    <x v="1"/>
    <x v="6"/>
    <x v="0"/>
    <x v="2"/>
    <x v="11"/>
    <x v="2196"/>
    <x v="1"/>
    <x v="2"/>
  </r>
  <r>
    <x v="2222"/>
    <x v="25"/>
    <x v="1"/>
    <x v="4"/>
    <x v="1"/>
    <x v="0"/>
    <x v="11"/>
    <x v="2197"/>
    <x v="1"/>
    <x v="0"/>
  </r>
  <r>
    <x v="2223"/>
    <x v="47"/>
    <x v="0"/>
    <x v="2"/>
    <x v="0"/>
    <x v="0"/>
    <x v="11"/>
    <x v="2198"/>
    <x v="1"/>
    <x v="2"/>
  </r>
  <r>
    <x v="2224"/>
    <x v="80"/>
    <x v="1"/>
    <x v="3"/>
    <x v="3"/>
    <x v="2"/>
    <x v="1"/>
    <x v="2199"/>
    <x v="1"/>
    <x v="2"/>
  </r>
  <r>
    <x v="2225"/>
    <x v="37"/>
    <x v="0"/>
    <x v="2"/>
    <x v="8"/>
    <x v="0"/>
    <x v="8"/>
    <x v="2200"/>
    <x v="1"/>
    <x v="2"/>
  </r>
  <r>
    <x v="2226"/>
    <x v="79"/>
    <x v="1"/>
    <x v="4"/>
    <x v="4"/>
    <x v="1"/>
    <x v="6"/>
    <x v="2201"/>
    <x v="0"/>
    <x v="1"/>
  </r>
  <r>
    <x v="2227"/>
    <x v="87"/>
    <x v="1"/>
    <x v="3"/>
    <x v="8"/>
    <x v="0"/>
    <x v="7"/>
    <x v="2202"/>
    <x v="0"/>
    <x v="4"/>
  </r>
  <r>
    <x v="2228"/>
    <x v="0"/>
    <x v="1"/>
    <x v="1"/>
    <x v="7"/>
    <x v="2"/>
    <x v="6"/>
    <x v="2203"/>
    <x v="1"/>
    <x v="1"/>
  </r>
  <r>
    <x v="2229"/>
    <x v="64"/>
    <x v="1"/>
    <x v="1"/>
    <x v="9"/>
    <x v="0"/>
    <x v="3"/>
    <x v="2204"/>
    <x v="1"/>
    <x v="0"/>
  </r>
  <r>
    <x v="2230"/>
    <x v="86"/>
    <x v="0"/>
    <x v="6"/>
    <x v="4"/>
    <x v="0"/>
    <x v="11"/>
    <x v="2205"/>
    <x v="1"/>
    <x v="0"/>
  </r>
  <r>
    <x v="2231"/>
    <x v="66"/>
    <x v="0"/>
    <x v="3"/>
    <x v="8"/>
    <x v="0"/>
    <x v="6"/>
    <x v="2206"/>
    <x v="1"/>
    <x v="4"/>
  </r>
  <r>
    <x v="2232"/>
    <x v="18"/>
    <x v="0"/>
    <x v="9"/>
    <x v="0"/>
    <x v="0"/>
    <x v="11"/>
    <x v="2207"/>
    <x v="1"/>
    <x v="1"/>
  </r>
  <r>
    <x v="2233"/>
    <x v="4"/>
    <x v="0"/>
    <x v="7"/>
    <x v="2"/>
    <x v="1"/>
    <x v="8"/>
    <x v="97"/>
    <x v="1"/>
    <x v="4"/>
  </r>
  <r>
    <x v="2234"/>
    <x v="82"/>
    <x v="1"/>
    <x v="8"/>
    <x v="7"/>
    <x v="0"/>
    <x v="12"/>
    <x v="2208"/>
    <x v="1"/>
    <x v="1"/>
  </r>
  <r>
    <x v="2235"/>
    <x v="35"/>
    <x v="0"/>
    <x v="6"/>
    <x v="0"/>
    <x v="1"/>
    <x v="9"/>
    <x v="2209"/>
    <x v="0"/>
    <x v="0"/>
  </r>
  <r>
    <x v="2236"/>
    <x v="82"/>
    <x v="1"/>
    <x v="6"/>
    <x v="3"/>
    <x v="0"/>
    <x v="2"/>
    <x v="2210"/>
    <x v="1"/>
    <x v="3"/>
  </r>
  <r>
    <x v="2237"/>
    <x v="5"/>
    <x v="0"/>
    <x v="4"/>
    <x v="0"/>
    <x v="2"/>
    <x v="4"/>
    <x v="2211"/>
    <x v="0"/>
    <x v="0"/>
  </r>
  <r>
    <x v="2238"/>
    <x v="61"/>
    <x v="1"/>
    <x v="1"/>
    <x v="2"/>
    <x v="0"/>
    <x v="8"/>
    <x v="2212"/>
    <x v="1"/>
    <x v="1"/>
  </r>
  <r>
    <x v="2239"/>
    <x v="50"/>
    <x v="1"/>
    <x v="5"/>
    <x v="5"/>
    <x v="2"/>
    <x v="14"/>
    <x v="2213"/>
    <x v="0"/>
    <x v="0"/>
  </r>
  <r>
    <x v="2240"/>
    <x v="57"/>
    <x v="0"/>
    <x v="0"/>
    <x v="1"/>
    <x v="0"/>
    <x v="10"/>
    <x v="2214"/>
    <x v="0"/>
    <x v="1"/>
  </r>
  <r>
    <x v="2241"/>
    <x v="52"/>
    <x v="1"/>
    <x v="1"/>
    <x v="3"/>
    <x v="0"/>
    <x v="14"/>
    <x v="2215"/>
    <x v="1"/>
    <x v="4"/>
  </r>
  <r>
    <x v="2242"/>
    <x v="8"/>
    <x v="0"/>
    <x v="7"/>
    <x v="4"/>
    <x v="2"/>
    <x v="10"/>
    <x v="2216"/>
    <x v="0"/>
    <x v="1"/>
  </r>
  <r>
    <x v="2243"/>
    <x v="0"/>
    <x v="0"/>
    <x v="4"/>
    <x v="8"/>
    <x v="2"/>
    <x v="6"/>
    <x v="369"/>
    <x v="1"/>
    <x v="2"/>
  </r>
  <r>
    <x v="2244"/>
    <x v="54"/>
    <x v="1"/>
    <x v="6"/>
    <x v="1"/>
    <x v="2"/>
    <x v="11"/>
    <x v="2217"/>
    <x v="0"/>
    <x v="4"/>
  </r>
  <r>
    <x v="2245"/>
    <x v="84"/>
    <x v="1"/>
    <x v="2"/>
    <x v="9"/>
    <x v="1"/>
    <x v="2"/>
    <x v="2218"/>
    <x v="0"/>
    <x v="0"/>
  </r>
  <r>
    <x v="2246"/>
    <x v="37"/>
    <x v="0"/>
    <x v="5"/>
    <x v="0"/>
    <x v="1"/>
    <x v="2"/>
    <x v="2219"/>
    <x v="1"/>
    <x v="4"/>
  </r>
  <r>
    <x v="2247"/>
    <x v="7"/>
    <x v="0"/>
    <x v="7"/>
    <x v="1"/>
    <x v="0"/>
    <x v="13"/>
    <x v="2220"/>
    <x v="0"/>
    <x v="2"/>
  </r>
  <r>
    <x v="2248"/>
    <x v="85"/>
    <x v="1"/>
    <x v="9"/>
    <x v="4"/>
    <x v="2"/>
    <x v="4"/>
    <x v="2221"/>
    <x v="0"/>
    <x v="2"/>
  </r>
  <r>
    <x v="2249"/>
    <x v="87"/>
    <x v="1"/>
    <x v="6"/>
    <x v="6"/>
    <x v="1"/>
    <x v="14"/>
    <x v="2222"/>
    <x v="0"/>
    <x v="4"/>
  </r>
  <r>
    <x v="2250"/>
    <x v="17"/>
    <x v="0"/>
    <x v="3"/>
    <x v="5"/>
    <x v="2"/>
    <x v="8"/>
    <x v="2223"/>
    <x v="0"/>
    <x v="1"/>
  </r>
  <r>
    <x v="2251"/>
    <x v="41"/>
    <x v="0"/>
    <x v="3"/>
    <x v="0"/>
    <x v="0"/>
    <x v="13"/>
    <x v="2224"/>
    <x v="1"/>
    <x v="1"/>
  </r>
  <r>
    <x v="2252"/>
    <x v="67"/>
    <x v="1"/>
    <x v="9"/>
    <x v="8"/>
    <x v="1"/>
    <x v="2"/>
    <x v="2225"/>
    <x v="0"/>
    <x v="1"/>
  </r>
  <r>
    <x v="2253"/>
    <x v="22"/>
    <x v="0"/>
    <x v="7"/>
    <x v="0"/>
    <x v="2"/>
    <x v="4"/>
    <x v="2226"/>
    <x v="0"/>
    <x v="4"/>
  </r>
  <r>
    <x v="2254"/>
    <x v="9"/>
    <x v="1"/>
    <x v="1"/>
    <x v="2"/>
    <x v="0"/>
    <x v="13"/>
    <x v="2227"/>
    <x v="0"/>
    <x v="4"/>
  </r>
  <r>
    <x v="2255"/>
    <x v="2"/>
    <x v="0"/>
    <x v="7"/>
    <x v="0"/>
    <x v="2"/>
    <x v="3"/>
    <x v="2228"/>
    <x v="0"/>
    <x v="0"/>
  </r>
  <r>
    <x v="2256"/>
    <x v="88"/>
    <x v="0"/>
    <x v="2"/>
    <x v="3"/>
    <x v="2"/>
    <x v="13"/>
    <x v="2229"/>
    <x v="1"/>
    <x v="4"/>
  </r>
  <r>
    <x v="2257"/>
    <x v="76"/>
    <x v="1"/>
    <x v="1"/>
    <x v="5"/>
    <x v="2"/>
    <x v="13"/>
    <x v="2230"/>
    <x v="1"/>
    <x v="0"/>
  </r>
  <r>
    <x v="2258"/>
    <x v="1"/>
    <x v="1"/>
    <x v="3"/>
    <x v="2"/>
    <x v="1"/>
    <x v="12"/>
    <x v="2231"/>
    <x v="1"/>
    <x v="1"/>
  </r>
  <r>
    <x v="2259"/>
    <x v="17"/>
    <x v="0"/>
    <x v="6"/>
    <x v="7"/>
    <x v="2"/>
    <x v="0"/>
    <x v="2232"/>
    <x v="1"/>
    <x v="1"/>
  </r>
  <r>
    <x v="2260"/>
    <x v="87"/>
    <x v="0"/>
    <x v="3"/>
    <x v="1"/>
    <x v="0"/>
    <x v="10"/>
    <x v="2233"/>
    <x v="0"/>
    <x v="2"/>
  </r>
  <r>
    <x v="2261"/>
    <x v="86"/>
    <x v="1"/>
    <x v="0"/>
    <x v="3"/>
    <x v="2"/>
    <x v="5"/>
    <x v="2234"/>
    <x v="0"/>
    <x v="2"/>
  </r>
  <r>
    <x v="2262"/>
    <x v="8"/>
    <x v="1"/>
    <x v="0"/>
    <x v="0"/>
    <x v="0"/>
    <x v="5"/>
    <x v="2210"/>
    <x v="1"/>
    <x v="4"/>
  </r>
  <r>
    <x v="2263"/>
    <x v="63"/>
    <x v="1"/>
    <x v="7"/>
    <x v="1"/>
    <x v="1"/>
    <x v="12"/>
    <x v="2235"/>
    <x v="0"/>
    <x v="2"/>
  </r>
  <r>
    <x v="2264"/>
    <x v="26"/>
    <x v="1"/>
    <x v="5"/>
    <x v="3"/>
    <x v="1"/>
    <x v="9"/>
    <x v="2236"/>
    <x v="1"/>
    <x v="4"/>
  </r>
  <r>
    <x v="2265"/>
    <x v="17"/>
    <x v="1"/>
    <x v="8"/>
    <x v="2"/>
    <x v="2"/>
    <x v="5"/>
    <x v="2237"/>
    <x v="1"/>
    <x v="1"/>
  </r>
  <r>
    <x v="2266"/>
    <x v="65"/>
    <x v="0"/>
    <x v="7"/>
    <x v="1"/>
    <x v="1"/>
    <x v="13"/>
    <x v="2238"/>
    <x v="0"/>
    <x v="0"/>
  </r>
  <r>
    <x v="2267"/>
    <x v="43"/>
    <x v="0"/>
    <x v="9"/>
    <x v="2"/>
    <x v="0"/>
    <x v="6"/>
    <x v="2239"/>
    <x v="1"/>
    <x v="2"/>
  </r>
  <r>
    <x v="2268"/>
    <x v="1"/>
    <x v="1"/>
    <x v="7"/>
    <x v="4"/>
    <x v="0"/>
    <x v="6"/>
    <x v="2240"/>
    <x v="0"/>
    <x v="0"/>
  </r>
  <r>
    <x v="2269"/>
    <x v="6"/>
    <x v="1"/>
    <x v="5"/>
    <x v="0"/>
    <x v="2"/>
    <x v="2"/>
    <x v="1443"/>
    <x v="1"/>
    <x v="4"/>
  </r>
  <r>
    <x v="2270"/>
    <x v="35"/>
    <x v="0"/>
    <x v="5"/>
    <x v="8"/>
    <x v="0"/>
    <x v="5"/>
    <x v="2241"/>
    <x v="0"/>
    <x v="3"/>
  </r>
  <r>
    <x v="2271"/>
    <x v="35"/>
    <x v="1"/>
    <x v="8"/>
    <x v="8"/>
    <x v="2"/>
    <x v="9"/>
    <x v="2242"/>
    <x v="0"/>
    <x v="3"/>
  </r>
  <r>
    <x v="2272"/>
    <x v="0"/>
    <x v="0"/>
    <x v="2"/>
    <x v="3"/>
    <x v="2"/>
    <x v="1"/>
    <x v="2243"/>
    <x v="1"/>
    <x v="4"/>
  </r>
  <r>
    <x v="2273"/>
    <x v="42"/>
    <x v="0"/>
    <x v="4"/>
    <x v="6"/>
    <x v="0"/>
    <x v="5"/>
    <x v="2244"/>
    <x v="1"/>
    <x v="2"/>
  </r>
  <r>
    <x v="2274"/>
    <x v="58"/>
    <x v="1"/>
    <x v="6"/>
    <x v="0"/>
    <x v="2"/>
    <x v="7"/>
    <x v="2245"/>
    <x v="0"/>
    <x v="0"/>
  </r>
  <r>
    <x v="2275"/>
    <x v="38"/>
    <x v="0"/>
    <x v="4"/>
    <x v="9"/>
    <x v="2"/>
    <x v="9"/>
    <x v="2246"/>
    <x v="0"/>
    <x v="2"/>
  </r>
  <r>
    <x v="2276"/>
    <x v="46"/>
    <x v="0"/>
    <x v="8"/>
    <x v="8"/>
    <x v="1"/>
    <x v="0"/>
    <x v="2247"/>
    <x v="1"/>
    <x v="0"/>
  </r>
  <r>
    <x v="2277"/>
    <x v="84"/>
    <x v="1"/>
    <x v="9"/>
    <x v="3"/>
    <x v="1"/>
    <x v="11"/>
    <x v="2248"/>
    <x v="1"/>
    <x v="0"/>
  </r>
  <r>
    <x v="2278"/>
    <x v="15"/>
    <x v="0"/>
    <x v="7"/>
    <x v="4"/>
    <x v="1"/>
    <x v="14"/>
    <x v="2249"/>
    <x v="0"/>
    <x v="4"/>
  </r>
  <r>
    <x v="2279"/>
    <x v="75"/>
    <x v="0"/>
    <x v="5"/>
    <x v="4"/>
    <x v="2"/>
    <x v="9"/>
    <x v="2250"/>
    <x v="1"/>
    <x v="2"/>
  </r>
  <r>
    <x v="2280"/>
    <x v="76"/>
    <x v="1"/>
    <x v="3"/>
    <x v="9"/>
    <x v="0"/>
    <x v="10"/>
    <x v="2251"/>
    <x v="1"/>
    <x v="1"/>
  </r>
  <r>
    <x v="2281"/>
    <x v="44"/>
    <x v="0"/>
    <x v="3"/>
    <x v="1"/>
    <x v="0"/>
    <x v="6"/>
    <x v="2252"/>
    <x v="0"/>
    <x v="3"/>
  </r>
  <r>
    <x v="2282"/>
    <x v="75"/>
    <x v="1"/>
    <x v="4"/>
    <x v="3"/>
    <x v="0"/>
    <x v="12"/>
    <x v="2253"/>
    <x v="0"/>
    <x v="0"/>
  </r>
  <r>
    <x v="2283"/>
    <x v="28"/>
    <x v="1"/>
    <x v="3"/>
    <x v="1"/>
    <x v="2"/>
    <x v="4"/>
    <x v="2254"/>
    <x v="0"/>
    <x v="2"/>
  </r>
  <r>
    <x v="2284"/>
    <x v="44"/>
    <x v="1"/>
    <x v="8"/>
    <x v="4"/>
    <x v="2"/>
    <x v="3"/>
    <x v="2255"/>
    <x v="0"/>
    <x v="0"/>
  </r>
  <r>
    <x v="2285"/>
    <x v="12"/>
    <x v="1"/>
    <x v="6"/>
    <x v="8"/>
    <x v="0"/>
    <x v="8"/>
    <x v="2256"/>
    <x v="0"/>
    <x v="3"/>
  </r>
  <r>
    <x v="2286"/>
    <x v="21"/>
    <x v="0"/>
    <x v="3"/>
    <x v="5"/>
    <x v="0"/>
    <x v="12"/>
    <x v="2257"/>
    <x v="0"/>
    <x v="3"/>
  </r>
  <r>
    <x v="2287"/>
    <x v="7"/>
    <x v="1"/>
    <x v="8"/>
    <x v="1"/>
    <x v="1"/>
    <x v="6"/>
    <x v="2258"/>
    <x v="0"/>
    <x v="1"/>
  </r>
  <r>
    <x v="2288"/>
    <x v="27"/>
    <x v="0"/>
    <x v="7"/>
    <x v="8"/>
    <x v="1"/>
    <x v="7"/>
    <x v="2259"/>
    <x v="1"/>
    <x v="1"/>
  </r>
  <r>
    <x v="2289"/>
    <x v="38"/>
    <x v="0"/>
    <x v="2"/>
    <x v="9"/>
    <x v="2"/>
    <x v="0"/>
    <x v="2260"/>
    <x v="1"/>
    <x v="2"/>
  </r>
  <r>
    <x v="2290"/>
    <x v="54"/>
    <x v="1"/>
    <x v="7"/>
    <x v="8"/>
    <x v="1"/>
    <x v="11"/>
    <x v="2261"/>
    <x v="0"/>
    <x v="4"/>
  </r>
  <r>
    <x v="2291"/>
    <x v="89"/>
    <x v="0"/>
    <x v="9"/>
    <x v="4"/>
    <x v="1"/>
    <x v="9"/>
    <x v="2262"/>
    <x v="0"/>
    <x v="0"/>
  </r>
  <r>
    <x v="2292"/>
    <x v="53"/>
    <x v="1"/>
    <x v="8"/>
    <x v="6"/>
    <x v="1"/>
    <x v="7"/>
    <x v="2263"/>
    <x v="1"/>
    <x v="1"/>
  </r>
  <r>
    <x v="2293"/>
    <x v="50"/>
    <x v="0"/>
    <x v="3"/>
    <x v="4"/>
    <x v="2"/>
    <x v="3"/>
    <x v="2264"/>
    <x v="1"/>
    <x v="0"/>
  </r>
  <r>
    <x v="2294"/>
    <x v="67"/>
    <x v="1"/>
    <x v="8"/>
    <x v="7"/>
    <x v="0"/>
    <x v="8"/>
    <x v="2265"/>
    <x v="0"/>
    <x v="0"/>
  </r>
  <r>
    <x v="2295"/>
    <x v="82"/>
    <x v="0"/>
    <x v="7"/>
    <x v="4"/>
    <x v="2"/>
    <x v="11"/>
    <x v="2266"/>
    <x v="0"/>
    <x v="2"/>
  </r>
  <r>
    <x v="2296"/>
    <x v="52"/>
    <x v="1"/>
    <x v="3"/>
    <x v="8"/>
    <x v="2"/>
    <x v="1"/>
    <x v="2267"/>
    <x v="1"/>
    <x v="0"/>
  </r>
  <r>
    <x v="2297"/>
    <x v="50"/>
    <x v="1"/>
    <x v="5"/>
    <x v="4"/>
    <x v="2"/>
    <x v="14"/>
    <x v="2268"/>
    <x v="0"/>
    <x v="4"/>
  </r>
  <r>
    <x v="2298"/>
    <x v="59"/>
    <x v="1"/>
    <x v="3"/>
    <x v="3"/>
    <x v="0"/>
    <x v="1"/>
    <x v="2269"/>
    <x v="1"/>
    <x v="4"/>
  </r>
  <r>
    <x v="2299"/>
    <x v="39"/>
    <x v="1"/>
    <x v="5"/>
    <x v="7"/>
    <x v="2"/>
    <x v="0"/>
    <x v="2270"/>
    <x v="0"/>
    <x v="2"/>
  </r>
  <r>
    <x v="2300"/>
    <x v="76"/>
    <x v="0"/>
    <x v="5"/>
    <x v="9"/>
    <x v="0"/>
    <x v="1"/>
    <x v="2271"/>
    <x v="1"/>
    <x v="0"/>
  </r>
  <r>
    <x v="2301"/>
    <x v="5"/>
    <x v="0"/>
    <x v="6"/>
    <x v="1"/>
    <x v="2"/>
    <x v="13"/>
    <x v="2272"/>
    <x v="0"/>
    <x v="4"/>
  </r>
  <r>
    <x v="2302"/>
    <x v="48"/>
    <x v="0"/>
    <x v="6"/>
    <x v="2"/>
    <x v="2"/>
    <x v="12"/>
    <x v="2273"/>
    <x v="1"/>
    <x v="0"/>
  </r>
  <r>
    <x v="2303"/>
    <x v="86"/>
    <x v="0"/>
    <x v="0"/>
    <x v="6"/>
    <x v="1"/>
    <x v="11"/>
    <x v="2274"/>
    <x v="0"/>
    <x v="2"/>
  </r>
  <r>
    <x v="2304"/>
    <x v="27"/>
    <x v="0"/>
    <x v="8"/>
    <x v="1"/>
    <x v="2"/>
    <x v="9"/>
    <x v="2275"/>
    <x v="1"/>
    <x v="1"/>
  </r>
  <r>
    <x v="2305"/>
    <x v="76"/>
    <x v="0"/>
    <x v="0"/>
    <x v="9"/>
    <x v="2"/>
    <x v="0"/>
    <x v="2276"/>
    <x v="1"/>
    <x v="3"/>
  </r>
  <r>
    <x v="2306"/>
    <x v="56"/>
    <x v="1"/>
    <x v="7"/>
    <x v="4"/>
    <x v="2"/>
    <x v="12"/>
    <x v="2277"/>
    <x v="0"/>
    <x v="2"/>
  </r>
  <r>
    <x v="2307"/>
    <x v="7"/>
    <x v="0"/>
    <x v="0"/>
    <x v="5"/>
    <x v="2"/>
    <x v="5"/>
    <x v="2278"/>
    <x v="0"/>
    <x v="3"/>
  </r>
  <r>
    <x v="2308"/>
    <x v="72"/>
    <x v="1"/>
    <x v="2"/>
    <x v="4"/>
    <x v="0"/>
    <x v="14"/>
    <x v="2279"/>
    <x v="0"/>
    <x v="0"/>
  </r>
  <r>
    <x v="2309"/>
    <x v="77"/>
    <x v="0"/>
    <x v="8"/>
    <x v="4"/>
    <x v="1"/>
    <x v="5"/>
    <x v="2280"/>
    <x v="1"/>
    <x v="2"/>
  </r>
  <r>
    <x v="2310"/>
    <x v="26"/>
    <x v="0"/>
    <x v="2"/>
    <x v="6"/>
    <x v="1"/>
    <x v="13"/>
    <x v="2281"/>
    <x v="1"/>
    <x v="0"/>
  </r>
  <r>
    <x v="2311"/>
    <x v="53"/>
    <x v="0"/>
    <x v="1"/>
    <x v="2"/>
    <x v="0"/>
    <x v="1"/>
    <x v="2282"/>
    <x v="0"/>
    <x v="1"/>
  </r>
  <r>
    <x v="2312"/>
    <x v="73"/>
    <x v="0"/>
    <x v="9"/>
    <x v="5"/>
    <x v="0"/>
    <x v="6"/>
    <x v="2283"/>
    <x v="0"/>
    <x v="3"/>
  </r>
  <r>
    <x v="2313"/>
    <x v="18"/>
    <x v="1"/>
    <x v="9"/>
    <x v="8"/>
    <x v="2"/>
    <x v="2"/>
    <x v="2284"/>
    <x v="0"/>
    <x v="0"/>
  </r>
  <r>
    <x v="2314"/>
    <x v="42"/>
    <x v="1"/>
    <x v="4"/>
    <x v="6"/>
    <x v="0"/>
    <x v="14"/>
    <x v="2285"/>
    <x v="1"/>
    <x v="1"/>
  </r>
  <r>
    <x v="2315"/>
    <x v="53"/>
    <x v="1"/>
    <x v="3"/>
    <x v="9"/>
    <x v="2"/>
    <x v="14"/>
    <x v="179"/>
    <x v="0"/>
    <x v="0"/>
  </r>
  <r>
    <x v="2316"/>
    <x v="61"/>
    <x v="1"/>
    <x v="1"/>
    <x v="3"/>
    <x v="2"/>
    <x v="9"/>
    <x v="2286"/>
    <x v="1"/>
    <x v="2"/>
  </r>
  <r>
    <x v="2317"/>
    <x v="5"/>
    <x v="0"/>
    <x v="2"/>
    <x v="5"/>
    <x v="2"/>
    <x v="11"/>
    <x v="2287"/>
    <x v="1"/>
    <x v="1"/>
  </r>
  <r>
    <x v="2318"/>
    <x v="3"/>
    <x v="0"/>
    <x v="3"/>
    <x v="4"/>
    <x v="1"/>
    <x v="14"/>
    <x v="2288"/>
    <x v="0"/>
    <x v="1"/>
  </r>
  <r>
    <x v="2319"/>
    <x v="48"/>
    <x v="1"/>
    <x v="8"/>
    <x v="0"/>
    <x v="1"/>
    <x v="11"/>
    <x v="2289"/>
    <x v="0"/>
    <x v="4"/>
  </r>
  <r>
    <x v="2320"/>
    <x v="88"/>
    <x v="0"/>
    <x v="0"/>
    <x v="2"/>
    <x v="2"/>
    <x v="1"/>
    <x v="2290"/>
    <x v="0"/>
    <x v="2"/>
  </r>
  <r>
    <x v="2321"/>
    <x v="63"/>
    <x v="1"/>
    <x v="3"/>
    <x v="3"/>
    <x v="0"/>
    <x v="13"/>
    <x v="2291"/>
    <x v="0"/>
    <x v="1"/>
  </r>
  <r>
    <x v="2322"/>
    <x v="17"/>
    <x v="1"/>
    <x v="4"/>
    <x v="8"/>
    <x v="1"/>
    <x v="0"/>
    <x v="2292"/>
    <x v="0"/>
    <x v="1"/>
  </r>
  <r>
    <x v="2323"/>
    <x v="39"/>
    <x v="1"/>
    <x v="1"/>
    <x v="9"/>
    <x v="0"/>
    <x v="13"/>
    <x v="2293"/>
    <x v="0"/>
    <x v="4"/>
  </r>
  <r>
    <x v="2324"/>
    <x v="24"/>
    <x v="0"/>
    <x v="5"/>
    <x v="9"/>
    <x v="2"/>
    <x v="8"/>
    <x v="2294"/>
    <x v="0"/>
    <x v="2"/>
  </r>
  <r>
    <x v="2325"/>
    <x v="50"/>
    <x v="0"/>
    <x v="2"/>
    <x v="7"/>
    <x v="1"/>
    <x v="8"/>
    <x v="2295"/>
    <x v="1"/>
    <x v="3"/>
  </r>
  <r>
    <x v="2326"/>
    <x v="14"/>
    <x v="0"/>
    <x v="8"/>
    <x v="5"/>
    <x v="1"/>
    <x v="9"/>
    <x v="2296"/>
    <x v="0"/>
    <x v="0"/>
  </r>
  <r>
    <x v="2327"/>
    <x v="2"/>
    <x v="0"/>
    <x v="9"/>
    <x v="0"/>
    <x v="2"/>
    <x v="7"/>
    <x v="2297"/>
    <x v="1"/>
    <x v="3"/>
  </r>
  <r>
    <x v="2328"/>
    <x v="52"/>
    <x v="0"/>
    <x v="5"/>
    <x v="6"/>
    <x v="1"/>
    <x v="2"/>
    <x v="2298"/>
    <x v="0"/>
    <x v="1"/>
  </r>
  <r>
    <x v="2329"/>
    <x v="76"/>
    <x v="1"/>
    <x v="6"/>
    <x v="1"/>
    <x v="1"/>
    <x v="10"/>
    <x v="2299"/>
    <x v="1"/>
    <x v="0"/>
  </r>
  <r>
    <x v="2330"/>
    <x v="21"/>
    <x v="1"/>
    <x v="4"/>
    <x v="9"/>
    <x v="2"/>
    <x v="2"/>
    <x v="2300"/>
    <x v="0"/>
    <x v="2"/>
  </r>
  <r>
    <x v="2331"/>
    <x v="85"/>
    <x v="0"/>
    <x v="6"/>
    <x v="9"/>
    <x v="0"/>
    <x v="0"/>
    <x v="2301"/>
    <x v="1"/>
    <x v="0"/>
  </r>
  <r>
    <x v="2332"/>
    <x v="73"/>
    <x v="1"/>
    <x v="8"/>
    <x v="1"/>
    <x v="2"/>
    <x v="6"/>
    <x v="2302"/>
    <x v="0"/>
    <x v="3"/>
  </r>
  <r>
    <x v="2333"/>
    <x v="42"/>
    <x v="0"/>
    <x v="7"/>
    <x v="7"/>
    <x v="2"/>
    <x v="2"/>
    <x v="2303"/>
    <x v="1"/>
    <x v="2"/>
  </r>
  <r>
    <x v="2334"/>
    <x v="24"/>
    <x v="1"/>
    <x v="8"/>
    <x v="4"/>
    <x v="1"/>
    <x v="4"/>
    <x v="2304"/>
    <x v="1"/>
    <x v="1"/>
  </r>
  <r>
    <x v="2335"/>
    <x v="21"/>
    <x v="1"/>
    <x v="6"/>
    <x v="7"/>
    <x v="2"/>
    <x v="13"/>
    <x v="1698"/>
    <x v="1"/>
    <x v="1"/>
  </r>
  <r>
    <x v="2336"/>
    <x v="74"/>
    <x v="1"/>
    <x v="4"/>
    <x v="4"/>
    <x v="1"/>
    <x v="0"/>
    <x v="2305"/>
    <x v="1"/>
    <x v="4"/>
  </r>
  <r>
    <x v="2337"/>
    <x v="4"/>
    <x v="1"/>
    <x v="9"/>
    <x v="1"/>
    <x v="2"/>
    <x v="13"/>
    <x v="2306"/>
    <x v="0"/>
    <x v="4"/>
  </r>
  <r>
    <x v="2338"/>
    <x v="73"/>
    <x v="1"/>
    <x v="1"/>
    <x v="2"/>
    <x v="2"/>
    <x v="8"/>
    <x v="2307"/>
    <x v="0"/>
    <x v="0"/>
  </r>
  <r>
    <x v="2339"/>
    <x v="44"/>
    <x v="0"/>
    <x v="0"/>
    <x v="4"/>
    <x v="0"/>
    <x v="12"/>
    <x v="2308"/>
    <x v="1"/>
    <x v="3"/>
  </r>
  <r>
    <x v="2340"/>
    <x v="65"/>
    <x v="0"/>
    <x v="0"/>
    <x v="8"/>
    <x v="2"/>
    <x v="0"/>
    <x v="2309"/>
    <x v="0"/>
    <x v="2"/>
  </r>
  <r>
    <x v="2341"/>
    <x v="72"/>
    <x v="0"/>
    <x v="6"/>
    <x v="8"/>
    <x v="1"/>
    <x v="14"/>
    <x v="2310"/>
    <x v="0"/>
    <x v="4"/>
  </r>
  <r>
    <x v="2342"/>
    <x v="50"/>
    <x v="0"/>
    <x v="3"/>
    <x v="4"/>
    <x v="2"/>
    <x v="6"/>
    <x v="2311"/>
    <x v="1"/>
    <x v="2"/>
  </r>
  <r>
    <x v="2343"/>
    <x v="55"/>
    <x v="0"/>
    <x v="2"/>
    <x v="8"/>
    <x v="2"/>
    <x v="10"/>
    <x v="2312"/>
    <x v="0"/>
    <x v="0"/>
  </r>
  <r>
    <x v="2344"/>
    <x v="64"/>
    <x v="0"/>
    <x v="9"/>
    <x v="7"/>
    <x v="0"/>
    <x v="5"/>
    <x v="2313"/>
    <x v="1"/>
    <x v="0"/>
  </r>
  <r>
    <x v="2345"/>
    <x v="65"/>
    <x v="0"/>
    <x v="2"/>
    <x v="8"/>
    <x v="1"/>
    <x v="14"/>
    <x v="2314"/>
    <x v="1"/>
    <x v="0"/>
  </r>
  <r>
    <x v="2346"/>
    <x v="23"/>
    <x v="1"/>
    <x v="7"/>
    <x v="8"/>
    <x v="1"/>
    <x v="13"/>
    <x v="2315"/>
    <x v="1"/>
    <x v="2"/>
  </r>
  <r>
    <x v="2347"/>
    <x v="41"/>
    <x v="1"/>
    <x v="0"/>
    <x v="5"/>
    <x v="2"/>
    <x v="9"/>
    <x v="2316"/>
    <x v="1"/>
    <x v="4"/>
  </r>
  <r>
    <x v="2348"/>
    <x v="78"/>
    <x v="0"/>
    <x v="7"/>
    <x v="1"/>
    <x v="0"/>
    <x v="7"/>
    <x v="2317"/>
    <x v="0"/>
    <x v="3"/>
  </r>
  <r>
    <x v="2349"/>
    <x v="7"/>
    <x v="1"/>
    <x v="3"/>
    <x v="4"/>
    <x v="2"/>
    <x v="5"/>
    <x v="2318"/>
    <x v="0"/>
    <x v="1"/>
  </r>
  <r>
    <x v="2350"/>
    <x v="45"/>
    <x v="0"/>
    <x v="2"/>
    <x v="4"/>
    <x v="1"/>
    <x v="13"/>
    <x v="2319"/>
    <x v="0"/>
    <x v="2"/>
  </r>
  <r>
    <x v="2351"/>
    <x v="25"/>
    <x v="1"/>
    <x v="7"/>
    <x v="0"/>
    <x v="2"/>
    <x v="14"/>
    <x v="2320"/>
    <x v="0"/>
    <x v="2"/>
  </r>
  <r>
    <x v="2352"/>
    <x v="7"/>
    <x v="0"/>
    <x v="8"/>
    <x v="5"/>
    <x v="2"/>
    <x v="10"/>
    <x v="2321"/>
    <x v="1"/>
    <x v="4"/>
  </r>
  <r>
    <x v="2353"/>
    <x v="70"/>
    <x v="0"/>
    <x v="8"/>
    <x v="6"/>
    <x v="2"/>
    <x v="4"/>
    <x v="2322"/>
    <x v="0"/>
    <x v="0"/>
  </r>
  <r>
    <x v="2354"/>
    <x v="43"/>
    <x v="0"/>
    <x v="5"/>
    <x v="0"/>
    <x v="0"/>
    <x v="5"/>
    <x v="2323"/>
    <x v="1"/>
    <x v="2"/>
  </r>
  <r>
    <x v="2355"/>
    <x v="20"/>
    <x v="1"/>
    <x v="2"/>
    <x v="7"/>
    <x v="0"/>
    <x v="5"/>
    <x v="2324"/>
    <x v="1"/>
    <x v="0"/>
  </r>
  <r>
    <x v="2356"/>
    <x v="57"/>
    <x v="0"/>
    <x v="3"/>
    <x v="4"/>
    <x v="1"/>
    <x v="14"/>
    <x v="2325"/>
    <x v="0"/>
    <x v="1"/>
  </r>
  <r>
    <x v="2357"/>
    <x v="56"/>
    <x v="0"/>
    <x v="1"/>
    <x v="2"/>
    <x v="2"/>
    <x v="0"/>
    <x v="2326"/>
    <x v="1"/>
    <x v="4"/>
  </r>
  <r>
    <x v="2358"/>
    <x v="33"/>
    <x v="1"/>
    <x v="5"/>
    <x v="0"/>
    <x v="0"/>
    <x v="3"/>
    <x v="2327"/>
    <x v="1"/>
    <x v="3"/>
  </r>
  <r>
    <x v="2359"/>
    <x v="6"/>
    <x v="1"/>
    <x v="8"/>
    <x v="3"/>
    <x v="2"/>
    <x v="6"/>
    <x v="2328"/>
    <x v="1"/>
    <x v="4"/>
  </r>
  <r>
    <x v="2360"/>
    <x v="30"/>
    <x v="1"/>
    <x v="6"/>
    <x v="9"/>
    <x v="0"/>
    <x v="1"/>
    <x v="2329"/>
    <x v="0"/>
    <x v="4"/>
  </r>
  <r>
    <x v="2361"/>
    <x v="54"/>
    <x v="1"/>
    <x v="5"/>
    <x v="7"/>
    <x v="2"/>
    <x v="2"/>
    <x v="2330"/>
    <x v="0"/>
    <x v="4"/>
  </r>
  <r>
    <x v="2362"/>
    <x v="3"/>
    <x v="1"/>
    <x v="5"/>
    <x v="9"/>
    <x v="0"/>
    <x v="9"/>
    <x v="2331"/>
    <x v="0"/>
    <x v="3"/>
  </r>
  <r>
    <x v="2363"/>
    <x v="84"/>
    <x v="1"/>
    <x v="6"/>
    <x v="9"/>
    <x v="0"/>
    <x v="7"/>
    <x v="2332"/>
    <x v="0"/>
    <x v="4"/>
  </r>
  <r>
    <x v="2364"/>
    <x v="83"/>
    <x v="1"/>
    <x v="1"/>
    <x v="2"/>
    <x v="1"/>
    <x v="6"/>
    <x v="2333"/>
    <x v="1"/>
    <x v="3"/>
  </r>
  <r>
    <x v="2365"/>
    <x v="0"/>
    <x v="1"/>
    <x v="1"/>
    <x v="4"/>
    <x v="1"/>
    <x v="0"/>
    <x v="2334"/>
    <x v="0"/>
    <x v="0"/>
  </r>
  <r>
    <x v="2366"/>
    <x v="20"/>
    <x v="1"/>
    <x v="9"/>
    <x v="2"/>
    <x v="2"/>
    <x v="4"/>
    <x v="2335"/>
    <x v="1"/>
    <x v="0"/>
  </r>
  <r>
    <x v="2367"/>
    <x v="11"/>
    <x v="1"/>
    <x v="3"/>
    <x v="5"/>
    <x v="1"/>
    <x v="10"/>
    <x v="2336"/>
    <x v="0"/>
    <x v="4"/>
  </r>
  <r>
    <x v="2368"/>
    <x v="61"/>
    <x v="0"/>
    <x v="9"/>
    <x v="6"/>
    <x v="2"/>
    <x v="2"/>
    <x v="2337"/>
    <x v="1"/>
    <x v="3"/>
  </r>
  <r>
    <x v="2369"/>
    <x v="3"/>
    <x v="0"/>
    <x v="9"/>
    <x v="4"/>
    <x v="0"/>
    <x v="11"/>
    <x v="2338"/>
    <x v="0"/>
    <x v="0"/>
  </r>
  <r>
    <x v="2370"/>
    <x v="36"/>
    <x v="1"/>
    <x v="6"/>
    <x v="9"/>
    <x v="0"/>
    <x v="11"/>
    <x v="2339"/>
    <x v="1"/>
    <x v="1"/>
  </r>
  <r>
    <x v="2371"/>
    <x v="56"/>
    <x v="1"/>
    <x v="7"/>
    <x v="5"/>
    <x v="0"/>
    <x v="11"/>
    <x v="2340"/>
    <x v="1"/>
    <x v="0"/>
  </r>
  <r>
    <x v="2372"/>
    <x v="86"/>
    <x v="0"/>
    <x v="6"/>
    <x v="5"/>
    <x v="0"/>
    <x v="8"/>
    <x v="2341"/>
    <x v="0"/>
    <x v="1"/>
  </r>
  <r>
    <x v="2373"/>
    <x v="42"/>
    <x v="0"/>
    <x v="0"/>
    <x v="9"/>
    <x v="1"/>
    <x v="14"/>
    <x v="2342"/>
    <x v="1"/>
    <x v="2"/>
  </r>
  <r>
    <x v="2374"/>
    <x v="86"/>
    <x v="0"/>
    <x v="5"/>
    <x v="8"/>
    <x v="0"/>
    <x v="6"/>
    <x v="2343"/>
    <x v="1"/>
    <x v="0"/>
  </r>
  <r>
    <x v="2375"/>
    <x v="88"/>
    <x v="1"/>
    <x v="8"/>
    <x v="2"/>
    <x v="0"/>
    <x v="7"/>
    <x v="2344"/>
    <x v="1"/>
    <x v="0"/>
  </r>
  <r>
    <x v="2376"/>
    <x v="32"/>
    <x v="1"/>
    <x v="5"/>
    <x v="7"/>
    <x v="1"/>
    <x v="3"/>
    <x v="2345"/>
    <x v="0"/>
    <x v="4"/>
  </r>
  <r>
    <x v="2377"/>
    <x v="85"/>
    <x v="1"/>
    <x v="5"/>
    <x v="8"/>
    <x v="2"/>
    <x v="4"/>
    <x v="2346"/>
    <x v="0"/>
    <x v="1"/>
  </r>
  <r>
    <x v="2378"/>
    <x v="13"/>
    <x v="1"/>
    <x v="6"/>
    <x v="5"/>
    <x v="0"/>
    <x v="11"/>
    <x v="2347"/>
    <x v="1"/>
    <x v="3"/>
  </r>
  <r>
    <x v="2379"/>
    <x v="45"/>
    <x v="0"/>
    <x v="9"/>
    <x v="8"/>
    <x v="0"/>
    <x v="5"/>
    <x v="2348"/>
    <x v="0"/>
    <x v="1"/>
  </r>
  <r>
    <x v="2380"/>
    <x v="35"/>
    <x v="1"/>
    <x v="0"/>
    <x v="8"/>
    <x v="0"/>
    <x v="2"/>
    <x v="2349"/>
    <x v="1"/>
    <x v="4"/>
  </r>
  <r>
    <x v="2381"/>
    <x v="46"/>
    <x v="1"/>
    <x v="9"/>
    <x v="6"/>
    <x v="2"/>
    <x v="1"/>
    <x v="2350"/>
    <x v="1"/>
    <x v="0"/>
  </r>
  <r>
    <x v="2382"/>
    <x v="20"/>
    <x v="1"/>
    <x v="7"/>
    <x v="7"/>
    <x v="2"/>
    <x v="0"/>
    <x v="2351"/>
    <x v="1"/>
    <x v="1"/>
  </r>
  <r>
    <x v="2383"/>
    <x v="48"/>
    <x v="0"/>
    <x v="1"/>
    <x v="1"/>
    <x v="2"/>
    <x v="3"/>
    <x v="2352"/>
    <x v="0"/>
    <x v="1"/>
  </r>
  <r>
    <x v="2384"/>
    <x v="21"/>
    <x v="1"/>
    <x v="2"/>
    <x v="1"/>
    <x v="2"/>
    <x v="4"/>
    <x v="2353"/>
    <x v="1"/>
    <x v="3"/>
  </r>
  <r>
    <x v="2385"/>
    <x v="89"/>
    <x v="1"/>
    <x v="7"/>
    <x v="9"/>
    <x v="0"/>
    <x v="13"/>
    <x v="2354"/>
    <x v="1"/>
    <x v="1"/>
  </r>
  <r>
    <x v="2386"/>
    <x v="12"/>
    <x v="0"/>
    <x v="0"/>
    <x v="3"/>
    <x v="0"/>
    <x v="8"/>
    <x v="2355"/>
    <x v="0"/>
    <x v="4"/>
  </r>
  <r>
    <x v="2387"/>
    <x v="65"/>
    <x v="1"/>
    <x v="8"/>
    <x v="7"/>
    <x v="1"/>
    <x v="14"/>
    <x v="2356"/>
    <x v="1"/>
    <x v="4"/>
  </r>
  <r>
    <x v="2388"/>
    <x v="39"/>
    <x v="1"/>
    <x v="5"/>
    <x v="5"/>
    <x v="2"/>
    <x v="13"/>
    <x v="761"/>
    <x v="1"/>
    <x v="2"/>
  </r>
  <r>
    <x v="2389"/>
    <x v="86"/>
    <x v="0"/>
    <x v="1"/>
    <x v="6"/>
    <x v="2"/>
    <x v="13"/>
    <x v="2357"/>
    <x v="0"/>
    <x v="2"/>
  </r>
  <r>
    <x v="2390"/>
    <x v="11"/>
    <x v="0"/>
    <x v="5"/>
    <x v="8"/>
    <x v="0"/>
    <x v="0"/>
    <x v="2358"/>
    <x v="0"/>
    <x v="0"/>
  </r>
  <r>
    <x v="2391"/>
    <x v="9"/>
    <x v="0"/>
    <x v="9"/>
    <x v="6"/>
    <x v="1"/>
    <x v="14"/>
    <x v="2359"/>
    <x v="1"/>
    <x v="1"/>
  </r>
  <r>
    <x v="2392"/>
    <x v="62"/>
    <x v="1"/>
    <x v="1"/>
    <x v="9"/>
    <x v="1"/>
    <x v="8"/>
    <x v="2360"/>
    <x v="1"/>
    <x v="3"/>
  </r>
  <r>
    <x v="2393"/>
    <x v="16"/>
    <x v="1"/>
    <x v="0"/>
    <x v="9"/>
    <x v="1"/>
    <x v="0"/>
    <x v="2361"/>
    <x v="1"/>
    <x v="1"/>
  </r>
  <r>
    <x v="2394"/>
    <x v="18"/>
    <x v="0"/>
    <x v="4"/>
    <x v="8"/>
    <x v="0"/>
    <x v="11"/>
    <x v="2362"/>
    <x v="0"/>
    <x v="3"/>
  </r>
  <r>
    <x v="2395"/>
    <x v="68"/>
    <x v="0"/>
    <x v="6"/>
    <x v="7"/>
    <x v="2"/>
    <x v="4"/>
    <x v="2363"/>
    <x v="1"/>
    <x v="1"/>
  </r>
  <r>
    <x v="2396"/>
    <x v="58"/>
    <x v="0"/>
    <x v="7"/>
    <x v="0"/>
    <x v="1"/>
    <x v="5"/>
    <x v="1286"/>
    <x v="0"/>
    <x v="2"/>
  </r>
  <r>
    <x v="2397"/>
    <x v="69"/>
    <x v="1"/>
    <x v="9"/>
    <x v="5"/>
    <x v="1"/>
    <x v="8"/>
    <x v="2364"/>
    <x v="1"/>
    <x v="4"/>
  </r>
  <r>
    <x v="2398"/>
    <x v="7"/>
    <x v="1"/>
    <x v="3"/>
    <x v="4"/>
    <x v="1"/>
    <x v="1"/>
    <x v="2365"/>
    <x v="1"/>
    <x v="2"/>
  </r>
  <r>
    <x v="2399"/>
    <x v="8"/>
    <x v="0"/>
    <x v="2"/>
    <x v="2"/>
    <x v="1"/>
    <x v="14"/>
    <x v="2366"/>
    <x v="0"/>
    <x v="0"/>
  </r>
  <r>
    <x v="2400"/>
    <x v="46"/>
    <x v="0"/>
    <x v="6"/>
    <x v="2"/>
    <x v="0"/>
    <x v="12"/>
    <x v="2367"/>
    <x v="0"/>
    <x v="0"/>
  </r>
  <r>
    <x v="2401"/>
    <x v="51"/>
    <x v="0"/>
    <x v="5"/>
    <x v="1"/>
    <x v="0"/>
    <x v="1"/>
    <x v="2368"/>
    <x v="0"/>
    <x v="0"/>
  </r>
  <r>
    <x v="2402"/>
    <x v="53"/>
    <x v="1"/>
    <x v="4"/>
    <x v="7"/>
    <x v="1"/>
    <x v="12"/>
    <x v="2369"/>
    <x v="1"/>
    <x v="3"/>
  </r>
  <r>
    <x v="2403"/>
    <x v="35"/>
    <x v="1"/>
    <x v="2"/>
    <x v="8"/>
    <x v="2"/>
    <x v="11"/>
    <x v="2370"/>
    <x v="1"/>
    <x v="1"/>
  </r>
  <r>
    <x v="2404"/>
    <x v="66"/>
    <x v="1"/>
    <x v="3"/>
    <x v="9"/>
    <x v="2"/>
    <x v="7"/>
    <x v="2371"/>
    <x v="1"/>
    <x v="2"/>
  </r>
  <r>
    <x v="2405"/>
    <x v="1"/>
    <x v="1"/>
    <x v="2"/>
    <x v="6"/>
    <x v="2"/>
    <x v="8"/>
    <x v="2372"/>
    <x v="0"/>
    <x v="0"/>
  </r>
  <r>
    <x v="2406"/>
    <x v="10"/>
    <x v="0"/>
    <x v="9"/>
    <x v="9"/>
    <x v="0"/>
    <x v="14"/>
    <x v="2373"/>
    <x v="1"/>
    <x v="4"/>
  </r>
  <r>
    <x v="2407"/>
    <x v="27"/>
    <x v="1"/>
    <x v="2"/>
    <x v="0"/>
    <x v="1"/>
    <x v="0"/>
    <x v="2374"/>
    <x v="1"/>
    <x v="4"/>
  </r>
  <r>
    <x v="2408"/>
    <x v="85"/>
    <x v="1"/>
    <x v="7"/>
    <x v="9"/>
    <x v="2"/>
    <x v="6"/>
    <x v="2375"/>
    <x v="0"/>
    <x v="4"/>
  </r>
  <r>
    <x v="2409"/>
    <x v="47"/>
    <x v="1"/>
    <x v="7"/>
    <x v="0"/>
    <x v="2"/>
    <x v="2"/>
    <x v="2376"/>
    <x v="0"/>
    <x v="4"/>
  </r>
  <r>
    <x v="2410"/>
    <x v="49"/>
    <x v="1"/>
    <x v="3"/>
    <x v="9"/>
    <x v="2"/>
    <x v="13"/>
    <x v="2377"/>
    <x v="0"/>
    <x v="4"/>
  </r>
  <r>
    <x v="2411"/>
    <x v="43"/>
    <x v="1"/>
    <x v="1"/>
    <x v="8"/>
    <x v="1"/>
    <x v="6"/>
    <x v="2131"/>
    <x v="1"/>
    <x v="1"/>
  </r>
  <r>
    <x v="2412"/>
    <x v="50"/>
    <x v="0"/>
    <x v="9"/>
    <x v="9"/>
    <x v="1"/>
    <x v="5"/>
    <x v="2378"/>
    <x v="0"/>
    <x v="3"/>
  </r>
  <r>
    <x v="2413"/>
    <x v="74"/>
    <x v="0"/>
    <x v="2"/>
    <x v="6"/>
    <x v="0"/>
    <x v="1"/>
    <x v="2379"/>
    <x v="0"/>
    <x v="1"/>
  </r>
  <r>
    <x v="2414"/>
    <x v="88"/>
    <x v="0"/>
    <x v="1"/>
    <x v="7"/>
    <x v="0"/>
    <x v="11"/>
    <x v="2380"/>
    <x v="1"/>
    <x v="1"/>
  </r>
  <r>
    <x v="2415"/>
    <x v="25"/>
    <x v="0"/>
    <x v="9"/>
    <x v="3"/>
    <x v="0"/>
    <x v="14"/>
    <x v="2381"/>
    <x v="1"/>
    <x v="4"/>
  </r>
  <r>
    <x v="2416"/>
    <x v="67"/>
    <x v="1"/>
    <x v="1"/>
    <x v="3"/>
    <x v="0"/>
    <x v="6"/>
    <x v="2382"/>
    <x v="1"/>
    <x v="2"/>
  </r>
  <r>
    <x v="2417"/>
    <x v="54"/>
    <x v="0"/>
    <x v="7"/>
    <x v="1"/>
    <x v="2"/>
    <x v="14"/>
    <x v="2383"/>
    <x v="0"/>
    <x v="0"/>
  </r>
  <r>
    <x v="2418"/>
    <x v="79"/>
    <x v="0"/>
    <x v="1"/>
    <x v="8"/>
    <x v="2"/>
    <x v="7"/>
    <x v="2384"/>
    <x v="0"/>
    <x v="0"/>
  </r>
  <r>
    <x v="2419"/>
    <x v="34"/>
    <x v="0"/>
    <x v="4"/>
    <x v="6"/>
    <x v="2"/>
    <x v="7"/>
    <x v="2385"/>
    <x v="0"/>
    <x v="0"/>
  </r>
  <r>
    <x v="2420"/>
    <x v="10"/>
    <x v="0"/>
    <x v="1"/>
    <x v="7"/>
    <x v="0"/>
    <x v="0"/>
    <x v="2386"/>
    <x v="1"/>
    <x v="1"/>
  </r>
  <r>
    <x v="2421"/>
    <x v="55"/>
    <x v="1"/>
    <x v="9"/>
    <x v="7"/>
    <x v="1"/>
    <x v="0"/>
    <x v="2387"/>
    <x v="0"/>
    <x v="2"/>
  </r>
  <r>
    <x v="2422"/>
    <x v="68"/>
    <x v="0"/>
    <x v="2"/>
    <x v="2"/>
    <x v="2"/>
    <x v="13"/>
    <x v="2388"/>
    <x v="1"/>
    <x v="3"/>
  </r>
  <r>
    <x v="2423"/>
    <x v="39"/>
    <x v="0"/>
    <x v="3"/>
    <x v="0"/>
    <x v="0"/>
    <x v="4"/>
    <x v="2389"/>
    <x v="1"/>
    <x v="1"/>
  </r>
  <r>
    <x v="2424"/>
    <x v="63"/>
    <x v="0"/>
    <x v="5"/>
    <x v="6"/>
    <x v="1"/>
    <x v="9"/>
    <x v="2390"/>
    <x v="1"/>
    <x v="3"/>
  </r>
  <r>
    <x v="2425"/>
    <x v="52"/>
    <x v="1"/>
    <x v="2"/>
    <x v="8"/>
    <x v="2"/>
    <x v="2"/>
    <x v="2391"/>
    <x v="0"/>
    <x v="0"/>
  </r>
  <r>
    <x v="2426"/>
    <x v="38"/>
    <x v="1"/>
    <x v="6"/>
    <x v="7"/>
    <x v="2"/>
    <x v="0"/>
    <x v="2392"/>
    <x v="1"/>
    <x v="1"/>
  </r>
  <r>
    <x v="2427"/>
    <x v="75"/>
    <x v="0"/>
    <x v="0"/>
    <x v="9"/>
    <x v="0"/>
    <x v="2"/>
    <x v="2393"/>
    <x v="1"/>
    <x v="2"/>
  </r>
  <r>
    <x v="2428"/>
    <x v="43"/>
    <x v="0"/>
    <x v="6"/>
    <x v="5"/>
    <x v="1"/>
    <x v="7"/>
    <x v="2394"/>
    <x v="0"/>
    <x v="3"/>
  </r>
  <r>
    <x v="2429"/>
    <x v="8"/>
    <x v="1"/>
    <x v="1"/>
    <x v="0"/>
    <x v="0"/>
    <x v="10"/>
    <x v="2395"/>
    <x v="1"/>
    <x v="3"/>
  </r>
  <r>
    <x v="2430"/>
    <x v="17"/>
    <x v="1"/>
    <x v="7"/>
    <x v="2"/>
    <x v="2"/>
    <x v="12"/>
    <x v="2396"/>
    <x v="0"/>
    <x v="3"/>
  </r>
  <r>
    <x v="2431"/>
    <x v="0"/>
    <x v="0"/>
    <x v="3"/>
    <x v="4"/>
    <x v="2"/>
    <x v="8"/>
    <x v="2397"/>
    <x v="0"/>
    <x v="4"/>
  </r>
  <r>
    <x v="2432"/>
    <x v="44"/>
    <x v="0"/>
    <x v="0"/>
    <x v="0"/>
    <x v="0"/>
    <x v="6"/>
    <x v="2398"/>
    <x v="0"/>
    <x v="4"/>
  </r>
  <r>
    <x v="2433"/>
    <x v="26"/>
    <x v="0"/>
    <x v="5"/>
    <x v="9"/>
    <x v="1"/>
    <x v="7"/>
    <x v="2399"/>
    <x v="1"/>
    <x v="3"/>
  </r>
  <r>
    <x v="2434"/>
    <x v="89"/>
    <x v="1"/>
    <x v="8"/>
    <x v="2"/>
    <x v="2"/>
    <x v="10"/>
    <x v="2400"/>
    <x v="0"/>
    <x v="4"/>
  </r>
  <r>
    <x v="2435"/>
    <x v="54"/>
    <x v="0"/>
    <x v="6"/>
    <x v="1"/>
    <x v="0"/>
    <x v="7"/>
    <x v="2401"/>
    <x v="1"/>
    <x v="2"/>
  </r>
  <r>
    <x v="2436"/>
    <x v="80"/>
    <x v="0"/>
    <x v="8"/>
    <x v="6"/>
    <x v="0"/>
    <x v="11"/>
    <x v="2402"/>
    <x v="1"/>
    <x v="1"/>
  </r>
  <r>
    <x v="2437"/>
    <x v="78"/>
    <x v="1"/>
    <x v="5"/>
    <x v="5"/>
    <x v="0"/>
    <x v="13"/>
    <x v="2403"/>
    <x v="1"/>
    <x v="4"/>
  </r>
  <r>
    <x v="2438"/>
    <x v="66"/>
    <x v="1"/>
    <x v="9"/>
    <x v="4"/>
    <x v="0"/>
    <x v="3"/>
    <x v="2404"/>
    <x v="0"/>
    <x v="2"/>
  </r>
  <r>
    <x v="2439"/>
    <x v="16"/>
    <x v="1"/>
    <x v="9"/>
    <x v="6"/>
    <x v="0"/>
    <x v="13"/>
    <x v="2405"/>
    <x v="0"/>
    <x v="3"/>
  </r>
  <r>
    <x v="2440"/>
    <x v="23"/>
    <x v="0"/>
    <x v="7"/>
    <x v="7"/>
    <x v="0"/>
    <x v="11"/>
    <x v="2406"/>
    <x v="0"/>
    <x v="1"/>
  </r>
  <r>
    <x v="2441"/>
    <x v="40"/>
    <x v="0"/>
    <x v="5"/>
    <x v="5"/>
    <x v="0"/>
    <x v="1"/>
    <x v="2407"/>
    <x v="1"/>
    <x v="1"/>
  </r>
  <r>
    <x v="2442"/>
    <x v="46"/>
    <x v="0"/>
    <x v="0"/>
    <x v="3"/>
    <x v="2"/>
    <x v="7"/>
    <x v="2408"/>
    <x v="1"/>
    <x v="0"/>
  </r>
  <r>
    <x v="2443"/>
    <x v="87"/>
    <x v="1"/>
    <x v="4"/>
    <x v="6"/>
    <x v="0"/>
    <x v="2"/>
    <x v="2409"/>
    <x v="1"/>
    <x v="1"/>
  </r>
  <r>
    <x v="2444"/>
    <x v="56"/>
    <x v="1"/>
    <x v="4"/>
    <x v="8"/>
    <x v="1"/>
    <x v="0"/>
    <x v="2410"/>
    <x v="0"/>
    <x v="4"/>
  </r>
  <r>
    <x v="2445"/>
    <x v="43"/>
    <x v="1"/>
    <x v="7"/>
    <x v="7"/>
    <x v="0"/>
    <x v="6"/>
    <x v="2411"/>
    <x v="0"/>
    <x v="4"/>
  </r>
  <r>
    <x v="2446"/>
    <x v="37"/>
    <x v="1"/>
    <x v="9"/>
    <x v="9"/>
    <x v="0"/>
    <x v="8"/>
    <x v="2412"/>
    <x v="1"/>
    <x v="0"/>
  </r>
  <r>
    <x v="2447"/>
    <x v="13"/>
    <x v="0"/>
    <x v="1"/>
    <x v="9"/>
    <x v="0"/>
    <x v="12"/>
    <x v="2413"/>
    <x v="1"/>
    <x v="3"/>
  </r>
  <r>
    <x v="2448"/>
    <x v="62"/>
    <x v="0"/>
    <x v="7"/>
    <x v="4"/>
    <x v="0"/>
    <x v="14"/>
    <x v="2414"/>
    <x v="1"/>
    <x v="0"/>
  </r>
  <r>
    <x v="2449"/>
    <x v="55"/>
    <x v="0"/>
    <x v="1"/>
    <x v="8"/>
    <x v="2"/>
    <x v="6"/>
    <x v="2415"/>
    <x v="0"/>
    <x v="2"/>
  </r>
  <r>
    <x v="2450"/>
    <x v="69"/>
    <x v="1"/>
    <x v="9"/>
    <x v="2"/>
    <x v="2"/>
    <x v="6"/>
    <x v="2416"/>
    <x v="0"/>
    <x v="4"/>
  </r>
  <r>
    <x v="2451"/>
    <x v="49"/>
    <x v="0"/>
    <x v="7"/>
    <x v="4"/>
    <x v="2"/>
    <x v="11"/>
    <x v="1545"/>
    <x v="1"/>
    <x v="3"/>
  </r>
  <r>
    <x v="2452"/>
    <x v="85"/>
    <x v="1"/>
    <x v="9"/>
    <x v="4"/>
    <x v="0"/>
    <x v="11"/>
    <x v="2417"/>
    <x v="0"/>
    <x v="1"/>
  </r>
  <r>
    <x v="2453"/>
    <x v="41"/>
    <x v="0"/>
    <x v="5"/>
    <x v="2"/>
    <x v="0"/>
    <x v="12"/>
    <x v="2418"/>
    <x v="0"/>
    <x v="0"/>
  </r>
  <r>
    <x v="2454"/>
    <x v="0"/>
    <x v="0"/>
    <x v="4"/>
    <x v="4"/>
    <x v="2"/>
    <x v="0"/>
    <x v="2419"/>
    <x v="0"/>
    <x v="4"/>
  </r>
  <r>
    <x v="2455"/>
    <x v="79"/>
    <x v="1"/>
    <x v="0"/>
    <x v="1"/>
    <x v="2"/>
    <x v="0"/>
    <x v="2420"/>
    <x v="0"/>
    <x v="1"/>
  </r>
  <r>
    <x v="2456"/>
    <x v="50"/>
    <x v="1"/>
    <x v="4"/>
    <x v="2"/>
    <x v="0"/>
    <x v="13"/>
    <x v="2421"/>
    <x v="1"/>
    <x v="3"/>
  </r>
  <r>
    <x v="2457"/>
    <x v="43"/>
    <x v="0"/>
    <x v="2"/>
    <x v="2"/>
    <x v="1"/>
    <x v="4"/>
    <x v="2422"/>
    <x v="0"/>
    <x v="4"/>
  </r>
  <r>
    <x v="2458"/>
    <x v="79"/>
    <x v="0"/>
    <x v="6"/>
    <x v="6"/>
    <x v="1"/>
    <x v="5"/>
    <x v="2423"/>
    <x v="1"/>
    <x v="2"/>
  </r>
  <r>
    <x v="2459"/>
    <x v="37"/>
    <x v="0"/>
    <x v="7"/>
    <x v="6"/>
    <x v="2"/>
    <x v="10"/>
    <x v="2424"/>
    <x v="1"/>
    <x v="0"/>
  </r>
  <r>
    <x v="2460"/>
    <x v="43"/>
    <x v="1"/>
    <x v="5"/>
    <x v="1"/>
    <x v="0"/>
    <x v="9"/>
    <x v="2425"/>
    <x v="1"/>
    <x v="4"/>
  </r>
  <r>
    <x v="2461"/>
    <x v="88"/>
    <x v="0"/>
    <x v="8"/>
    <x v="8"/>
    <x v="1"/>
    <x v="0"/>
    <x v="2426"/>
    <x v="1"/>
    <x v="0"/>
  </r>
  <r>
    <x v="2462"/>
    <x v="45"/>
    <x v="0"/>
    <x v="8"/>
    <x v="4"/>
    <x v="2"/>
    <x v="14"/>
    <x v="2427"/>
    <x v="1"/>
    <x v="3"/>
  </r>
  <r>
    <x v="2463"/>
    <x v="58"/>
    <x v="0"/>
    <x v="3"/>
    <x v="4"/>
    <x v="1"/>
    <x v="14"/>
    <x v="2428"/>
    <x v="0"/>
    <x v="4"/>
  </r>
  <r>
    <x v="2464"/>
    <x v="30"/>
    <x v="0"/>
    <x v="3"/>
    <x v="5"/>
    <x v="0"/>
    <x v="6"/>
    <x v="2429"/>
    <x v="1"/>
    <x v="3"/>
  </r>
  <r>
    <x v="2465"/>
    <x v="40"/>
    <x v="0"/>
    <x v="8"/>
    <x v="0"/>
    <x v="0"/>
    <x v="7"/>
    <x v="2430"/>
    <x v="0"/>
    <x v="1"/>
  </r>
  <r>
    <x v="2466"/>
    <x v="60"/>
    <x v="1"/>
    <x v="0"/>
    <x v="3"/>
    <x v="1"/>
    <x v="7"/>
    <x v="2431"/>
    <x v="1"/>
    <x v="0"/>
  </r>
  <r>
    <x v="2467"/>
    <x v="46"/>
    <x v="1"/>
    <x v="0"/>
    <x v="7"/>
    <x v="1"/>
    <x v="13"/>
    <x v="2432"/>
    <x v="0"/>
    <x v="3"/>
  </r>
  <r>
    <x v="2468"/>
    <x v="11"/>
    <x v="0"/>
    <x v="1"/>
    <x v="7"/>
    <x v="2"/>
    <x v="2"/>
    <x v="2433"/>
    <x v="1"/>
    <x v="4"/>
  </r>
  <r>
    <x v="2469"/>
    <x v="7"/>
    <x v="1"/>
    <x v="1"/>
    <x v="1"/>
    <x v="1"/>
    <x v="2"/>
    <x v="2434"/>
    <x v="1"/>
    <x v="3"/>
  </r>
  <r>
    <x v="2470"/>
    <x v="9"/>
    <x v="0"/>
    <x v="0"/>
    <x v="0"/>
    <x v="2"/>
    <x v="0"/>
    <x v="2435"/>
    <x v="0"/>
    <x v="0"/>
  </r>
  <r>
    <x v="2471"/>
    <x v="53"/>
    <x v="0"/>
    <x v="3"/>
    <x v="0"/>
    <x v="2"/>
    <x v="3"/>
    <x v="2436"/>
    <x v="1"/>
    <x v="0"/>
  </r>
  <r>
    <x v="2472"/>
    <x v="49"/>
    <x v="1"/>
    <x v="4"/>
    <x v="5"/>
    <x v="0"/>
    <x v="5"/>
    <x v="2437"/>
    <x v="1"/>
    <x v="0"/>
  </r>
  <r>
    <x v="2473"/>
    <x v="65"/>
    <x v="1"/>
    <x v="9"/>
    <x v="5"/>
    <x v="1"/>
    <x v="2"/>
    <x v="2438"/>
    <x v="0"/>
    <x v="1"/>
  </r>
  <r>
    <x v="2474"/>
    <x v="78"/>
    <x v="1"/>
    <x v="2"/>
    <x v="3"/>
    <x v="0"/>
    <x v="8"/>
    <x v="2439"/>
    <x v="1"/>
    <x v="0"/>
  </r>
  <r>
    <x v="2475"/>
    <x v="86"/>
    <x v="1"/>
    <x v="6"/>
    <x v="7"/>
    <x v="0"/>
    <x v="8"/>
    <x v="2440"/>
    <x v="0"/>
    <x v="4"/>
  </r>
  <r>
    <x v="2476"/>
    <x v="28"/>
    <x v="1"/>
    <x v="5"/>
    <x v="4"/>
    <x v="1"/>
    <x v="9"/>
    <x v="2441"/>
    <x v="0"/>
    <x v="2"/>
  </r>
  <r>
    <x v="2477"/>
    <x v="64"/>
    <x v="1"/>
    <x v="9"/>
    <x v="4"/>
    <x v="0"/>
    <x v="0"/>
    <x v="2442"/>
    <x v="1"/>
    <x v="1"/>
  </r>
  <r>
    <x v="2478"/>
    <x v="10"/>
    <x v="0"/>
    <x v="9"/>
    <x v="9"/>
    <x v="0"/>
    <x v="4"/>
    <x v="2443"/>
    <x v="1"/>
    <x v="4"/>
  </r>
  <r>
    <x v="2479"/>
    <x v="76"/>
    <x v="0"/>
    <x v="3"/>
    <x v="9"/>
    <x v="0"/>
    <x v="0"/>
    <x v="2444"/>
    <x v="0"/>
    <x v="3"/>
  </r>
  <r>
    <x v="2480"/>
    <x v="47"/>
    <x v="1"/>
    <x v="0"/>
    <x v="0"/>
    <x v="2"/>
    <x v="3"/>
    <x v="2445"/>
    <x v="1"/>
    <x v="2"/>
  </r>
  <r>
    <x v="2481"/>
    <x v="30"/>
    <x v="1"/>
    <x v="3"/>
    <x v="0"/>
    <x v="0"/>
    <x v="6"/>
    <x v="2446"/>
    <x v="1"/>
    <x v="3"/>
  </r>
  <r>
    <x v="2482"/>
    <x v="80"/>
    <x v="1"/>
    <x v="9"/>
    <x v="4"/>
    <x v="0"/>
    <x v="10"/>
    <x v="2447"/>
    <x v="1"/>
    <x v="0"/>
  </r>
  <r>
    <x v="2483"/>
    <x v="82"/>
    <x v="0"/>
    <x v="7"/>
    <x v="2"/>
    <x v="2"/>
    <x v="6"/>
    <x v="2448"/>
    <x v="1"/>
    <x v="0"/>
  </r>
  <r>
    <x v="2484"/>
    <x v="6"/>
    <x v="1"/>
    <x v="4"/>
    <x v="7"/>
    <x v="1"/>
    <x v="3"/>
    <x v="2449"/>
    <x v="1"/>
    <x v="0"/>
  </r>
  <r>
    <x v="2485"/>
    <x v="9"/>
    <x v="1"/>
    <x v="4"/>
    <x v="0"/>
    <x v="1"/>
    <x v="9"/>
    <x v="2450"/>
    <x v="1"/>
    <x v="1"/>
  </r>
  <r>
    <x v="2486"/>
    <x v="64"/>
    <x v="0"/>
    <x v="9"/>
    <x v="5"/>
    <x v="1"/>
    <x v="3"/>
    <x v="2451"/>
    <x v="0"/>
    <x v="0"/>
  </r>
  <r>
    <x v="2487"/>
    <x v="15"/>
    <x v="0"/>
    <x v="0"/>
    <x v="9"/>
    <x v="1"/>
    <x v="11"/>
    <x v="2452"/>
    <x v="1"/>
    <x v="4"/>
  </r>
  <r>
    <x v="2488"/>
    <x v="78"/>
    <x v="1"/>
    <x v="7"/>
    <x v="6"/>
    <x v="2"/>
    <x v="3"/>
    <x v="2453"/>
    <x v="0"/>
    <x v="1"/>
  </r>
  <r>
    <x v="2489"/>
    <x v="24"/>
    <x v="0"/>
    <x v="7"/>
    <x v="9"/>
    <x v="0"/>
    <x v="2"/>
    <x v="2454"/>
    <x v="1"/>
    <x v="2"/>
  </r>
  <r>
    <x v="2490"/>
    <x v="44"/>
    <x v="1"/>
    <x v="2"/>
    <x v="2"/>
    <x v="1"/>
    <x v="1"/>
    <x v="2455"/>
    <x v="0"/>
    <x v="2"/>
  </r>
  <r>
    <x v="2491"/>
    <x v="20"/>
    <x v="0"/>
    <x v="7"/>
    <x v="7"/>
    <x v="0"/>
    <x v="2"/>
    <x v="2456"/>
    <x v="0"/>
    <x v="2"/>
  </r>
  <r>
    <x v="2492"/>
    <x v="64"/>
    <x v="0"/>
    <x v="5"/>
    <x v="0"/>
    <x v="1"/>
    <x v="4"/>
    <x v="2457"/>
    <x v="0"/>
    <x v="4"/>
  </r>
  <r>
    <x v="2493"/>
    <x v="84"/>
    <x v="0"/>
    <x v="7"/>
    <x v="9"/>
    <x v="2"/>
    <x v="11"/>
    <x v="2458"/>
    <x v="1"/>
    <x v="2"/>
  </r>
  <r>
    <x v="2494"/>
    <x v="68"/>
    <x v="0"/>
    <x v="5"/>
    <x v="2"/>
    <x v="2"/>
    <x v="3"/>
    <x v="2459"/>
    <x v="0"/>
    <x v="2"/>
  </r>
  <r>
    <x v="2495"/>
    <x v="75"/>
    <x v="0"/>
    <x v="9"/>
    <x v="9"/>
    <x v="2"/>
    <x v="13"/>
    <x v="2460"/>
    <x v="0"/>
    <x v="0"/>
  </r>
  <r>
    <x v="2496"/>
    <x v="35"/>
    <x v="0"/>
    <x v="0"/>
    <x v="4"/>
    <x v="0"/>
    <x v="1"/>
    <x v="2461"/>
    <x v="0"/>
    <x v="0"/>
  </r>
  <r>
    <x v="2497"/>
    <x v="70"/>
    <x v="0"/>
    <x v="6"/>
    <x v="7"/>
    <x v="1"/>
    <x v="6"/>
    <x v="2462"/>
    <x v="1"/>
    <x v="3"/>
  </r>
  <r>
    <x v="2498"/>
    <x v="53"/>
    <x v="1"/>
    <x v="2"/>
    <x v="5"/>
    <x v="2"/>
    <x v="4"/>
    <x v="2463"/>
    <x v="0"/>
    <x v="2"/>
  </r>
  <r>
    <x v="2499"/>
    <x v="75"/>
    <x v="1"/>
    <x v="3"/>
    <x v="6"/>
    <x v="0"/>
    <x v="13"/>
    <x v="2464"/>
    <x v="0"/>
    <x v="4"/>
  </r>
  <r>
    <x v="2500"/>
    <x v="56"/>
    <x v="0"/>
    <x v="8"/>
    <x v="6"/>
    <x v="2"/>
    <x v="9"/>
    <x v="2465"/>
    <x v="1"/>
    <x v="3"/>
  </r>
  <r>
    <x v="2501"/>
    <x v="17"/>
    <x v="0"/>
    <x v="6"/>
    <x v="9"/>
    <x v="0"/>
    <x v="4"/>
    <x v="2466"/>
    <x v="0"/>
    <x v="1"/>
  </r>
  <r>
    <x v="2502"/>
    <x v="46"/>
    <x v="0"/>
    <x v="0"/>
    <x v="6"/>
    <x v="2"/>
    <x v="2"/>
    <x v="2467"/>
    <x v="0"/>
    <x v="0"/>
  </r>
  <r>
    <x v="2503"/>
    <x v="12"/>
    <x v="1"/>
    <x v="1"/>
    <x v="9"/>
    <x v="2"/>
    <x v="7"/>
    <x v="2468"/>
    <x v="1"/>
    <x v="1"/>
  </r>
  <r>
    <x v="2504"/>
    <x v="69"/>
    <x v="1"/>
    <x v="5"/>
    <x v="7"/>
    <x v="2"/>
    <x v="13"/>
    <x v="2469"/>
    <x v="1"/>
    <x v="3"/>
  </r>
  <r>
    <x v="2505"/>
    <x v="87"/>
    <x v="1"/>
    <x v="2"/>
    <x v="9"/>
    <x v="1"/>
    <x v="13"/>
    <x v="1031"/>
    <x v="1"/>
    <x v="3"/>
  </r>
  <r>
    <x v="2506"/>
    <x v="5"/>
    <x v="0"/>
    <x v="3"/>
    <x v="5"/>
    <x v="1"/>
    <x v="9"/>
    <x v="2470"/>
    <x v="0"/>
    <x v="4"/>
  </r>
  <r>
    <x v="2507"/>
    <x v="5"/>
    <x v="0"/>
    <x v="0"/>
    <x v="6"/>
    <x v="2"/>
    <x v="12"/>
    <x v="2471"/>
    <x v="0"/>
    <x v="3"/>
  </r>
  <r>
    <x v="2508"/>
    <x v="83"/>
    <x v="0"/>
    <x v="3"/>
    <x v="4"/>
    <x v="0"/>
    <x v="13"/>
    <x v="2472"/>
    <x v="1"/>
    <x v="1"/>
  </r>
  <r>
    <x v="2509"/>
    <x v="51"/>
    <x v="0"/>
    <x v="9"/>
    <x v="1"/>
    <x v="2"/>
    <x v="9"/>
    <x v="2473"/>
    <x v="1"/>
    <x v="4"/>
  </r>
  <r>
    <x v="2510"/>
    <x v="36"/>
    <x v="1"/>
    <x v="2"/>
    <x v="6"/>
    <x v="2"/>
    <x v="13"/>
    <x v="2474"/>
    <x v="1"/>
    <x v="0"/>
  </r>
  <r>
    <x v="2511"/>
    <x v="5"/>
    <x v="1"/>
    <x v="3"/>
    <x v="2"/>
    <x v="0"/>
    <x v="9"/>
    <x v="2475"/>
    <x v="0"/>
    <x v="0"/>
  </r>
  <r>
    <x v="2512"/>
    <x v="63"/>
    <x v="1"/>
    <x v="3"/>
    <x v="6"/>
    <x v="2"/>
    <x v="1"/>
    <x v="2476"/>
    <x v="0"/>
    <x v="2"/>
  </r>
  <r>
    <x v="2513"/>
    <x v="33"/>
    <x v="1"/>
    <x v="4"/>
    <x v="2"/>
    <x v="0"/>
    <x v="10"/>
    <x v="2477"/>
    <x v="0"/>
    <x v="4"/>
  </r>
  <r>
    <x v="2514"/>
    <x v="70"/>
    <x v="0"/>
    <x v="9"/>
    <x v="5"/>
    <x v="0"/>
    <x v="7"/>
    <x v="2478"/>
    <x v="0"/>
    <x v="4"/>
  </r>
  <r>
    <x v="2515"/>
    <x v="36"/>
    <x v="0"/>
    <x v="2"/>
    <x v="8"/>
    <x v="0"/>
    <x v="1"/>
    <x v="2479"/>
    <x v="0"/>
    <x v="0"/>
  </r>
  <r>
    <x v="2516"/>
    <x v="24"/>
    <x v="0"/>
    <x v="7"/>
    <x v="1"/>
    <x v="0"/>
    <x v="5"/>
    <x v="2480"/>
    <x v="1"/>
    <x v="4"/>
  </r>
  <r>
    <x v="2517"/>
    <x v="23"/>
    <x v="1"/>
    <x v="5"/>
    <x v="1"/>
    <x v="2"/>
    <x v="9"/>
    <x v="2481"/>
    <x v="0"/>
    <x v="3"/>
  </r>
  <r>
    <x v="2518"/>
    <x v="38"/>
    <x v="0"/>
    <x v="1"/>
    <x v="9"/>
    <x v="2"/>
    <x v="0"/>
    <x v="2482"/>
    <x v="0"/>
    <x v="0"/>
  </r>
  <r>
    <x v="2519"/>
    <x v="17"/>
    <x v="1"/>
    <x v="5"/>
    <x v="6"/>
    <x v="1"/>
    <x v="13"/>
    <x v="2483"/>
    <x v="0"/>
    <x v="0"/>
  </r>
  <r>
    <x v="2520"/>
    <x v="74"/>
    <x v="1"/>
    <x v="2"/>
    <x v="4"/>
    <x v="2"/>
    <x v="4"/>
    <x v="2484"/>
    <x v="0"/>
    <x v="1"/>
  </r>
  <r>
    <x v="2521"/>
    <x v="63"/>
    <x v="0"/>
    <x v="0"/>
    <x v="3"/>
    <x v="0"/>
    <x v="12"/>
    <x v="2485"/>
    <x v="0"/>
    <x v="0"/>
  </r>
  <r>
    <x v="2522"/>
    <x v="64"/>
    <x v="1"/>
    <x v="0"/>
    <x v="4"/>
    <x v="1"/>
    <x v="11"/>
    <x v="2486"/>
    <x v="0"/>
    <x v="4"/>
  </r>
  <r>
    <x v="2523"/>
    <x v="8"/>
    <x v="0"/>
    <x v="1"/>
    <x v="2"/>
    <x v="0"/>
    <x v="13"/>
    <x v="2487"/>
    <x v="1"/>
    <x v="2"/>
  </r>
  <r>
    <x v="2524"/>
    <x v="60"/>
    <x v="1"/>
    <x v="6"/>
    <x v="3"/>
    <x v="0"/>
    <x v="11"/>
    <x v="2488"/>
    <x v="0"/>
    <x v="2"/>
  </r>
  <r>
    <x v="2525"/>
    <x v="72"/>
    <x v="0"/>
    <x v="7"/>
    <x v="1"/>
    <x v="1"/>
    <x v="3"/>
    <x v="2489"/>
    <x v="0"/>
    <x v="3"/>
  </r>
  <r>
    <x v="2526"/>
    <x v="44"/>
    <x v="1"/>
    <x v="1"/>
    <x v="9"/>
    <x v="1"/>
    <x v="4"/>
    <x v="2490"/>
    <x v="0"/>
    <x v="4"/>
  </r>
  <r>
    <x v="2527"/>
    <x v="12"/>
    <x v="0"/>
    <x v="6"/>
    <x v="2"/>
    <x v="0"/>
    <x v="14"/>
    <x v="2491"/>
    <x v="0"/>
    <x v="2"/>
  </r>
  <r>
    <x v="2528"/>
    <x v="12"/>
    <x v="0"/>
    <x v="7"/>
    <x v="3"/>
    <x v="1"/>
    <x v="0"/>
    <x v="2492"/>
    <x v="1"/>
    <x v="2"/>
  </r>
  <r>
    <x v="2529"/>
    <x v="8"/>
    <x v="1"/>
    <x v="2"/>
    <x v="2"/>
    <x v="2"/>
    <x v="4"/>
    <x v="2493"/>
    <x v="1"/>
    <x v="0"/>
  </r>
  <r>
    <x v="2530"/>
    <x v="10"/>
    <x v="0"/>
    <x v="6"/>
    <x v="9"/>
    <x v="1"/>
    <x v="0"/>
    <x v="2494"/>
    <x v="0"/>
    <x v="0"/>
  </r>
  <r>
    <x v="2531"/>
    <x v="9"/>
    <x v="1"/>
    <x v="1"/>
    <x v="0"/>
    <x v="1"/>
    <x v="5"/>
    <x v="2495"/>
    <x v="0"/>
    <x v="1"/>
  </r>
  <r>
    <x v="2532"/>
    <x v="56"/>
    <x v="1"/>
    <x v="4"/>
    <x v="1"/>
    <x v="1"/>
    <x v="5"/>
    <x v="2496"/>
    <x v="1"/>
    <x v="3"/>
  </r>
  <r>
    <x v="2533"/>
    <x v="28"/>
    <x v="1"/>
    <x v="4"/>
    <x v="6"/>
    <x v="1"/>
    <x v="5"/>
    <x v="2497"/>
    <x v="0"/>
    <x v="4"/>
  </r>
  <r>
    <x v="2534"/>
    <x v="47"/>
    <x v="0"/>
    <x v="5"/>
    <x v="0"/>
    <x v="2"/>
    <x v="7"/>
    <x v="2498"/>
    <x v="0"/>
    <x v="3"/>
  </r>
  <r>
    <x v="2535"/>
    <x v="8"/>
    <x v="0"/>
    <x v="3"/>
    <x v="9"/>
    <x v="1"/>
    <x v="6"/>
    <x v="2499"/>
    <x v="1"/>
    <x v="1"/>
  </r>
  <r>
    <x v="2536"/>
    <x v="69"/>
    <x v="1"/>
    <x v="0"/>
    <x v="5"/>
    <x v="2"/>
    <x v="0"/>
    <x v="2500"/>
    <x v="0"/>
    <x v="3"/>
  </r>
  <r>
    <x v="2537"/>
    <x v="77"/>
    <x v="0"/>
    <x v="6"/>
    <x v="8"/>
    <x v="1"/>
    <x v="13"/>
    <x v="2501"/>
    <x v="1"/>
    <x v="3"/>
  </r>
  <r>
    <x v="2538"/>
    <x v="29"/>
    <x v="1"/>
    <x v="2"/>
    <x v="8"/>
    <x v="0"/>
    <x v="7"/>
    <x v="2502"/>
    <x v="0"/>
    <x v="1"/>
  </r>
  <r>
    <x v="2539"/>
    <x v="7"/>
    <x v="0"/>
    <x v="8"/>
    <x v="5"/>
    <x v="2"/>
    <x v="14"/>
    <x v="2503"/>
    <x v="1"/>
    <x v="0"/>
  </r>
  <r>
    <x v="2540"/>
    <x v="79"/>
    <x v="0"/>
    <x v="6"/>
    <x v="6"/>
    <x v="1"/>
    <x v="11"/>
    <x v="2504"/>
    <x v="0"/>
    <x v="0"/>
  </r>
  <r>
    <x v="2541"/>
    <x v="47"/>
    <x v="0"/>
    <x v="6"/>
    <x v="5"/>
    <x v="2"/>
    <x v="2"/>
    <x v="2505"/>
    <x v="0"/>
    <x v="4"/>
  </r>
  <r>
    <x v="2542"/>
    <x v="48"/>
    <x v="1"/>
    <x v="6"/>
    <x v="1"/>
    <x v="2"/>
    <x v="4"/>
    <x v="2506"/>
    <x v="0"/>
    <x v="0"/>
  </r>
  <r>
    <x v="2543"/>
    <x v="18"/>
    <x v="0"/>
    <x v="0"/>
    <x v="6"/>
    <x v="1"/>
    <x v="6"/>
    <x v="2507"/>
    <x v="1"/>
    <x v="0"/>
  </r>
  <r>
    <x v="2544"/>
    <x v="33"/>
    <x v="1"/>
    <x v="5"/>
    <x v="7"/>
    <x v="0"/>
    <x v="7"/>
    <x v="2508"/>
    <x v="0"/>
    <x v="0"/>
  </r>
  <r>
    <x v="2545"/>
    <x v="46"/>
    <x v="1"/>
    <x v="8"/>
    <x v="8"/>
    <x v="1"/>
    <x v="3"/>
    <x v="2509"/>
    <x v="1"/>
    <x v="0"/>
  </r>
  <r>
    <x v="2546"/>
    <x v="52"/>
    <x v="1"/>
    <x v="7"/>
    <x v="6"/>
    <x v="2"/>
    <x v="12"/>
    <x v="2510"/>
    <x v="1"/>
    <x v="1"/>
  </r>
  <r>
    <x v="2547"/>
    <x v="14"/>
    <x v="0"/>
    <x v="2"/>
    <x v="8"/>
    <x v="1"/>
    <x v="14"/>
    <x v="2511"/>
    <x v="0"/>
    <x v="1"/>
  </r>
  <r>
    <x v="2548"/>
    <x v="8"/>
    <x v="0"/>
    <x v="6"/>
    <x v="1"/>
    <x v="2"/>
    <x v="2"/>
    <x v="2512"/>
    <x v="0"/>
    <x v="2"/>
  </r>
  <r>
    <x v="2549"/>
    <x v="71"/>
    <x v="0"/>
    <x v="0"/>
    <x v="0"/>
    <x v="0"/>
    <x v="0"/>
    <x v="2513"/>
    <x v="1"/>
    <x v="3"/>
  </r>
  <r>
    <x v="2550"/>
    <x v="21"/>
    <x v="1"/>
    <x v="2"/>
    <x v="5"/>
    <x v="1"/>
    <x v="1"/>
    <x v="2514"/>
    <x v="1"/>
    <x v="4"/>
  </r>
  <r>
    <x v="2551"/>
    <x v="41"/>
    <x v="0"/>
    <x v="0"/>
    <x v="4"/>
    <x v="0"/>
    <x v="14"/>
    <x v="2515"/>
    <x v="1"/>
    <x v="4"/>
  </r>
  <r>
    <x v="2552"/>
    <x v="40"/>
    <x v="0"/>
    <x v="0"/>
    <x v="4"/>
    <x v="2"/>
    <x v="2"/>
    <x v="2516"/>
    <x v="1"/>
    <x v="0"/>
  </r>
  <r>
    <x v="2553"/>
    <x v="13"/>
    <x v="1"/>
    <x v="5"/>
    <x v="3"/>
    <x v="2"/>
    <x v="4"/>
    <x v="2517"/>
    <x v="1"/>
    <x v="3"/>
  </r>
  <r>
    <x v="2554"/>
    <x v="72"/>
    <x v="1"/>
    <x v="9"/>
    <x v="6"/>
    <x v="1"/>
    <x v="8"/>
    <x v="2518"/>
    <x v="1"/>
    <x v="0"/>
  </r>
  <r>
    <x v="2555"/>
    <x v="32"/>
    <x v="0"/>
    <x v="3"/>
    <x v="9"/>
    <x v="2"/>
    <x v="1"/>
    <x v="2519"/>
    <x v="1"/>
    <x v="4"/>
  </r>
  <r>
    <x v="2556"/>
    <x v="7"/>
    <x v="0"/>
    <x v="3"/>
    <x v="0"/>
    <x v="0"/>
    <x v="3"/>
    <x v="2520"/>
    <x v="0"/>
    <x v="3"/>
  </r>
  <r>
    <x v="2557"/>
    <x v="77"/>
    <x v="0"/>
    <x v="3"/>
    <x v="9"/>
    <x v="2"/>
    <x v="4"/>
    <x v="2521"/>
    <x v="0"/>
    <x v="0"/>
  </r>
  <r>
    <x v="2558"/>
    <x v="8"/>
    <x v="0"/>
    <x v="3"/>
    <x v="2"/>
    <x v="1"/>
    <x v="0"/>
    <x v="2522"/>
    <x v="0"/>
    <x v="2"/>
  </r>
  <r>
    <x v="2559"/>
    <x v="82"/>
    <x v="1"/>
    <x v="4"/>
    <x v="2"/>
    <x v="0"/>
    <x v="8"/>
    <x v="2523"/>
    <x v="1"/>
    <x v="2"/>
  </r>
  <r>
    <x v="2560"/>
    <x v="0"/>
    <x v="1"/>
    <x v="4"/>
    <x v="9"/>
    <x v="1"/>
    <x v="8"/>
    <x v="2524"/>
    <x v="0"/>
    <x v="4"/>
  </r>
  <r>
    <x v="2561"/>
    <x v="66"/>
    <x v="1"/>
    <x v="9"/>
    <x v="2"/>
    <x v="1"/>
    <x v="14"/>
    <x v="2525"/>
    <x v="0"/>
    <x v="3"/>
  </r>
  <r>
    <x v="2562"/>
    <x v="37"/>
    <x v="0"/>
    <x v="0"/>
    <x v="2"/>
    <x v="1"/>
    <x v="8"/>
    <x v="2526"/>
    <x v="1"/>
    <x v="0"/>
  </r>
  <r>
    <x v="2563"/>
    <x v="43"/>
    <x v="1"/>
    <x v="8"/>
    <x v="2"/>
    <x v="0"/>
    <x v="11"/>
    <x v="2527"/>
    <x v="0"/>
    <x v="0"/>
  </r>
  <r>
    <x v="2564"/>
    <x v="78"/>
    <x v="1"/>
    <x v="5"/>
    <x v="0"/>
    <x v="1"/>
    <x v="12"/>
    <x v="2528"/>
    <x v="1"/>
    <x v="4"/>
  </r>
  <r>
    <x v="2565"/>
    <x v="85"/>
    <x v="0"/>
    <x v="4"/>
    <x v="2"/>
    <x v="0"/>
    <x v="2"/>
    <x v="2529"/>
    <x v="0"/>
    <x v="2"/>
  </r>
  <r>
    <x v="2566"/>
    <x v="61"/>
    <x v="0"/>
    <x v="8"/>
    <x v="4"/>
    <x v="1"/>
    <x v="3"/>
    <x v="2530"/>
    <x v="1"/>
    <x v="1"/>
  </r>
  <r>
    <x v="2567"/>
    <x v="4"/>
    <x v="0"/>
    <x v="4"/>
    <x v="3"/>
    <x v="0"/>
    <x v="1"/>
    <x v="2531"/>
    <x v="1"/>
    <x v="3"/>
  </r>
  <r>
    <x v="2568"/>
    <x v="0"/>
    <x v="1"/>
    <x v="3"/>
    <x v="1"/>
    <x v="2"/>
    <x v="8"/>
    <x v="2532"/>
    <x v="1"/>
    <x v="4"/>
  </r>
  <r>
    <x v="2569"/>
    <x v="25"/>
    <x v="1"/>
    <x v="1"/>
    <x v="9"/>
    <x v="2"/>
    <x v="4"/>
    <x v="1777"/>
    <x v="1"/>
    <x v="1"/>
  </r>
  <r>
    <x v="2570"/>
    <x v="25"/>
    <x v="0"/>
    <x v="9"/>
    <x v="8"/>
    <x v="1"/>
    <x v="3"/>
    <x v="2533"/>
    <x v="0"/>
    <x v="4"/>
  </r>
  <r>
    <x v="2571"/>
    <x v="49"/>
    <x v="0"/>
    <x v="0"/>
    <x v="7"/>
    <x v="2"/>
    <x v="12"/>
    <x v="2534"/>
    <x v="0"/>
    <x v="3"/>
  </r>
  <r>
    <x v="2572"/>
    <x v="29"/>
    <x v="0"/>
    <x v="4"/>
    <x v="4"/>
    <x v="2"/>
    <x v="6"/>
    <x v="2535"/>
    <x v="1"/>
    <x v="1"/>
  </r>
  <r>
    <x v="2573"/>
    <x v="85"/>
    <x v="0"/>
    <x v="5"/>
    <x v="5"/>
    <x v="1"/>
    <x v="13"/>
    <x v="2536"/>
    <x v="1"/>
    <x v="3"/>
  </r>
  <r>
    <x v="2574"/>
    <x v="34"/>
    <x v="0"/>
    <x v="6"/>
    <x v="6"/>
    <x v="1"/>
    <x v="12"/>
    <x v="2537"/>
    <x v="1"/>
    <x v="1"/>
  </r>
  <r>
    <x v="2575"/>
    <x v="52"/>
    <x v="0"/>
    <x v="5"/>
    <x v="5"/>
    <x v="0"/>
    <x v="14"/>
    <x v="2538"/>
    <x v="0"/>
    <x v="3"/>
  </r>
  <r>
    <x v="2576"/>
    <x v="64"/>
    <x v="1"/>
    <x v="7"/>
    <x v="7"/>
    <x v="0"/>
    <x v="0"/>
    <x v="2539"/>
    <x v="0"/>
    <x v="2"/>
  </r>
  <r>
    <x v="2577"/>
    <x v="83"/>
    <x v="1"/>
    <x v="5"/>
    <x v="7"/>
    <x v="2"/>
    <x v="13"/>
    <x v="2540"/>
    <x v="0"/>
    <x v="4"/>
  </r>
  <r>
    <x v="2578"/>
    <x v="78"/>
    <x v="0"/>
    <x v="9"/>
    <x v="1"/>
    <x v="2"/>
    <x v="10"/>
    <x v="2541"/>
    <x v="0"/>
    <x v="3"/>
  </r>
  <r>
    <x v="2579"/>
    <x v="41"/>
    <x v="1"/>
    <x v="7"/>
    <x v="7"/>
    <x v="1"/>
    <x v="10"/>
    <x v="2542"/>
    <x v="1"/>
    <x v="4"/>
  </r>
  <r>
    <x v="2580"/>
    <x v="70"/>
    <x v="1"/>
    <x v="9"/>
    <x v="4"/>
    <x v="0"/>
    <x v="12"/>
    <x v="2543"/>
    <x v="1"/>
    <x v="1"/>
  </r>
  <r>
    <x v="2581"/>
    <x v="69"/>
    <x v="1"/>
    <x v="2"/>
    <x v="4"/>
    <x v="0"/>
    <x v="9"/>
    <x v="2544"/>
    <x v="0"/>
    <x v="2"/>
  </r>
  <r>
    <x v="2582"/>
    <x v="15"/>
    <x v="1"/>
    <x v="6"/>
    <x v="5"/>
    <x v="1"/>
    <x v="0"/>
    <x v="2545"/>
    <x v="0"/>
    <x v="1"/>
  </r>
  <r>
    <x v="2583"/>
    <x v="78"/>
    <x v="0"/>
    <x v="5"/>
    <x v="2"/>
    <x v="2"/>
    <x v="11"/>
    <x v="1033"/>
    <x v="0"/>
    <x v="4"/>
  </r>
  <r>
    <x v="2584"/>
    <x v="64"/>
    <x v="0"/>
    <x v="3"/>
    <x v="9"/>
    <x v="1"/>
    <x v="4"/>
    <x v="2546"/>
    <x v="0"/>
    <x v="0"/>
  </r>
  <r>
    <x v="2585"/>
    <x v="42"/>
    <x v="1"/>
    <x v="7"/>
    <x v="4"/>
    <x v="1"/>
    <x v="1"/>
    <x v="2547"/>
    <x v="1"/>
    <x v="1"/>
  </r>
  <r>
    <x v="2586"/>
    <x v="22"/>
    <x v="0"/>
    <x v="3"/>
    <x v="1"/>
    <x v="1"/>
    <x v="3"/>
    <x v="2548"/>
    <x v="0"/>
    <x v="2"/>
  </r>
  <r>
    <x v="2587"/>
    <x v="56"/>
    <x v="0"/>
    <x v="5"/>
    <x v="5"/>
    <x v="2"/>
    <x v="4"/>
    <x v="1291"/>
    <x v="0"/>
    <x v="0"/>
  </r>
  <r>
    <x v="2588"/>
    <x v="36"/>
    <x v="1"/>
    <x v="9"/>
    <x v="5"/>
    <x v="2"/>
    <x v="10"/>
    <x v="2549"/>
    <x v="1"/>
    <x v="0"/>
  </r>
  <r>
    <x v="2589"/>
    <x v="77"/>
    <x v="0"/>
    <x v="2"/>
    <x v="2"/>
    <x v="2"/>
    <x v="0"/>
    <x v="2550"/>
    <x v="1"/>
    <x v="3"/>
  </r>
  <r>
    <x v="2590"/>
    <x v="5"/>
    <x v="1"/>
    <x v="6"/>
    <x v="6"/>
    <x v="2"/>
    <x v="4"/>
    <x v="2551"/>
    <x v="1"/>
    <x v="0"/>
  </r>
  <r>
    <x v="2591"/>
    <x v="71"/>
    <x v="0"/>
    <x v="7"/>
    <x v="9"/>
    <x v="2"/>
    <x v="7"/>
    <x v="2552"/>
    <x v="1"/>
    <x v="3"/>
  </r>
  <r>
    <x v="2592"/>
    <x v="47"/>
    <x v="1"/>
    <x v="6"/>
    <x v="3"/>
    <x v="2"/>
    <x v="8"/>
    <x v="2553"/>
    <x v="0"/>
    <x v="2"/>
  </r>
  <r>
    <x v="2593"/>
    <x v="28"/>
    <x v="1"/>
    <x v="7"/>
    <x v="4"/>
    <x v="0"/>
    <x v="5"/>
    <x v="2554"/>
    <x v="1"/>
    <x v="1"/>
  </r>
  <r>
    <x v="2594"/>
    <x v="5"/>
    <x v="0"/>
    <x v="0"/>
    <x v="9"/>
    <x v="0"/>
    <x v="0"/>
    <x v="2555"/>
    <x v="1"/>
    <x v="4"/>
  </r>
  <r>
    <x v="2595"/>
    <x v="56"/>
    <x v="1"/>
    <x v="6"/>
    <x v="0"/>
    <x v="1"/>
    <x v="14"/>
    <x v="2556"/>
    <x v="1"/>
    <x v="3"/>
  </r>
  <r>
    <x v="2596"/>
    <x v="60"/>
    <x v="0"/>
    <x v="6"/>
    <x v="9"/>
    <x v="2"/>
    <x v="9"/>
    <x v="2557"/>
    <x v="0"/>
    <x v="4"/>
  </r>
  <r>
    <x v="2597"/>
    <x v="63"/>
    <x v="1"/>
    <x v="3"/>
    <x v="1"/>
    <x v="0"/>
    <x v="4"/>
    <x v="2558"/>
    <x v="1"/>
    <x v="3"/>
  </r>
  <r>
    <x v="2598"/>
    <x v="59"/>
    <x v="1"/>
    <x v="2"/>
    <x v="4"/>
    <x v="1"/>
    <x v="8"/>
    <x v="2559"/>
    <x v="1"/>
    <x v="1"/>
  </r>
  <r>
    <x v="2599"/>
    <x v="28"/>
    <x v="0"/>
    <x v="6"/>
    <x v="1"/>
    <x v="0"/>
    <x v="3"/>
    <x v="2560"/>
    <x v="1"/>
    <x v="2"/>
  </r>
  <r>
    <x v="2600"/>
    <x v="38"/>
    <x v="1"/>
    <x v="0"/>
    <x v="8"/>
    <x v="0"/>
    <x v="5"/>
    <x v="2561"/>
    <x v="1"/>
    <x v="4"/>
  </r>
  <r>
    <x v="2601"/>
    <x v="20"/>
    <x v="0"/>
    <x v="1"/>
    <x v="5"/>
    <x v="0"/>
    <x v="4"/>
    <x v="2562"/>
    <x v="1"/>
    <x v="4"/>
  </r>
  <r>
    <x v="2602"/>
    <x v="84"/>
    <x v="0"/>
    <x v="6"/>
    <x v="1"/>
    <x v="2"/>
    <x v="7"/>
    <x v="2563"/>
    <x v="1"/>
    <x v="4"/>
  </r>
  <r>
    <x v="2603"/>
    <x v="72"/>
    <x v="1"/>
    <x v="8"/>
    <x v="9"/>
    <x v="0"/>
    <x v="14"/>
    <x v="2564"/>
    <x v="0"/>
    <x v="1"/>
  </r>
  <r>
    <x v="2604"/>
    <x v="7"/>
    <x v="0"/>
    <x v="1"/>
    <x v="1"/>
    <x v="2"/>
    <x v="8"/>
    <x v="2565"/>
    <x v="0"/>
    <x v="2"/>
  </r>
  <r>
    <x v="2605"/>
    <x v="63"/>
    <x v="1"/>
    <x v="5"/>
    <x v="5"/>
    <x v="0"/>
    <x v="1"/>
    <x v="2566"/>
    <x v="0"/>
    <x v="4"/>
  </r>
  <r>
    <x v="2606"/>
    <x v="52"/>
    <x v="0"/>
    <x v="0"/>
    <x v="6"/>
    <x v="0"/>
    <x v="3"/>
    <x v="2567"/>
    <x v="1"/>
    <x v="4"/>
  </r>
  <r>
    <x v="2607"/>
    <x v="62"/>
    <x v="0"/>
    <x v="8"/>
    <x v="7"/>
    <x v="0"/>
    <x v="14"/>
    <x v="2568"/>
    <x v="1"/>
    <x v="0"/>
  </r>
  <r>
    <x v="2608"/>
    <x v="74"/>
    <x v="1"/>
    <x v="3"/>
    <x v="4"/>
    <x v="2"/>
    <x v="13"/>
    <x v="2569"/>
    <x v="0"/>
    <x v="4"/>
  </r>
  <r>
    <x v="2609"/>
    <x v="77"/>
    <x v="1"/>
    <x v="0"/>
    <x v="1"/>
    <x v="0"/>
    <x v="4"/>
    <x v="2570"/>
    <x v="0"/>
    <x v="2"/>
  </r>
  <r>
    <x v="2610"/>
    <x v="48"/>
    <x v="1"/>
    <x v="8"/>
    <x v="6"/>
    <x v="2"/>
    <x v="12"/>
    <x v="2571"/>
    <x v="1"/>
    <x v="0"/>
  </r>
  <r>
    <x v="2611"/>
    <x v="15"/>
    <x v="1"/>
    <x v="2"/>
    <x v="6"/>
    <x v="0"/>
    <x v="2"/>
    <x v="2572"/>
    <x v="0"/>
    <x v="1"/>
  </r>
  <r>
    <x v="2612"/>
    <x v="54"/>
    <x v="1"/>
    <x v="0"/>
    <x v="5"/>
    <x v="1"/>
    <x v="9"/>
    <x v="2573"/>
    <x v="0"/>
    <x v="4"/>
  </r>
  <r>
    <x v="2613"/>
    <x v="10"/>
    <x v="1"/>
    <x v="7"/>
    <x v="3"/>
    <x v="1"/>
    <x v="11"/>
    <x v="2574"/>
    <x v="1"/>
    <x v="0"/>
  </r>
  <r>
    <x v="2614"/>
    <x v="0"/>
    <x v="0"/>
    <x v="8"/>
    <x v="3"/>
    <x v="2"/>
    <x v="14"/>
    <x v="2575"/>
    <x v="1"/>
    <x v="2"/>
  </r>
  <r>
    <x v="2615"/>
    <x v="4"/>
    <x v="0"/>
    <x v="5"/>
    <x v="4"/>
    <x v="1"/>
    <x v="11"/>
    <x v="2576"/>
    <x v="1"/>
    <x v="0"/>
  </r>
  <r>
    <x v="2616"/>
    <x v="31"/>
    <x v="0"/>
    <x v="7"/>
    <x v="9"/>
    <x v="0"/>
    <x v="7"/>
    <x v="2577"/>
    <x v="1"/>
    <x v="2"/>
  </r>
  <r>
    <x v="2617"/>
    <x v="3"/>
    <x v="0"/>
    <x v="9"/>
    <x v="0"/>
    <x v="0"/>
    <x v="13"/>
    <x v="2578"/>
    <x v="0"/>
    <x v="1"/>
  </r>
  <r>
    <x v="2618"/>
    <x v="12"/>
    <x v="1"/>
    <x v="0"/>
    <x v="5"/>
    <x v="1"/>
    <x v="8"/>
    <x v="2579"/>
    <x v="1"/>
    <x v="2"/>
  </r>
  <r>
    <x v="2619"/>
    <x v="29"/>
    <x v="0"/>
    <x v="2"/>
    <x v="2"/>
    <x v="1"/>
    <x v="12"/>
    <x v="2580"/>
    <x v="0"/>
    <x v="0"/>
  </r>
  <r>
    <x v="2620"/>
    <x v="11"/>
    <x v="0"/>
    <x v="3"/>
    <x v="9"/>
    <x v="0"/>
    <x v="14"/>
    <x v="2581"/>
    <x v="0"/>
    <x v="4"/>
  </r>
  <r>
    <x v="2621"/>
    <x v="28"/>
    <x v="1"/>
    <x v="9"/>
    <x v="2"/>
    <x v="2"/>
    <x v="7"/>
    <x v="2582"/>
    <x v="1"/>
    <x v="2"/>
  </r>
  <r>
    <x v="2622"/>
    <x v="26"/>
    <x v="0"/>
    <x v="4"/>
    <x v="2"/>
    <x v="2"/>
    <x v="2"/>
    <x v="2583"/>
    <x v="0"/>
    <x v="3"/>
  </r>
  <r>
    <x v="2623"/>
    <x v="46"/>
    <x v="1"/>
    <x v="5"/>
    <x v="3"/>
    <x v="2"/>
    <x v="0"/>
    <x v="2584"/>
    <x v="1"/>
    <x v="3"/>
  </r>
  <r>
    <x v="2624"/>
    <x v="63"/>
    <x v="0"/>
    <x v="8"/>
    <x v="6"/>
    <x v="1"/>
    <x v="5"/>
    <x v="2585"/>
    <x v="0"/>
    <x v="2"/>
  </r>
  <r>
    <x v="2625"/>
    <x v="56"/>
    <x v="1"/>
    <x v="2"/>
    <x v="9"/>
    <x v="1"/>
    <x v="10"/>
    <x v="283"/>
    <x v="0"/>
    <x v="1"/>
  </r>
  <r>
    <x v="2626"/>
    <x v="48"/>
    <x v="0"/>
    <x v="3"/>
    <x v="9"/>
    <x v="0"/>
    <x v="7"/>
    <x v="2586"/>
    <x v="1"/>
    <x v="2"/>
  </r>
  <r>
    <x v="2627"/>
    <x v="53"/>
    <x v="0"/>
    <x v="4"/>
    <x v="7"/>
    <x v="1"/>
    <x v="5"/>
    <x v="2587"/>
    <x v="0"/>
    <x v="4"/>
  </r>
  <r>
    <x v="2628"/>
    <x v="80"/>
    <x v="1"/>
    <x v="4"/>
    <x v="4"/>
    <x v="2"/>
    <x v="6"/>
    <x v="2588"/>
    <x v="0"/>
    <x v="4"/>
  </r>
  <r>
    <x v="2629"/>
    <x v="56"/>
    <x v="0"/>
    <x v="7"/>
    <x v="9"/>
    <x v="1"/>
    <x v="7"/>
    <x v="2589"/>
    <x v="0"/>
    <x v="3"/>
  </r>
  <r>
    <x v="2630"/>
    <x v="55"/>
    <x v="0"/>
    <x v="5"/>
    <x v="5"/>
    <x v="1"/>
    <x v="13"/>
    <x v="2590"/>
    <x v="0"/>
    <x v="0"/>
  </r>
  <r>
    <x v="2631"/>
    <x v="13"/>
    <x v="0"/>
    <x v="4"/>
    <x v="0"/>
    <x v="2"/>
    <x v="10"/>
    <x v="2591"/>
    <x v="1"/>
    <x v="0"/>
  </r>
  <r>
    <x v="2632"/>
    <x v="38"/>
    <x v="1"/>
    <x v="4"/>
    <x v="6"/>
    <x v="2"/>
    <x v="13"/>
    <x v="1459"/>
    <x v="0"/>
    <x v="3"/>
  </r>
  <r>
    <x v="2633"/>
    <x v="66"/>
    <x v="1"/>
    <x v="4"/>
    <x v="7"/>
    <x v="2"/>
    <x v="8"/>
    <x v="2592"/>
    <x v="1"/>
    <x v="0"/>
  </r>
  <r>
    <x v="2634"/>
    <x v="56"/>
    <x v="0"/>
    <x v="6"/>
    <x v="5"/>
    <x v="0"/>
    <x v="0"/>
    <x v="2593"/>
    <x v="0"/>
    <x v="3"/>
  </r>
  <r>
    <x v="2635"/>
    <x v="70"/>
    <x v="1"/>
    <x v="8"/>
    <x v="7"/>
    <x v="2"/>
    <x v="4"/>
    <x v="2594"/>
    <x v="0"/>
    <x v="0"/>
  </r>
  <r>
    <x v="2636"/>
    <x v="3"/>
    <x v="1"/>
    <x v="7"/>
    <x v="2"/>
    <x v="1"/>
    <x v="11"/>
    <x v="2595"/>
    <x v="1"/>
    <x v="0"/>
  </r>
  <r>
    <x v="2637"/>
    <x v="69"/>
    <x v="0"/>
    <x v="1"/>
    <x v="7"/>
    <x v="1"/>
    <x v="1"/>
    <x v="2596"/>
    <x v="0"/>
    <x v="3"/>
  </r>
  <r>
    <x v="2638"/>
    <x v="55"/>
    <x v="1"/>
    <x v="9"/>
    <x v="1"/>
    <x v="1"/>
    <x v="5"/>
    <x v="2597"/>
    <x v="0"/>
    <x v="0"/>
  </r>
  <r>
    <x v="2639"/>
    <x v="50"/>
    <x v="1"/>
    <x v="4"/>
    <x v="7"/>
    <x v="0"/>
    <x v="12"/>
    <x v="2598"/>
    <x v="1"/>
    <x v="1"/>
  </r>
  <r>
    <x v="2640"/>
    <x v="12"/>
    <x v="0"/>
    <x v="5"/>
    <x v="4"/>
    <x v="0"/>
    <x v="5"/>
    <x v="2599"/>
    <x v="0"/>
    <x v="3"/>
  </r>
  <r>
    <x v="2641"/>
    <x v="2"/>
    <x v="0"/>
    <x v="9"/>
    <x v="6"/>
    <x v="2"/>
    <x v="8"/>
    <x v="2600"/>
    <x v="0"/>
    <x v="4"/>
  </r>
  <r>
    <x v="2642"/>
    <x v="57"/>
    <x v="1"/>
    <x v="0"/>
    <x v="0"/>
    <x v="0"/>
    <x v="4"/>
    <x v="2601"/>
    <x v="0"/>
    <x v="4"/>
  </r>
  <r>
    <x v="2643"/>
    <x v="63"/>
    <x v="1"/>
    <x v="1"/>
    <x v="8"/>
    <x v="2"/>
    <x v="4"/>
    <x v="2602"/>
    <x v="1"/>
    <x v="4"/>
  </r>
  <r>
    <x v="2644"/>
    <x v="45"/>
    <x v="0"/>
    <x v="3"/>
    <x v="2"/>
    <x v="1"/>
    <x v="7"/>
    <x v="2603"/>
    <x v="0"/>
    <x v="3"/>
  </r>
  <r>
    <x v="2645"/>
    <x v="18"/>
    <x v="1"/>
    <x v="9"/>
    <x v="2"/>
    <x v="2"/>
    <x v="14"/>
    <x v="2604"/>
    <x v="0"/>
    <x v="0"/>
  </r>
  <r>
    <x v="2646"/>
    <x v="56"/>
    <x v="1"/>
    <x v="4"/>
    <x v="2"/>
    <x v="0"/>
    <x v="10"/>
    <x v="2605"/>
    <x v="1"/>
    <x v="3"/>
  </r>
  <r>
    <x v="2647"/>
    <x v="13"/>
    <x v="0"/>
    <x v="9"/>
    <x v="8"/>
    <x v="1"/>
    <x v="4"/>
    <x v="2606"/>
    <x v="0"/>
    <x v="2"/>
  </r>
  <r>
    <x v="2648"/>
    <x v="21"/>
    <x v="1"/>
    <x v="4"/>
    <x v="6"/>
    <x v="2"/>
    <x v="4"/>
    <x v="2607"/>
    <x v="0"/>
    <x v="3"/>
  </r>
  <r>
    <x v="2649"/>
    <x v="56"/>
    <x v="1"/>
    <x v="2"/>
    <x v="2"/>
    <x v="0"/>
    <x v="1"/>
    <x v="2608"/>
    <x v="0"/>
    <x v="0"/>
  </r>
  <r>
    <x v="2650"/>
    <x v="89"/>
    <x v="0"/>
    <x v="9"/>
    <x v="7"/>
    <x v="0"/>
    <x v="13"/>
    <x v="2609"/>
    <x v="0"/>
    <x v="2"/>
  </r>
  <r>
    <x v="2651"/>
    <x v="61"/>
    <x v="1"/>
    <x v="5"/>
    <x v="6"/>
    <x v="0"/>
    <x v="2"/>
    <x v="2610"/>
    <x v="1"/>
    <x v="4"/>
  </r>
  <r>
    <x v="2652"/>
    <x v="15"/>
    <x v="1"/>
    <x v="1"/>
    <x v="4"/>
    <x v="0"/>
    <x v="9"/>
    <x v="2611"/>
    <x v="1"/>
    <x v="1"/>
  </r>
  <r>
    <x v="2653"/>
    <x v="27"/>
    <x v="0"/>
    <x v="6"/>
    <x v="1"/>
    <x v="1"/>
    <x v="3"/>
    <x v="2612"/>
    <x v="0"/>
    <x v="0"/>
  </r>
  <r>
    <x v="2654"/>
    <x v="27"/>
    <x v="0"/>
    <x v="6"/>
    <x v="1"/>
    <x v="1"/>
    <x v="12"/>
    <x v="2613"/>
    <x v="0"/>
    <x v="1"/>
  </r>
  <r>
    <x v="2655"/>
    <x v="49"/>
    <x v="0"/>
    <x v="9"/>
    <x v="9"/>
    <x v="1"/>
    <x v="11"/>
    <x v="2614"/>
    <x v="1"/>
    <x v="0"/>
  </r>
  <r>
    <x v="2656"/>
    <x v="32"/>
    <x v="0"/>
    <x v="7"/>
    <x v="2"/>
    <x v="0"/>
    <x v="7"/>
    <x v="2615"/>
    <x v="1"/>
    <x v="1"/>
  </r>
  <r>
    <x v="2657"/>
    <x v="54"/>
    <x v="1"/>
    <x v="0"/>
    <x v="7"/>
    <x v="2"/>
    <x v="5"/>
    <x v="2616"/>
    <x v="1"/>
    <x v="4"/>
  </r>
  <r>
    <x v="2658"/>
    <x v="73"/>
    <x v="1"/>
    <x v="7"/>
    <x v="5"/>
    <x v="1"/>
    <x v="3"/>
    <x v="2617"/>
    <x v="0"/>
    <x v="1"/>
  </r>
  <r>
    <x v="2659"/>
    <x v="35"/>
    <x v="0"/>
    <x v="5"/>
    <x v="1"/>
    <x v="2"/>
    <x v="13"/>
    <x v="2618"/>
    <x v="0"/>
    <x v="1"/>
  </r>
  <r>
    <x v="2660"/>
    <x v="78"/>
    <x v="0"/>
    <x v="2"/>
    <x v="9"/>
    <x v="0"/>
    <x v="3"/>
    <x v="2619"/>
    <x v="0"/>
    <x v="3"/>
  </r>
  <r>
    <x v="2661"/>
    <x v="15"/>
    <x v="0"/>
    <x v="1"/>
    <x v="9"/>
    <x v="1"/>
    <x v="12"/>
    <x v="2620"/>
    <x v="0"/>
    <x v="3"/>
  </r>
  <r>
    <x v="2662"/>
    <x v="26"/>
    <x v="1"/>
    <x v="1"/>
    <x v="4"/>
    <x v="1"/>
    <x v="13"/>
    <x v="2621"/>
    <x v="0"/>
    <x v="3"/>
  </r>
  <r>
    <x v="2663"/>
    <x v="29"/>
    <x v="1"/>
    <x v="6"/>
    <x v="2"/>
    <x v="0"/>
    <x v="1"/>
    <x v="2622"/>
    <x v="1"/>
    <x v="0"/>
  </r>
  <r>
    <x v="2664"/>
    <x v="46"/>
    <x v="1"/>
    <x v="2"/>
    <x v="7"/>
    <x v="2"/>
    <x v="7"/>
    <x v="2623"/>
    <x v="0"/>
    <x v="2"/>
  </r>
  <r>
    <x v="2665"/>
    <x v="17"/>
    <x v="1"/>
    <x v="8"/>
    <x v="1"/>
    <x v="1"/>
    <x v="0"/>
    <x v="2624"/>
    <x v="1"/>
    <x v="4"/>
  </r>
  <r>
    <x v="2666"/>
    <x v="69"/>
    <x v="1"/>
    <x v="8"/>
    <x v="9"/>
    <x v="1"/>
    <x v="0"/>
    <x v="2625"/>
    <x v="1"/>
    <x v="0"/>
  </r>
  <r>
    <x v="2667"/>
    <x v="78"/>
    <x v="0"/>
    <x v="8"/>
    <x v="8"/>
    <x v="1"/>
    <x v="1"/>
    <x v="2626"/>
    <x v="0"/>
    <x v="4"/>
  </r>
  <r>
    <x v="2668"/>
    <x v="55"/>
    <x v="1"/>
    <x v="9"/>
    <x v="9"/>
    <x v="1"/>
    <x v="2"/>
    <x v="2627"/>
    <x v="0"/>
    <x v="3"/>
  </r>
  <r>
    <x v="2669"/>
    <x v="57"/>
    <x v="0"/>
    <x v="8"/>
    <x v="4"/>
    <x v="2"/>
    <x v="2"/>
    <x v="2628"/>
    <x v="1"/>
    <x v="3"/>
  </r>
  <r>
    <x v="2670"/>
    <x v="12"/>
    <x v="1"/>
    <x v="7"/>
    <x v="9"/>
    <x v="0"/>
    <x v="4"/>
    <x v="2629"/>
    <x v="1"/>
    <x v="3"/>
  </r>
  <r>
    <x v="2671"/>
    <x v="30"/>
    <x v="1"/>
    <x v="1"/>
    <x v="5"/>
    <x v="0"/>
    <x v="12"/>
    <x v="2630"/>
    <x v="0"/>
    <x v="3"/>
  </r>
  <r>
    <x v="2672"/>
    <x v="37"/>
    <x v="0"/>
    <x v="1"/>
    <x v="4"/>
    <x v="0"/>
    <x v="8"/>
    <x v="2631"/>
    <x v="1"/>
    <x v="1"/>
  </r>
  <r>
    <x v="2673"/>
    <x v="47"/>
    <x v="0"/>
    <x v="5"/>
    <x v="1"/>
    <x v="0"/>
    <x v="6"/>
    <x v="2632"/>
    <x v="1"/>
    <x v="4"/>
  </r>
  <r>
    <x v="2674"/>
    <x v="30"/>
    <x v="0"/>
    <x v="8"/>
    <x v="2"/>
    <x v="2"/>
    <x v="7"/>
    <x v="2633"/>
    <x v="1"/>
    <x v="1"/>
  </r>
  <r>
    <x v="2675"/>
    <x v="76"/>
    <x v="0"/>
    <x v="1"/>
    <x v="7"/>
    <x v="0"/>
    <x v="12"/>
    <x v="2634"/>
    <x v="0"/>
    <x v="0"/>
  </r>
  <r>
    <x v="2676"/>
    <x v="86"/>
    <x v="1"/>
    <x v="0"/>
    <x v="7"/>
    <x v="1"/>
    <x v="8"/>
    <x v="2635"/>
    <x v="0"/>
    <x v="3"/>
  </r>
  <r>
    <x v="2677"/>
    <x v="17"/>
    <x v="1"/>
    <x v="2"/>
    <x v="3"/>
    <x v="1"/>
    <x v="8"/>
    <x v="2636"/>
    <x v="0"/>
    <x v="1"/>
  </r>
  <r>
    <x v="2678"/>
    <x v="25"/>
    <x v="0"/>
    <x v="0"/>
    <x v="2"/>
    <x v="2"/>
    <x v="0"/>
    <x v="2637"/>
    <x v="0"/>
    <x v="3"/>
  </r>
  <r>
    <x v="2679"/>
    <x v="79"/>
    <x v="0"/>
    <x v="3"/>
    <x v="0"/>
    <x v="1"/>
    <x v="14"/>
    <x v="2638"/>
    <x v="0"/>
    <x v="4"/>
  </r>
  <r>
    <x v="2680"/>
    <x v="71"/>
    <x v="0"/>
    <x v="6"/>
    <x v="1"/>
    <x v="2"/>
    <x v="7"/>
    <x v="2639"/>
    <x v="0"/>
    <x v="2"/>
  </r>
  <r>
    <x v="2681"/>
    <x v="53"/>
    <x v="1"/>
    <x v="8"/>
    <x v="2"/>
    <x v="2"/>
    <x v="4"/>
    <x v="2640"/>
    <x v="0"/>
    <x v="4"/>
  </r>
  <r>
    <x v="2682"/>
    <x v="79"/>
    <x v="0"/>
    <x v="0"/>
    <x v="1"/>
    <x v="2"/>
    <x v="6"/>
    <x v="2641"/>
    <x v="0"/>
    <x v="0"/>
  </r>
  <r>
    <x v="2683"/>
    <x v="24"/>
    <x v="1"/>
    <x v="1"/>
    <x v="2"/>
    <x v="1"/>
    <x v="4"/>
    <x v="2642"/>
    <x v="1"/>
    <x v="4"/>
  </r>
  <r>
    <x v="2684"/>
    <x v="7"/>
    <x v="0"/>
    <x v="0"/>
    <x v="8"/>
    <x v="2"/>
    <x v="11"/>
    <x v="2643"/>
    <x v="0"/>
    <x v="4"/>
  </r>
  <r>
    <x v="2685"/>
    <x v="70"/>
    <x v="0"/>
    <x v="3"/>
    <x v="0"/>
    <x v="0"/>
    <x v="10"/>
    <x v="2644"/>
    <x v="0"/>
    <x v="4"/>
  </r>
  <r>
    <x v="2686"/>
    <x v="4"/>
    <x v="1"/>
    <x v="6"/>
    <x v="5"/>
    <x v="2"/>
    <x v="2"/>
    <x v="2645"/>
    <x v="1"/>
    <x v="4"/>
  </r>
  <r>
    <x v="2687"/>
    <x v="64"/>
    <x v="0"/>
    <x v="2"/>
    <x v="7"/>
    <x v="1"/>
    <x v="9"/>
    <x v="2646"/>
    <x v="0"/>
    <x v="3"/>
  </r>
  <r>
    <x v="2688"/>
    <x v="46"/>
    <x v="0"/>
    <x v="7"/>
    <x v="0"/>
    <x v="2"/>
    <x v="10"/>
    <x v="2647"/>
    <x v="0"/>
    <x v="3"/>
  </r>
  <r>
    <x v="2689"/>
    <x v="66"/>
    <x v="1"/>
    <x v="6"/>
    <x v="8"/>
    <x v="1"/>
    <x v="13"/>
    <x v="2648"/>
    <x v="1"/>
    <x v="2"/>
  </r>
  <r>
    <x v="2690"/>
    <x v="51"/>
    <x v="0"/>
    <x v="0"/>
    <x v="8"/>
    <x v="0"/>
    <x v="10"/>
    <x v="2649"/>
    <x v="1"/>
    <x v="2"/>
  </r>
  <r>
    <x v="2691"/>
    <x v="38"/>
    <x v="1"/>
    <x v="7"/>
    <x v="7"/>
    <x v="2"/>
    <x v="2"/>
    <x v="2650"/>
    <x v="0"/>
    <x v="0"/>
  </r>
  <r>
    <x v="2692"/>
    <x v="72"/>
    <x v="1"/>
    <x v="6"/>
    <x v="3"/>
    <x v="2"/>
    <x v="3"/>
    <x v="2651"/>
    <x v="1"/>
    <x v="0"/>
  </r>
  <r>
    <x v="2693"/>
    <x v="5"/>
    <x v="1"/>
    <x v="5"/>
    <x v="5"/>
    <x v="0"/>
    <x v="10"/>
    <x v="2652"/>
    <x v="0"/>
    <x v="3"/>
  </r>
  <r>
    <x v="2694"/>
    <x v="68"/>
    <x v="0"/>
    <x v="3"/>
    <x v="2"/>
    <x v="0"/>
    <x v="3"/>
    <x v="2653"/>
    <x v="1"/>
    <x v="3"/>
  </r>
  <r>
    <x v="2695"/>
    <x v="13"/>
    <x v="0"/>
    <x v="8"/>
    <x v="6"/>
    <x v="0"/>
    <x v="6"/>
    <x v="2654"/>
    <x v="0"/>
    <x v="4"/>
  </r>
  <r>
    <x v="2696"/>
    <x v="4"/>
    <x v="0"/>
    <x v="8"/>
    <x v="4"/>
    <x v="0"/>
    <x v="13"/>
    <x v="2655"/>
    <x v="1"/>
    <x v="4"/>
  </r>
  <r>
    <x v="2697"/>
    <x v="19"/>
    <x v="0"/>
    <x v="2"/>
    <x v="5"/>
    <x v="1"/>
    <x v="5"/>
    <x v="2656"/>
    <x v="0"/>
    <x v="1"/>
  </r>
  <r>
    <x v="2698"/>
    <x v="54"/>
    <x v="0"/>
    <x v="7"/>
    <x v="1"/>
    <x v="2"/>
    <x v="1"/>
    <x v="2657"/>
    <x v="1"/>
    <x v="3"/>
  </r>
  <r>
    <x v="2699"/>
    <x v="75"/>
    <x v="0"/>
    <x v="5"/>
    <x v="4"/>
    <x v="1"/>
    <x v="0"/>
    <x v="2658"/>
    <x v="1"/>
    <x v="3"/>
  </r>
  <r>
    <x v="2700"/>
    <x v="53"/>
    <x v="0"/>
    <x v="3"/>
    <x v="5"/>
    <x v="1"/>
    <x v="3"/>
    <x v="2659"/>
    <x v="1"/>
    <x v="2"/>
  </r>
  <r>
    <x v="2701"/>
    <x v="18"/>
    <x v="0"/>
    <x v="9"/>
    <x v="1"/>
    <x v="0"/>
    <x v="3"/>
    <x v="2660"/>
    <x v="1"/>
    <x v="1"/>
  </r>
  <r>
    <x v="2702"/>
    <x v="40"/>
    <x v="1"/>
    <x v="6"/>
    <x v="3"/>
    <x v="2"/>
    <x v="9"/>
    <x v="2661"/>
    <x v="1"/>
    <x v="0"/>
  </r>
  <r>
    <x v="2703"/>
    <x v="77"/>
    <x v="0"/>
    <x v="5"/>
    <x v="4"/>
    <x v="2"/>
    <x v="10"/>
    <x v="2662"/>
    <x v="0"/>
    <x v="4"/>
  </r>
  <r>
    <x v="2704"/>
    <x v="85"/>
    <x v="1"/>
    <x v="4"/>
    <x v="9"/>
    <x v="0"/>
    <x v="10"/>
    <x v="2663"/>
    <x v="0"/>
    <x v="2"/>
  </r>
  <r>
    <x v="2705"/>
    <x v="84"/>
    <x v="0"/>
    <x v="8"/>
    <x v="0"/>
    <x v="0"/>
    <x v="9"/>
    <x v="2664"/>
    <x v="1"/>
    <x v="4"/>
  </r>
  <r>
    <x v="2706"/>
    <x v="88"/>
    <x v="1"/>
    <x v="8"/>
    <x v="6"/>
    <x v="2"/>
    <x v="5"/>
    <x v="2665"/>
    <x v="1"/>
    <x v="3"/>
  </r>
  <r>
    <x v="2707"/>
    <x v="70"/>
    <x v="1"/>
    <x v="9"/>
    <x v="1"/>
    <x v="2"/>
    <x v="7"/>
    <x v="2666"/>
    <x v="0"/>
    <x v="0"/>
  </r>
  <r>
    <x v="2708"/>
    <x v="79"/>
    <x v="0"/>
    <x v="7"/>
    <x v="5"/>
    <x v="2"/>
    <x v="7"/>
    <x v="2667"/>
    <x v="1"/>
    <x v="4"/>
  </r>
  <r>
    <x v="2709"/>
    <x v="28"/>
    <x v="0"/>
    <x v="1"/>
    <x v="5"/>
    <x v="2"/>
    <x v="12"/>
    <x v="2668"/>
    <x v="0"/>
    <x v="2"/>
  </r>
  <r>
    <x v="2710"/>
    <x v="52"/>
    <x v="1"/>
    <x v="9"/>
    <x v="2"/>
    <x v="0"/>
    <x v="9"/>
    <x v="2669"/>
    <x v="1"/>
    <x v="3"/>
  </r>
  <r>
    <x v="2711"/>
    <x v="9"/>
    <x v="1"/>
    <x v="8"/>
    <x v="9"/>
    <x v="1"/>
    <x v="13"/>
    <x v="2670"/>
    <x v="1"/>
    <x v="4"/>
  </r>
  <r>
    <x v="2712"/>
    <x v="48"/>
    <x v="0"/>
    <x v="1"/>
    <x v="9"/>
    <x v="0"/>
    <x v="11"/>
    <x v="2671"/>
    <x v="0"/>
    <x v="2"/>
  </r>
  <r>
    <x v="2713"/>
    <x v="66"/>
    <x v="1"/>
    <x v="8"/>
    <x v="0"/>
    <x v="2"/>
    <x v="3"/>
    <x v="2672"/>
    <x v="1"/>
    <x v="3"/>
  </r>
  <r>
    <x v="2714"/>
    <x v="10"/>
    <x v="1"/>
    <x v="1"/>
    <x v="5"/>
    <x v="0"/>
    <x v="14"/>
    <x v="2673"/>
    <x v="1"/>
    <x v="4"/>
  </r>
  <r>
    <x v="2715"/>
    <x v="27"/>
    <x v="0"/>
    <x v="5"/>
    <x v="1"/>
    <x v="0"/>
    <x v="1"/>
    <x v="2674"/>
    <x v="1"/>
    <x v="2"/>
  </r>
  <r>
    <x v="2716"/>
    <x v="32"/>
    <x v="0"/>
    <x v="1"/>
    <x v="0"/>
    <x v="0"/>
    <x v="6"/>
    <x v="2675"/>
    <x v="1"/>
    <x v="2"/>
  </r>
  <r>
    <x v="2717"/>
    <x v="21"/>
    <x v="1"/>
    <x v="4"/>
    <x v="6"/>
    <x v="0"/>
    <x v="3"/>
    <x v="2676"/>
    <x v="1"/>
    <x v="2"/>
  </r>
  <r>
    <x v="2718"/>
    <x v="22"/>
    <x v="1"/>
    <x v="1"/>
    <x v="7"/>
    <x v="1"/>
    <x v="4"/>
    <x v="2677"/>
    <x v="0"/>
    <x v="1"/>
  </r>
  <r>
    <x v="2719"/>
    <x v="0"/>
    <x v="1"/>
    <x v="8"/>
    <x v="6"/>
    <x v="2"/>
    <x v="12"/>
    <x v="2678"/>
    <x v="1"/>
    <x v="3"/>
  </r>
  <r>
    <x v="2720"/>
    <x v="78"/>
    <x v="1"/>
    <x v="4"/>
    <x v="5"/>
    <x v="1"/>
    <x v="14"/>
    <x v="2679"/>
    <x v="0"/>
    <x v="2"/>
  </r>
  <r>
    <x v="2721"/>
    <x v="33"/>
    <x v="1"/>
    <x v="6"/>
    <x v="6"/>
    <x v="1"/>
    <x v="4"/>
    <x v="2680"/>
    <x v="1"/>
    <x v="1"/>
  </r>
  <r>
    <x v="2722"/>
    <x v="34"/>
    <x v="1"/>
    <x v="7"/>
    <x v="2"/>
    <x v="0"/>
    <x v="11"/>
    <x v="2681"/>
    <x v="1"/>
    <x v="3"/>
  </r>
  <r>
    <x v="2723"/>
    <x v="11"/>
    <x v="1"/>
    <x v="2"/>
    <x v="8"/>
    <x v="1"/>
    <x v="13"/>
    <x v="2682"/>
    <x v="0"/>
    <x v="1"/>
  </r>
  <r>
    <x v="2724"/>
    <x v="50"/>
    <x v="1"/>
    <x v="1"/>
    <x v="4"/>
    <x v="2"/>
    <x v="6"/>
    <x v="2683"/>
    <x v="0"/>
    <x v="0"/>
  </r>
  <r>
    <x v="2725"/>
    <x v="83"/>
    <x v="1"/>
    <x v="0"/>
    <x v="8"/>
    <x v="2"/>
    <x v="6"/>
    <x v="2684"/>
    <x v="1"/>
    <x v="0"/>
  </r>
  <r>
    <x v="2726"/>
    <x v="64"/>
    <x v="0"/>
    <x v="8"/>
    <x v="0"/>
    <x v="1"/>
    <x v="9"/>
    <x v="2685"/>
    <x v="1"/>
    <x v="0"/>
  </r>
  <r>
    <x v="2727"/>
    <x v="6"/>
    <x v="0"/>
    <x v="1"/>
    <x v="9"/>
    <x v="1"/>
    <x v="2"/>
    <x v="2686"/>
    <x v="1"/>
    <x v="4"/>
  </r>
  <r>
    <x v="2728"/>
    <x v="66"/>
    <x v="1"/>
    <x v="6"/>
    <x v="5"/>
    <x v="0"/>
    <x v="1"/>
    <x v="2687"/>
    <x v="1"/>
    <x v="3"/>
  </r>
  <r>
    <x v="2729"/>
    <x v="29"/>
    <x v="1"/>
    <x v="9"/>
    <x v="4"/>
    <x v="0"/>
    <x v="1"/>
    <x v="2688"/>
    <x v="0"/>
    <x v="4"/>
  </r>
  <r>
    <x v="2730"/>
    <x v="31"/>
    <x v="1"/>
    <x v="8"/>
    <x v="7"/>
    <x v="0"/>
    <x v="2"/>
    <x v="2689"/>
    <x v="1"/>
    <x v="2"/>
  </r>
  <r>
    <x v="2731"/>
    <x v="65"/>
    <x v="0"/>
    <x v="4"/>
    <x v="8"/>
    <x v="0"/>
    <x v="1"/>
    <x v="2690"/>
    <x v="1"/>
    <x v="4"/>
  </r>
  <r>
    <x v="2732"/>
    <x v="87"/>
    <x v="1"/>
    <x v="9"/>
    <x v="1"/>
    <x v="1"/>
    <x v="9"/>
    <x v="2691"/>
    <x v="0"/>
    <x v="3"/>
  </r>
  <r>
    <x v="2733"/>
    <x v="48"/>
    <x v="1"/>
    <x v="9"/>
    <x v="4"/>
    <x v="2"/>
    <x v="6"/>
    <x v="2692"/>
    <x v="0"/>
    <x v="0"/>
  </r>
  <r>
    <x v="2734"/>
    <x v="82"/>
    <x v="1"/>
    <x v="6"/>
    <x v="7"/>
    <x v="2"/>
    <x v="9"/>
    <x v="2693"/>
    <x v="0"/>
    <x v="2"/>
  </r>
  <r>
    <x v="2735"/>
    <x v="48"/>
    <x v="0"/>
    <x v="1"/>
    <x v="7"/>
    <x v="2"/>
    <x v="11"/>
    <x v="2694"/>
    <x v="1"/>
    <x v="2"/>
  </r>
  <r>
    <x v="2736"/>
    <x v="10"/>
    <x v="1"/>
    <x v="5"/>
    <x v="7"/>
    <x v="0"/>
    <x v="12"/>
    <x v="2695"/>
    <x v="0"/>
    <x v="2"/>
  </r>
  <r>
    <x v="2737"/>
    <x v="3"/>
    <x v="0"/>
    <x v="3"/>
    <x v="1"/>
    <x v="2"/>
    <x v="12"/>
    <x v="2696"/>
    <x v="1"/>
    <x v="2"/>
  </r>
  <r>
    <x v="2738"/>
    <x v="3"/>
    <x v="0"/>
    <x v="5"/>
    <x v="0"/>
    <x v="2"/>
    <x v="3"/>
    <x v="2697"/>
    <x v="1"/>
    <x v="0"/>
  </r>
  <r>
    <x v="2739"/>
    <x v="75"/>
    <x v="0"/>
    <x v="4"/>
    <x v="6"/>
    <x v="1"/>
    <x v="6"/>
    <x v="2698"/>
    <x v="1"/>
    <x v="0"/>
  </r>
  <r>
    <x v="2740"/>
    <x v="54"/>
    <x v="1"/>
    <x v="7"/>
    <x v="5"/>
    <x v="1"/>
    <x v="13"/>
    <x v="2699"/>
    <x v="1"/>
    <x v="3"/>
  </r>
  <r>
    <x v="2741"/>
    <x v="38"/>
    <x v="1"/>
    <x v="3"/>
    <x v="4"/>
    <x v="1"/>
    <x v="13"/>
    <x v="2700"/>
    <x v="1"/>
    <x v="2"/>
  </r>
  <r>
    <x v="2742"/>
    <x v="52"/>
    <x v="0"/>
    <x v="2"/>
    <x v="7"/>
    <x v="0"/>
    <x v="8"/>
    <x v="2701"/>
    <x v="0"/>
    <x v="4"/>
  </r>
  <r>
    <x v="2743"/>
    <x v="86"/>
    <x v="0"/>
    <x v="4"/>
    <x v="7"/>
    <x v="1"/>
    <x v="1"/>
    <x v="2702"/>
    <x v="1"/>
    <x v="0"/>
  </r>
  <r>
    <x v="2744"/>
    <x v="5"/>
    <x v="0"/>
    <x v="8"/>
    <x v="5"/>
    <x v="1"/>
    <x v="3"/>
    <x v="2703"/>
    <x v="0"/>
    <x v="1"/>
  </r>
  <r>
    <x v="2745"/>
    <x v="60"/>
    <x v="1"/>
    <x v="3"/>
    <x v="3"/>
    <x v="1"/>
    <x v="11"/>
    <x v="2704"/>
    <x v="0"/>
    <x v="2"/>
  </r>
  <r>
    <x v="2746"/>
    <x v="75"/>
    <x v="0"/>
    <x v="2"/>
    <x v="3"/>
    <x v="0"/>
    <x v="12"/>
    <x v="2705"/>
    <x v="1"/>
    <x v="0"/>
  </r>
  <r>
    <x v="2747"/>
    <x v="28"/>
    <x v="1"/>
    <x v="0"/>
    <x v="7"/>
    <x v="2"/>
    <x v="10"/>
    <x v="2706"/>
    <x v="0"/>
    <x v="2"/>
  </r>
  <r>
    <x v="2748"/>
    <x v="57"/>
    <x v="0"/>
    <x v="1"/>
    <x v="0"/>
    <x v="1"/>
    <x v="5"/>
    <x v="2707"/>
    <x v="1"/>
    <x v="4"/>
  </r>
  <r>
    <x v="2749"/>
    <x v="62"/>
    <x v="1"/>
    <x v="3"/>
    <x v="1"/>
    <x v="1"/>
    <x v="5"/>
    <x v="2708"/>
    <x v="0"/>
    <x v="1"/>
  </r>
  <r>
    <x v="2750"/>
    <x v="42"/>
    <x v="1"/>
    <x v="1"/>
    <x v="6"/>
    <x v="2"/>
    <x v="3"/>
    <x v="2709"/>
    <x v="0"/>
    <x v="2"/>
  </r>
  <r>
    <x v="2751"/>
    <x v="81"/>
    <x v="0"/>
    <x v="8"/>
    <x v="5"/>
    <x v="2"/>
    <x v="13"/>
    <x v="2710"/>
    <x v="1"/>
    <x v="4"/>
  </r>
  <r>
    <x v="2752"/>
    <x v="20"/>
    <x v="0"/>
    <x v="2"/>
    <x v="8"/>
    <x v="2"/>
    <x v="11"/>
    <x v="2711"/>
    <x v="0"/>
    <x v="2"/>
  </r>
  <r>
    <x v="2753"/>
    <x v="71"/>
    <x v="0"/>
    <x v="8"/>
    <x v="4"/>
    <x v="2"/>
    <x v="6"/>
    <x v="2712"/>
    <x v="1"/>
    <x v="0"/>
  </r>
  <r>
    <x v="2754"/>
    <x v="39"/>
    <x v="1"/>
    <x v="4"/>
    <x v="1"/>
    <x v="0"/>
    <x v="8"/>
    <x v="61"/>
    <x v="1"/>
    <x v="2"/>
  </r>
  <r>
    <x v="2755"/>
    <x v="82"/>
    <x v="0"/>
    <x v="7"/>
    <x v="4"/>
    <x v="2"/>
    <x v="12"/>
    <x v="2713"/>
    <x v="0"/>
    <x v="1"/>
  </r>
  <r>
    <x v="2756"/>
    <x v="21"/>
    <x v="0"/>
    <x v="3"/>
    <x v="5"/>
    <x v="2"/>
    <x v="12"/>
    <x v="2714"/>
    <x v="1"/>
    <x v="0"/>
  </r>
  <r>
    <x v="2757"/>
    <x v="47"/>
    <x v="1"/>
    <x v="2"/>
    <x v="9"/>
    <x v="0"/>
    <x v="3"/>
    <x v="2715"/>
    <x v="1"/>
    <x v="0"/>
  </r>
  <r>
    <x v="2758"/>
    <x v="43"/>
    <x v="0"/>
    <x v="4"/>
    <x v="8"/>
    <x v="1"/>
    <x v="6"/>
    <x v="2716"/>
    <x v="1"/>
    <x v="2"/>
  </r>
  <r>
    <x v="2759"/>
    <x v="88"/>
    <x v="1"/>
    <x v="0"/>
    <x v="1"/>
    <x v="1"/>
    <x v="0"/>
    <x v="2717"/>
    <x v="0"/>
    <x v="0"/>
  </r>
  <r>
    <x v="2760"/>
    <x v="81"/>
    <x v="1"/>
    <x v="1"/>
    <x v="3"/>
    <x v="2"/>
    <x v="1"/>
    <x v="2718"/>
    <x v="0"/>
    <x v="4"/>
  </r>
  <r>
    <x v="2761"/>
    <x v="75"/>
    <x v="1"/>
    <x v="5"/>
    <x v="2"/>
    <x v="2"/>
    <x v="11"/>
    <x v="2719"/>
    <x v="1"/>
    <x v="4"/>
  </r>
  <r>
    <x v="2762"/>
    <x v="79"/>
    <x v="0"/>
    <x v="4"/>
    <x v="0"/>
    <x v="0"/>
    <x v="5"/>
    <x v="2720"/>
    <x v="0"/>
    <x v="1"/>
  </r>
  <r>
    <x v="2763"/>
    <x v="76"/>
    <x v="0"/>
    <x v="0"/>
    <x v="2"/>
    <x v="2"/>
    <x v="10"/>
    <x v="2721"/>
    <x v="0"/>
    <x v="1"/>
  </r>
  <r>
    <x v="2764"/>
    <x v="16"/>
    <x v="0"/>
    <x v="8"/>
    <x v="9"/>
    <x v="0"/>
    <x v="2"/>
    <x v="2722"/>
    <x v="1"/>
    <x v="0"/>
  </r>
  <r>
    <x v="2765"/>
    <x v="56"/>
    <x v="0"/>
    <x v="2"/>
    <x v="8"/>
    <x v="1"/>
    <x v="6"/>
    <x v="2723"/>
    <x v="0"/>
    <x v="1"/>
  </r>
  <r>
    <x v="2766"/>
    <x v="35"/>
    <x v="0"/>
    <x v="7"/>
    <x v="8"/>
    <x v="1"/>
    <x v="10"/>
    <x v="2724"/>
    <x v="0"/>
    <x v="0"/>
  </r>
  <r>
    <x v="2767"/>
    <x v="71"/>
    <x v="1"/>
    <x v="4"/>
    <x v="7"/>
    <x v="2"/>
    <x v="9"/>
    <x v="2725"/>
    <x v="0"/>
    <x v="1"/>
  </r>
  <r>
    <x v="2768"/>
    <x v="65"/>
    <x v="0"/>
    <x v="0"/>
    <x v="3"/>
    <x v="0"/>
    <x v="13"/>
    <x v="2726"/>
    <x v="0"/>
    <x v="1"/>
  </r>
  <r>
    <x v="2769"/>
    <x v="85"/>
    <x v="0"/>
    <x v="2"/>
    <x v="1"/>
    <x v="1"/>
    <x v="10"/>
    <x v="2727"/>
    <x v="1"/>
    <x v="2"/>
  </r>
  <r>
    <x v="2770"/>
    <x v="21"/>
    <x v="1"/>
    <x v="2"/>
    <x v="1"/>
    <x v="1"/>
    <x v="14"/>
    <x v="2728"/>
    <x v="0"/>
    <x v="2"/>
  </r>
  <r>
    <x v="2771"/>
    <x v="29"/>
    <x v="0"/>
    <x v="5"/>
    <x v="4"/>
    <x v="2"/>
    <x v="11"/>
    <x v="2729"/>
    <x v="1"/>
    <x v="2"/>
  </r>
  <r>
    <x v="2772"/>
    <x v="82"/>
    <x v="1"/>
    <x v="6"/>
    <x v="7"/>
    <x v="2"/>
    <x v="14"/>
    <x v="2730"/>
    <x v="1"/>
    <x v="4"/>
  </r>
  <r>
    <x v="2773"/>
    <x v="85"/>
    <x v="0"/>
    <x v="3"/>
    <x v="6"/>
    <x v="1"/>
    <x v="11"/>
    <x v="2731"/>
    <x v="1"/>
    <x v="1"/>
  </r>
  <r>
    <x v="2774"/>
    <x v="32"/>
    <x v="1"/>
    <x v="7"/>
    <x v="9"/>
    <x v="0"/>
    <x v="4"/>
    <x v="2732"/>
    <x v="1"/>
    <x v="3"/>
  </r>
  <r>
    <x v="2775"/>
    <x v="48"/>
    <x v="0"/>
    <x v="5"/>
    <x v="5"/>
    <x v="0"/>
    <x v="0"/>
    <x v="2733"/>
    <x v="1"/>
    <x v="0"/>
  </r>
  <r>
    <x v="2776"/>
    <x v="84"/>
    <x v="0"/>
    <x v="8"/>
    <x v="4"/>
    <x v="0"/>
    <x v="8"/>
    <x v="2734"/>
    <x v="0"/>
    <x v="4"/>
  </r>
  <r>
    <x v="2777"/>
    <x v="26"/>
    <x v="0"/>
    <x v="2"/>
    <x v="7"/>
    <x v="0"/>
    <x v="1"/>
    <x v="2735"/>
    <x v="1"/>
    <x v="0"/>
  </r>
  <r>
    <x v="2778"/>
    <x v="76"/>
    <x v="0"/>
    <x v="2"/>
    <x v="9"/>
    <x v="1"/>
    <x v="2"/>
    <x v="2736"/>
    <x v="0"/>
    <x v="3"/>
  </r>
  <r>
    <x v="2779"/>
    <x v="23"/>
    <x v="0"/>
    <x v="5"/>
    <x v="2"/>
    <x v="1"/>
    <x v="2"/>
    <x v="2737"/>
    <x v="0"/>
    <x v="3"/>
  </r>
  <r>
    <x v="2780"/>
    <x v="87"/>
    <x v="1"/>
    <x v="6"/>
    <x v="3"/>
    <x v="2"/>
    <x v="1"/>
    <x v="2738"/>
    <x v="0"/>
    <x v="0"/>
  </r>
  <r>
    <x v="2781"/>
    <x v="88"/>
    <x v="1"/>
    <x v="6"/>
    <x v="2"/>
    <x v="0"/>
    <x v="10"/>
    <x v="2739"/>
    <x v="1"/>
    <x v="4"/>
  </r>
  <r>
    <x v="2782"/>
    <x v="36"/>
    <x v="1"/>
    <x v="9"/>
    <x v="4"/>
    <x v="1"/>
    <x v="1"/>
    <x v="2740"/>
    <x v="1"/>
    <x v="4"/>
  </r>
  <r>
    <x v="2783"/>
    <x v="72"/>
    <x v="0"/>
    <x v="8"/>
    <x v="1"/>
    <x v="0"/>
    <x v="2"/>
    <x v="2741"/>
    <x v="0"/>
    <x v="0"/>
  </r>
  <r>
    <x v="2784"/>
    <x v="30"/>
    <x v="1"/>
    <x v="8"/>
    <x v="2"/>
    <x v="1"/>
    <x v="3"/>
    <x v="2742"/>
    <x v="1"/>
    <x v="1"/>
  </r>
  <r>
    <x v="2785"/>
    <x v="75"/>
    <x v="0"/>
    <x v="2"/>
    <x v="6"/>
    <x v="2"/>
    <x v="11"/>
    <x v="2743"/>
    <x v="1"/>
    <x v="3"/>
  </r>
  <r>
    <x v="2786"/>
    <x v="38"/>
    <x v="1"/>
    <x v="2"/>
    <x v="6"/>
    <x v="2"/>
    <x v="6"/>
    <x v="2744"/>
    <x v="0"/>
    <x v="2"/>
  </r>
  <r>
    <x v="2787"/>
    <x v="52"/>
    <x v="1"/>
    <x v="3"/>
    <x v="1"/>
    <x v="1"/>
    <x v="2"/>
    <x v="2745"/>
    <x v="0"/>
    <x v="2"/>
  </r>
  <r>
    <x v="2788"/>
    <x v="6"/>
    <x v="1"/>
    <x v="1"/>
    <x v="9"/>
    <x v="0"/>
    <x v="0"/>
    <x v="2746"/>
    <x v="0"/>
    <x v="3"/>
  </r>
  <r>
    <x v="2789"/>
    <x v="36"/>
    <x v="0"/>
    <x v="5"/>
    <x v="2"/>
    <x v="2"/>
    <x v="1"/>
    <x v="2747"/>
    <x v="0"/>
    <x v="3"/>
  </r>
  <r>
    <x v="2790"/>
    <x v="31"/>
    <x v="0"/>
    <x v="5"/>
    <x v="4"/>
    <x v="2"/>
    <x v="3"/>
    <x v="2748"/>
    <x v="1"/>
    <x v="2"/>
  </r>
  <r>
    <x v="2791"/>
    <x v="36"/>
    <x v="0"/>
    <x v="8"/>
    <x v="6"/>
    <x v="2"/>
    <x v="7"/>
    <x v="2749"/>
    <x v="0"/>
    <x v="2"/>
  </r>
  <r>
    <x v="2792"/>
    <x v="45"/>
    <x v="1"/>
    <x v="4"/>
    <x v="8"/>
    <x v="1"/>
    <x v="8"/>
    <x v="2750"/>
    <x v="0"/>
    <x v="3"/>
  </r>
  <r>
    <x v="2793"/>
    <x v="56"/>
    <x v="1"/>
    <x v="3"/>
    <x v="8"/>
    <x v="2"/>
    <x v="1"/>
    <x v="2751"/>
    <x v="0"/>
    <x v="1"/>
  </r>
  <r>
    <x v="2794"/>
    <x v="75"/>
    <x v="1"/>
    <x v="4"/>
    <x v="6"/>
    <x v="2"/>
    <x v="7"/>
    <x v="2752"/>
    <x v="1"/>
    <x v="4"/>
  </r>
  <r>
    <x v="2795"/>
    <x v="67"/>
    <x v="0"/>
    <x v="2"/>
    <x v="5"/>
    <x v="1"/>
    <x v="4"/>
    <x v="2753"/>
    <x v="0"/>
    <x v="2"/>
  </r>
  <r>
    <x v="2796"/>
    <x v="78"/>
    <x v="1"/>
    <x v="1"/>
    <x v="9"/>
    <x v="0"/>
    <x v="4"/>
    <x v="2754"/>
    <x v="1"/>
    <x v="1"/>
  </r>
  <r>
    <x v="2797"/>
    <x v="33"/>
    <x v="0"/>
    <x v="8"/>
    <x v="7"/>
    <x v="2"/>
    <x v="1"/>
    <x v="2755"/>
    <x v="1"/>
    <x v="4"/>
  </r>
  <r>
    <x v="2798"/>
    <x v="82"/>
    <x v="0"/>
    <x v="4"/>
    <x v="5"/>
    <x v="1"/>
    <x v="3"/>
    <x v="2756"/>
    <x v="0"/>
    <x v="2"/>
  </r>
  <r>
    <x v="2799"/>
    <x v="46"/>
    <x v="0"/>
    <x v="3"/>
    <x v="6"/>
    <x v="2"/>
    <x v="8"/>
    <x v="2757"/>
    <x v="0"/>
    <x v="0"/>
  </r>
  <r>
    <x v="2800"/>
    <x v="87"/>
    <x v="1"/>
    <x v="8"/>
    <x v="4"/>
    <x v="0"/>
    <x v="12"/>
    <x v="1736"/>
    <x v="0"/>
    <x v="4"/>
  </r>
  <r>
    <x v="2801"/>
    <x v="61"/>
    <x v="0"/>
    <x v="3"/>
    <x v="1"/>
    <x v="2"/>
    <x v="5"/>
    <x v="2758"/>
    <x v="0"/>
    <x v="1"/>
  </r>
  <r>
    <x v="2802"/>
    <x v="52"/>
    <x v="0"/>
    <x v="2"/>
    <x v="5"/>
    <x v="2"/>
    <x v="11"/>
    <x v="2759"/>
    <x v="0"/>
    <x v="2"/>
  </r>
  <r>
    <x v="2803"/>
    <x v="9"/>
    <x v="0"/>
    <x v="6"/>
    <x v="3"/>
    <x v="2"/>
    <x v="6"/>
    <x v="2760"/>
    <x v="0"/>
    <x v="3"/>
  </r>
  <r>
    <x v="2804"/>
    <x v="35"/>
    <x v="0"/>
    <x v="0"/>
    <x v="8"/>
    <x v="1"/>
    <x v="5"/>
    <x v="2761"/>
    <x v="1"/>
    <x v="3"/>
  </r>
  <r>
    <x v="2805"/>
    <x v="54"/>
    <x v="0"/>
    <x v="6"/>
    <x v="0"/>
    <x v="2"/>
    <x v="6"/>
    <x v="2762"/>
    <x v="1"/>
    <x v="1"/>
  </r>
  <r>
    <x v="2806"/>
    <x v="44"/>
    <x v="1"/>
    <x v="1"/>
    <x v="7"/>
    <x v="0"/>
    <x v="3"/>
    <x v="2763"/>
    <x v="0"/>
    <x v="0"/>
  </r>
  <r>
    <x v="2807"/>
    <x v="10"/>
    <x v="0"/>
    <x v="0"/>
    <x v="5"/>
    <x v="2"/>
    <x v="13"/>
    <x v="2764"/>
    <x v="1"/>
    <x v="1"/>
  </r>
  <r>
    <x v="2808"/>
    <x v="55"/>
    <x v="1"/>
    <x v="0"/>
    <x v="2"/>
    <x v="2"/>
    <x v="12"/>
    <x v="2765"/>
    <x v="0"/>
    <x v="3"/>
  </r>
  <r>
    <x v="2809"/>
    <x v="4"/>
    <x v="1"/>
    <x v="5"/>
    <x v="9"/>
    <x v="2"/>
    <x v="7"/>
    <x v="2766"/>
    <x v="0"/>
    <x v="4"/>
  </r>
  <r>
    <x v="2810"/>
    <x v="12"/>
    <x v="1"/>
    <x v="4"/>
    <x v="5"/>
    <x v="0"/>
    <x v="1"/>
    <x v="2767"/>
    <x v="1"/>
    <x v="1"/>
  </r>
  <r>
    <x v="2811"/>
    <x v="48"/>
    <x v="0"/>
    <x v="6"/>
    <x v="4"/>
    <x v="2"/>
    <x v="2"/>
    <x v="2768"/>
    <x v="1"/>
    <x v="1"/>
  </r>
  <r>
    <x v="2812"/>
    <x v="24"/>
    <x v="0"/>
    <x v="1"/>
    <x v="5"/>
    <x v="2"/>
    <x v="11"/>
    <x v="2769"/>
    <x v="0"/>
    <x v="3"/>
  </r>
  <r>
    <x v="2813"/>
    <x v="51"/>
    <x v="0"/>
    <x v="4"/>
    <x v="4"/>
    <x v="0"/>
    <x v="6"/>
    <x v="2770"/>
    <x v="1"/>
    <x v="2"/>
  </r>
  <r>
    <x v="2814"/>
    <x v="51"/>
    <x v="0"/>
    <x v="5"/>
    <x v="9"/>
    <x v="0"/>
    <x v="13"/>
    <x v="2771"/>
    <x v="0"/>
    <x v="4"/>
  </r>
  <r>
    <x v="2815"/>
    <x v="38"/>
    <x v="1"/>
    <x v="4"/>
    <x v="7"/>
    <x v="2"/>
    <x v="1"/>
    <x v="2772"/>
    <x v="0"/>
    <x v="1"/>
  </r>
  <r>
    <x v="2816"/>
    <x v="4"/>
    <x v="0"/>
    <x v="2"/>
    <x v="1"/>
    <x v="1"/>
    <x v="7"/>
    <x v="2773"/>
    <x v="1"/>
    <x v="4"/>
  </r>
  <r>
    <x v="2817"/>
    <x v="60"/>
    <x v="0"/>
    <x v="7"/>
    <x v="7"/>
    <x v="2"/>
    <x v="13"/>
    <x v="2774"/>
    <x v="1"/>
    <x v="1"/>
  </r>
  <r>
    <x v="2818"/>
    <x v="69"/>
    <x v="0"/>
    <x v="5"/>
    <x v="6"/>
    <x v="2"/>
    <x v="13"/>
    <x v="2775"/>
    <x v="0"/>
    <x v="0"/>
  </r>
  <r>
    <x v="2819"/>
    <x v="87"/>
    <x v="0"/>
    <x v="3"/>
    <x v="7"/>
    <x v="2"/>
    <x v="12"/>
    <x v="2776"/>
    <x v="0"/>
    <x v="0"/>
  </r>
  <r>
    <x v="2820"/>
    <x v="16"/>
    <x v="0"/>
    <x v="5"/>
    <x v="3"/>
    <x v="0"/>
    <x v="8"/>
    <x v="2777"/>
    <x v="0"/>
    <x v="1"/>
  </r>
  <r>
    <x v="2821"/>
    <x v="44"/>
    <x v="1"/>
    <x v="5"/>
    <x v="4"/>
    <x v="0"/>
    <x v="1"/>
    <x v="2778"/>
    <x v="1"/>
    <x v="4"/>
  </r>
  <r>
    <x v="2822"/>
    <x v="66"/>
    <x v="0"/>
    <x v="2"/>
    <x v="5"/>
    <x v="2"/>
    <x v="12"/>
    <x v="2779"/>
    <x v="1"/>
    <x v="2"/>
  </r>
  <r>
    <x v="2823"/>
    <x v="86"/>
    <x v="0"/>
    <x v="1"/>
    <x v="4"/>
    <x v="0"/>
    <x v="8"/>
    <x v="2780"/>
    <x v="1"/>
    <x v="4"/>
  </r>
  <r>
    <x v="2824"/>
    <x v="67"/>
    <x v="0"/>
    <x v="5"/>
    <x v="6"/>
    <x v="1"/>
    <x v="4"/>
    <x v="2781"/>
    <x v="0"/>
    <x v="1"/>
  </r>
  <r>
    <x v="2825"/>
    <x v="40"/>
    <x v="1"/>
    <x v="4"/>
    <x v="2"/>
    <x v="1"/>
    <x v="10"/>
    <x v="2782"/>
    <x v="0"/>
    <x v="3"/>
  </r>
  <r>
    <x v="2826"/>
    <x v="33"/>
    <x v="0"/>
    <x v="2"/>
    <x v="3"/>
    <x v="0"/>
    <x v="7"/>
    <x v="2783"/>
    <x v="1"/>
    <x v="4"/>
  </r>
  <r>
    <x v="2827"/>
    <x v="13"/>
    <x v="0"/>
    <x v="9"/>
    <x v="1"/>
    <x v="2"/>
    <x v="6"/>
    <x v="2784"/>
    <x v="1"/>
    <x v="3"/>
  </r>
  <r>
    <x v="2828"/>
    <x v="39"/>
    <x v="1"/>
    <x v="2"/>
    <x v="1"/>
    <x v="1"/>
    <x v="13"/>
    <x v="2785"/>
    <x v="0"/>
    <x v="2"/>
  </r>
  <r>
    <x v="2829"/>
    <x v="65"/>
    <x v="1"/>
    <x v="3"/>
    <x v="7"/>
    <x v="1"/>
    <x v="6"/>
    <x v="2786"/>
    <x v="1"/>
    <x v="4"/>
  </r>
  <r>
    <x v="2830"/>
    <x v="36"/>
    <x v="1"/>
    <x v="3"/>
    <x v="2"/>
    <x v="2"/>
    <x v="0"/>
    <x v="2787"/>
    <x v="0"/>
    <x v="2"/>
  </r>
  <r>
    <x v="2831"/>
    <x v="51"/>
    <x v="1"/>
    <x v="9"/>
    <x v="3"/>
    <x v="2"/>
    <x v="5"/>
    <x v="2788"/>
    <x v="1"/>
    <x v="3"/>
  </r>
  <r>
    <x v="2832"/>
    <x v="54"/>
    <x v="1"/>
    <x v="7"/>
    <x v="6"/>
    <x v="1"/>
    <x v="9"/>
    <x v="2789"/>
    <x v="1"/>
    <x v="3"/>
  </r>
  <r>
    <x v="2833"/>
    <x v="57"/>
    <x v="1"/>
    <x v="9"/>
    <x v="9"/>
    <x v="2"/>
    <x v="4"/>
    <x v="2790"/>
    <x v="1"/>
    <x v="2"/>
  </r>
  <r>
    <x v="2834"/>
    <x v="32"/>
    <x v="0"/>
    <x v="2"/>
    <x v="9"/>
    <x v="1"/>
    <x v="13"/>
    <x v="2791"/>
    <x v="1"/>
    <x v="1"/>
  </r>
  <r>
    <x v="2835"/>
    <x v="49"/>
    <x v="1"/>
    <x v="0"/>
    <x v="3"/>
    <x v="0"/>
    <x v="10"/>
    <x v="2792"/>
    <x v="0"/>
    <x v="1"/>
  </r>
  <r>
    <x v="2836"/>
    <x v="9"/>
    <x v="1"/>
    <x v="1"/>
    <x v="9"/>
    <x v="0"/>
    <x v="10"/>
    <x v="2793"/>
    <x v="1"/>
    <x v="1"/>
  </r>
  <r>
    <x v="2837"/>
    <x v="36"/>
    <x v="0"/>
    <x v="0"/>
    <x v="8"/>
    <x v="0"/>
    <x v="3"/>
    <x v="2794"/>
    <x v="1"/>
    <x v="2"/>
  </r>
  <r>
    <x v="2838"/>
    <x v="41"/>
    <x v="0"/>
    <x v="8"/>
    <x v="6"/>
    <x v="0"/>
    <x v="14"/>
    <x v="2795"/>
    <x v="1"/>
    <x v="1"/>
  </r>
  <r>
    <x v="2839"/>
    <x v="88"/>
    <x v="0"/>
    <x v="0"/>
    <x v="4"/>
    <x v="1"/>
    <x v="7"/>
    <x v="2796"/>
    <x v="1"/>
    <x v="1"/>
  </r>
  <r>
    <x v="2840"/>
    <x v="56"/>
    <x v="0"/>
    <x v="8"/>
    <x v="9"/>
    <x v="2"/>
    <x v="7"/>
    <x v="2797"/>
    <x v="1"/>
    <x v="4"/>
  </r>
  <r>
    <x v="2841"/>
    <x v="41"/>
    <x v="1"/>
    <x v="7"/>
    <x v="9"/>
    <x v="0"/>
    <x v="8"/>
    <x v="2798"/>
    <x v="1"/>
    <x v="1"/>
  </r>
  <r>
    <x v="2842"/>
    <x v="75"/>
    <x v="0"/>
    <x v="5"/>
    <x v="6"/>
    <x v="2"/>
    <x v="3"/>
    <x v="2799"/>
    <x v="0"/>
    <x v="2"/>
  </r>
  <r>
    <x v="2843"/>
    <x v="2"/>
    <x v="0"/>
    <x v="7"/>
    <x v="1"/>
    <x v="1"/>
    <x v="9"/>
    <x v="2800"/>
    <x v="1"/>
    <x v="1"/>
  </r>
  <r>
    <x v="2844"/>
    <x v="61"/>
    <x v="1"/>
    <x v="0"/>
    <x v="4"/>
    <x v="1"/>
    <x v="0"/>
    <x v="2801"/>
    <x v="0"/>
    <x v="3"/>
  </r>
  <r>
    <x v="2845"/>
    <x v="48"/>
    <x v="1"/>
    <x v="0"/>
    <x v="4"/>
    <x v="0"/>
    <x v="1"/>
    <x v="2802"/>
    <x v="0"/>
    <x v="0"/>
  </r>
  <r>
    <x v="2846"/>
    <x v="15"/>
    <x v="0"/>
    <x v="1"/>
    <x v="7"/>
    <x v="2"/>
    <x v="4"/>
    <x v="2803"/>
    <x v="0"/>
    <x v="0"/>
  </r>
  <r>
    <x v="2847"/>
    <x v="68"/>
    <x v="1"/>
    <x v="6"/>
    <x v="5"/>
    <x v="1"/>
    <x v="6"/>
    <x v="2804"/>
    <x v="1"/>
    <x v="2"/>
  </r>
  <r>
    <x v="2848"/>
    <x v="5"/>
    <x v="0"/>
    <x v="9"/>
    <x v="2"/>
    <x v="1"/>
    <x v="6"/>
    <x v="2805"/>
    <x v="1"/>
    <x v="0"/>
  </r>
  <r>
    <x v="2849"/>
    <x v="29"/>
    <x v="1"/>
    <x v="4"/>
    <x v="9"/>
    <x v="1"/>
    <x v="1"/>
    <x v="2806"/>
    <x v="1"/>
    <x v="2"/>
  </r>
  <r>
    <x v="2850"/>
    <x v="22"/>
    <x v="1"/>
    <x v="0"/>
    <x v="3"/>
    <x v="0"/>
    <x v="2"/>
    <x v="2807"/>
    <x v="1"/>
    <x v="2"/>
  </r>
  <r>
    <x v="2851"/>
    <x v="26"/>
    <x v="1"/>
    <x v="2"/>
    <x v="1"/>
    <x v="1"/>
    <x v="6"/>
    <x v="2808"/>
    <x v="0"/>
    <x v="1"/>
  </r>
  <r>
    <x v="2852"/>
    <x v="34"/>
    <x v="0"/>
    <x v="3"/>
    <x v="9"/>
    <x v="2"/>
    <x v="8"/>
    <x v="2809"/>
    <x v="1"/>
    <x v="1"/>
  </r>
  <r>
    <x v="2853"/>
    <x v="34"/>
    <x v="1"/>
    <x v="9"/>
    <x v="9"/>
    <x v="0"/>
    <x v="10"/>
    <x v="2810"/>
    <x v="1"/>
    <x v="3"/>
  </r>
  <r>
    <x v="2854"/>
    <x v="25"/>
    <x v="0"/>
    <x v="4"/>
    <x v="5"/>
    <x v="0"/>
    <x v="9"/>
    <x v="2811"/>
    <x v="1"/>
    <x v="3"/>
  </r>
  <r>
    <x v="2855"/>
    <x v="89"/>
    <x v="1"/>
    <x v="3"/>
    <x v="8"/>
    <x v="2"/>
    <x v="3"/>
    <x v="2812"/>
    <x v="1"/>
    <x v="0"/>
  </r>
  <r>
    <x v="2856"/>
    <x v="10"/>
    <x v="1"/>
    <x v="3"/>
    <x v="9"/>
    <x v="2"/>
    <x v="5"/>
    <x v="2813"/>
    <x v="0"/>
    <x v="1"/>
  </r>
  <r>
    <x v="2857"/>
    <x v="12"/>
    <x v="0"/>
    <x v="0"/>
    <x v="5"/>
    <x v="0"/>
    <x v="6"/>
    <x v="2814"/>
    <x v="1"/>
    <x v="2"/>
  </r>
  <r>
    <x v="2858"/>
    <x v="67"/>
    <x v="1"/>
    <x v="1"/>
    <x v="0"/>
    <x v="1"/>
    <x v="4"/>
    <x v="2815"/>
    <x v="1"/>
    <x v="1"/>
  </r>
  <r>
    <x v="2859"/>
    <x v="42"/>
    <x v="1"/>
    <x v="8"/>
    <x v="6"/>
    <x v="2"/>
    <x v="10"/>
    <x v="2816"/>
    <x v="1"/>
    <x v="3"/>
  </r>
  <r>
    <x v="2860"/>
    <x v="4"/>
    <x v="0"/>
    <x v="4"/>
    <x v="0"/>
    <x v="2"/>
    <x v="11"/>
    <x v="2817"/>
    <x v="0"/>
    <x v="1"/>
  </r>
  <r>
    <x v="2861"/>
    <x v="57"/>
    <x v="0"/>
    <x v="3"/>
    <x v="3"/>
    <x v="1"/>
    <x v="5"/>
    <x v="2818"/>
    <x v="1"/>
    <x v="4"/>
  </r>
  <r>
    <x v="2862"/>
    <x v="26"/>
    <x v="1"/>
    <x v="1"/>
    <x v="4"/>
    <x v="0"/>
    <x v="11"/>
    <x v="2819"/>
    <x v="0"/>
    <x v="2"/>
  </r>
  <r>
    <x v="2863"/>
    <x v="70"/>
    <x v="1"/>
    <x v="0"/>
    <x v="2"/>
    <x v="0"/>
    <x v="12"/>
    <x v="2820"/>
    <x v="1"/>
    <x v="3"/>
  </r>
  <r>
    <x v="2864"/>
    <x v="17"/>
    <x v="0"/>
    <x v="8"/>
    <x v="7"/>
    <x v="1"/>
    <x v="5"/>
    <x v="2821"/>
    <x v="1"/>
    <x v="2"/>
  </r>
  <r>
    <x v="2865"/>
    <x v="59"/>
    <x v="0"/>
    <x v="2"/>
    <x v="2"/>
    <x v="2"/>
    <x v="6"/>
    <x v="2822"/>
    <x v="1"/>
    <x v="4"/>
  </r>
  <r>
    <x v="2866"/>
    <x v="43"/>
    <x v="0"/>
    <x v="1"/>
    <x v="6"/>
    <x v="0"/>
    <x v="2"/>
    <x v="2823"/>
    <x v="0"/>
    <x v="1"/>
  </r>
  <r>
    <x v="2867"/>
    <x v="63"/>
    <x v="1"/>
    <x v="7"/>
    <x v="7"/>
    <x v="1"/>
    <x v="0"/>
    <x v="2824"/>
    <x v="0"/>
    <x v="3"/>
  </r>
  <r>
    <x v="2868"/>
    <x v="73"/>
    <x v="0"/>
    <x v="1"/>
    <x v="0"/>
    <x v="1"/>
    <x v="12"/>
    <x v="2825"/>
    <x v="0"/>
    <x v="2"/>
  </r>
  <r>
    <x v="2869"/>
    <x v="47"/>
    <x v="0"/>
    <x v="6"/>
    <x v="5"/>
    <x v="1"/>
    <x v="4"/>
    <x v="2826"/>
    <x v="1"/>
    <x v="4"/>
  </r>
  <r>
    <x v="2870"/>
    <x v="11"/>
    <x v="0"/>
    <x v="1"/>
    <x v="8"/>
    <x v="1"/>
    <x v="12"/>
    <x v="2827"/>
    <x v="1"/>
    <x v="1"/>
  </r>
  <r>
    <x v="2871"/>
    <x v="85"/>
    <x v="1"/>
    <x v="3"/>
    <x v="6"/>
    <x v="1"/>
    <x v="12"/>
    <x v="2576"/>
    <x v="0"/>
    <x v="0"/>
  </r>
  <r>
    <x v="2872"/>
    <x v="27"/>
    <x v="1"/>
    <x v="7"/>
    <x v="4"/>
    <x v="0"/>
    <x v="0"/>
    <x v="2828"/>
    <x v="0"/>
    <x v="0"/>
  </r>
  <r>
    <x v="2873"/>
    <x v="48"/>
    <x v="1"/>
    <x v="5"/>
    <x v="9"/>
    <x v="1"/>
    <x v="14"/>
    <x v="2829"/>
    <x v="0"/>
    <x v="3"/>
  </r>
  <r>
    <x v="2874"/>
    <x v="9"/>
    <x v="0"/>
    <x v="3"/>
    <x v="8"/>
    <x v="0"/>
    <x v="5"/>
    <x v="2830"/>
    <x v="1"/>
    <x v="3"/>
  </r>
  <r>
    <x v="2875"/>
    <x v="88"/>
    <x v="0"/>
    <x v="3"/>
    <x v="1"/>
    <x v="0"/>
    <x v="9"/>
    <x v="2831"/>
    <x v="1"/>
    <x v="3"/>
  </r>
  <r>
    <x v="2876"/>
    <x v="71"/>
    <x v="1"/>
    <x v="4"/>
    <x v="1"/>
    <x v="0"/>
    <x v="11"/>
    <x v="2832"/>
    <x v="0"/>
    <x v="2"/>
  </r>
  <r>
    <x v="2877"/>
    <x v="68"/>
    <x v="0"/>
    <x v="7"/>
    <x v="6"/>
    <x v="2"/>
    <x v="13"/>
    <x v="2833"/>
    <x v="1"/>
    <x v="3"/>
  </r>
  <r>
    <x v="2878"/>
    <x v="33"/>
    <x v="0"/>
    <x v="2"/>
    <x v="5"/>
    <x v="0"/>
    <x v="8"/>
    <x v="2834"/>
    <x v="1"/>
    <x v="4"/>
  </r>
  <r>
    <x v="2879"/>
    <x v="70"/>
    <x v="0"/>
    <x v="2"/>
    <x v="3"/>
    <x v="1"/>
    <x v="13"/>
    <x v="2835"/>
    <x v="0"/>
    <x v="1"/>
  </r>
  <r>
    <x v="2880"/>
    <x v="75"/>
    <x v="0"/>
    <x v="3"/>
    <x v="6"/>
    <x v="0"/>
    <x v="7"/>
    <x v="2836"/>
    <x v="0"/>
    <x v="4"/>
  </r>
  <r>
    <x v="2881"/>
    <x v="57"/>
    <x v="1"/>
    <x v="5"/>
    <x v="0"/>
    <x v="0"/>
    <x v="0"/>
    <x v="2837"/>
    <x v="1"/>
    <x v="1"/>
  </r>
  <r>
    <x v="2882"/>
    <x v="48"/>
    <x v="1"/>
    <x v="0"/>
    <x v="6"/>
    <x v="2"/>
    <x v="1"/>
    <x v="2838"/>
    <x v="1"/>
    <x v="0"/>
  </r>
  <r>
    <x v="2883"/>
    <x v="13"/>
    <x v="1"/>
    <x v="0"/>
    <x v="3"/>
    <x v="2"/>
    <x v="11"/>
    <x v="2839"/>
    <x v="0"/>
    <x v="2"/>
  </r>
  <r>
    <x v="2884"/>
    <x v="45"/>
    <x v="0"/>
    <x v="1"/>
    <x v="9"/>
    <x v="0"/>
    <x v="10"/>
    <x v="2840"/>
    <x v="0"/>
    <x v="2"/>
  </r>
  <r>
    <x v="2885"/>
    <x v="17"/>
    <x v="1"/>
    <x v="0"/>
    <x v="2"/>
    <x v="0"/>
    <x v="13"/>
    <x v="2841"/>
    <x v="1"/>
    <x v="0"/>
  </r>
  <r>
    <x v="2886"/>
    <x v="55"/>
    <x v="0"/>
    <x v="3"/>
    <x v="8"/>
    <x v="1"/>
    <x v="0"/>
    <x v="2842"/>
    <x v="0"/>
    <x v="0"/>
  </r>
  <r>
    <x v="2887"/>
    <x v="7"/>
    <x v="1"/>
    <x v="0"/>
    <x v="0"/>
    <x v="0"/>
    <x v="7"/>
    <x v="2843"/>
    <x v="0"/>
    <x v="0"/>
  </r>
  <r>
    <x v="2888"/>
    <x v="87"/>
    <x v="1"/>
    <x v="6"/>
    <x v="4"/>
    <x v="0"/>
    <x v="13"/>
    <x v="2844"/>
    <x v="1"/>
    <x v="0"/>
  </r>
  <r>
    <x v="2889"/>
    <x v="48"/>
    <x v="0"/>
    <x v="4"/>
    <x v="1"/>
    <x v="2"/>
    <x v="11"/>
    <x v="2845"/>
    <x v="0"/>
    <x v="3"/>
  </r>
  <r>
    <x v="2890"/>
    <x v="77"/>
    <x v="0"/>
    <x v="6"/>
    <x v="8"/>
    <x v="1"/>
    <x v="11"/>
    <x v="2846"/>
    <x v="1"/>
    <x v="2"/>
  </r>
  <r>
    <x v="2891"/>
    <x v="9"/>
    <x v="0"/>
    <x v="5"/>
    <x v="6"/>
    <x v="0"/>
    <x v="0"/>
    <x v="2847"/>
    <x v="0"/>
    <x v="3"/>
  </r>
  <r>
    <x v="2892"/>
    <x v="24"/>
    <x v="0"/>
    <x v="7"/>
    <x v="8"/>
    <x v="1"/>
    <x v="4"/>
    <x v="2848"/>
    <x v="1"/>
    <x v="0"/>
  </r>
  <r>
    <x v="2893"/>
    <x v="0"/>
    <x v="0"/>
    <x v="3"/>
    <x v="8"/>
    <x v="2"/>
    <x v="13"/>
    <x v="2849"/>
    <x v="1"/>
    <x v="0"/>
  </r>
  <r>
    <x v="2894"/>
    <x v="42"/>
    <x v="0"/>
    <x v="5"/>
    <x v="9"/>
    <x v="1"/>
    <x v="0"/>
    <x v="2850"/>
    <x v="1"/>
    <x v="1"/>
  </r>
  <r>
    <x v="2895"/>
    <x v="72"/>
    <x v="1"/>
    <x v="6"/>
    <x v="7"/>
    <x v="0"/>
    <x v="8"/>
    <x v="2851"/>
    <x v="0"/>
    <x v="3"/>
  </r>
  <r>
    <x v="2896"/>
    <x v="17"/>
    <x v="0"/>
    <x v="8"/>
    <x v="6"/>
    <x v="2"/>
    <x v="14"/>
    <x v="2852"/>
    <x v="0"/>
    <x v="3"/>
  </r>
  <r>
    <x v="2897"/>
    <x v="81"/>
    <x v="1"/>
    <x v="3"/>
    <x v="3"/>
    <x v="2"/>
    <x v="1"/>
    <x v="2853"/>
    <x v="0"/>
    <x v="2"/>
  </r>
  <r>
    <x v="2898"/>
    <x v="21"/>
    <x v="1"/>
    <x v="7"/>
    <x v="2"/>
    <x v="1"/>
    <x v="13"/>
    <x v="2854"/>
    <x v="1"/>
    <x v="4"/>
  </r>
  <r>
    <x v="2899"/>
    <x v="76"/>
    <x v="0"/>
    <x v="8"/>
    <x v="6"/>
    <x v="1"/>
    <x v="1"/>
    <x v="2855"/>
    <x v="1"/>
    <x v="4"/>
  </r>
  <r>
    <x v="2900"/>
    <x v="47"/>
    <x v="0"/>
    <x v="7"/>
    <x v="8"/>
    <x v="2"/>
    <x v="2"/>
    <x v="187"/>
    <x v="1"/>
    <x v="0"/>
  </r>
  <r>
    <x v="2901"/>
    <x v="37"/>
    <x v="0"/>
    <x v="3"/>
    <x v="0"/>
    <x v="0"/>
    <x v="10"/>
    <x v="2856"/>
    <x v="1"/>
    <x v="3"/>
  </r>
  <r>
    <x v="2902"/>
    <x v="57"/>
    <x v="0"/>
    <x v="0"/>
    <x v="8"/>
    <x v="0"/>
    <x v="7"/>
    <x v="2857"/>
    <x v="1"/>
    <x v="4"/>
  </r>
  <r>
    <x v="2903"/>
    <x v="36"/>
    <x v="1"/>
    <x v="3"/>
    <x v="0"/>
    <x v="2"/>
    <x v="13"/>
    <x v="2858"/>
    <x v="1"/>
    <x v="1"/>
  </r>
  <r>
    <x v="2904"/>
    <x v="27"/>
    <x v="1"/>
    <x v="1"/>
    <x v="7"/>
    <x v="2"/>
    <x v="0"/>
    <x v="2859"/>
    <x v="1"/>
    <x v="4"/>
  </r>
  <r>
    <x v="2905"/>
    <x v="53"/>
    <x v="1"/>
    <x v="2"/>
    <x v="6"/>
    <x v="1"/>
    <x v="3"/>
    <x v="2860"/>
    <x v="1"/>
    <x v="4"/>
  </r>
  <r>
    <x v="2906"/>
    <x v="30"/>
    <x v="1"/>
    <x v="7"/>
    <x v="5"/>
    <x v="1"/>
    <x v="11"/>
    <x v="2861"/>
    <x v="1"/>
    <x v="1"/>
  </r>
  <r>
    <x v="2907"/>
    <x v="70"/>
    <x v="1"/>
    <x v="7"/>
    <x v="1"/>
    <x v="1"/>
    <x v="1"/>
    <x v="2862"/>
    <x v="1"/>
    <x v="1"/>
  </r>
  <r>
    <x v="2908"/>
    <x v="10"/>
    <x v="1"/>
    <x v="6"/>
    <x v="2"/>
    <x v="0"/>
    <x v="4"/>
    <x v="2863"/>
    <x v="0"/>
    <x v="3"/>
  </r>
  <r>
    <x v="2909"/>
    <x v="59"/>
    <x v="1"/>
    <x v="6"/>
    <x v="7"/>
    <x v="2"/>
    <x v="14"/>
    <x v="2864"/>
    <x v="0"/>
    <x v="2"/>
  </r>
  <r>
    <x v="2910"/>
    <x v="58"/>
    <x v="1"/>
    <x v="7"/>
    <x v="1"/>
    <x v="2"/>
    <x v="10"/>
    <x v="2865"/>
    <x v="1"/>
    <x v="4"/>
  </r>
  <r>
    <x v="2911"/>
    <x v="40"/>
    <x v="0"/>
    <x v="3"/>
    <x v="4"/>
    <x v="0"/>
    <x v="1"/>
    <x v="2866"/>
    <x v="1"/>
    <x v="1"/>
  </r>
  <r>
    <x v="2912"/>
    <x v="61"/>
    <x v="1"/>
    <x v="6"/>
    <x v="7"/>
    <x v="1"/>
    <x v="13"/>
    <x v="2867"/>
    <x v="0"/>
    <x v="4"/>
  </r>
  <r>
    <x v="2913"/>
    <x v="46"/>
    <x v="1"/>
    <x v="9"/>
    <x v="3"/>
    <x v="1"/>
    <x v="8"/>
    <x v="2868"/>
    <x v="0"/>
    <x v="3"/>
  </r>
  <r>
    <x v="2914"/>
    <x v="36"/>
    <x v="1"/>
    <x v="5"/>
    <x v="3"/>
    <x v="1"/>
    <x v="1"/>
    <x v="2869"/>
    <x v="1"/>
    <x v="3"/>
  </r>
  <r>
    <x v="2915"/>
    <x v="86"/>
    <x v="1"/>
    <x v="7"/>
    <x v="7"/>
    <x v="1"/>
    <x v="11"/>
    <x v="2870"/>
    <x v="0"/>
    <x v="4"/>
  </r>
  <r>
    <x v="2916"/>
    <x v="83"/>
    <x v="1"/>
    <x v="4"/>
    <x v="6"/>
    <x v="1"/>
    <x v="8"/>
    <x v="2871"/>
    <x v="0"/>
    <x v="2"/>
  </r>
  <r>
    <x v="2917"/>
    <x v="55"/>
    <x v="1"/>
    <x v="7"/>
    <x v="2"/>
    <x v="0"/>
    <x v="7"/>
    <x v="1848"/>
    <x v="0"/>
    <x v="4"/>
  </r>
  <r>
    <x v="2918"/>
    <x v="43"/>
    <x v="1"/>
    <x v="8"/>
    <x v="8"/>
    <x v="2"/>
    <x v="3"/>
    <x v="2872"/>
    <x v="0"/>
    <x v="2"/>
  </r>
  <r>
    <x v="2919"/>
    <x v="84"/>
    <x v="1"/>
    <x v="4"/>
    <x v="5"/>
    <x v="2"/>
    <x v="14"/>
    <x v="2873"/>
    <x v="1"/>
    <x v="3"/>
  </r>
  <r>
    <x v="2920"/>
    <x v="57"/>
    <x v="1"/>
    <x v="1"/>
    <x v="3"/>
    <x v="1"/>
    <x v="9"/>
    <x v="2874"/>
    <x v="0"/>
    <x v="2"/>
  </r>
  <r>
    <x v="2921"/>
    <x v="72"/>
    <x v="1"/>
    <x v="2"/>
    <x v="2"/>
    <x v="2"/>
    <x v="7"/>
    <x v="2875"/>
    <x v="1"/>
    <x v="4"/>
  </r>
  <r>
    <x v="2922"/>
    <x v="50"/>
    <x v="1"/>
    <x v="1"/>
    <x v="7"/>
    <x v="2"/>
    <x v="7"/>
    <x v="2876"/>
    <x v="1"/>
    <x v="4"/>
  </r>
  <r>
    <x v="2923"/>
    <x v="33"/>
    <x v="0"/>
    <x v="9"/>
    <x v="2"/>
    <x v="2"/>
    <x v="13"/>
    <x v="2877"/>
    <x v="1"/>
    <x v="2"/>
  </r>
  <r>
    <x v="2924"/>
    <x v="72"/>
    <x v="1"/>
    <x v="2"/>
    <x v="2"/>
    <x v="1"/>
    <x v="6"/>
    <x v="2878"/>
    <x v="0"/>
    <x v="2"/>
  </r>
  <r>
    <x v="2925"/>
    <x v="78"/>
    <x v="0"/>
    <x v="6"/>
    <x v="4"/>
    <x v="1"/>
    <x v="8"/>
    <x v="2879"/>
    <x v="1"/>
    <x v="4"/>
  </r>
  <r>
    <x v="2926"/>
    <x v="11"/>
    <x v="1"/>
    <x v="0"/>
    <x v="6"/>
    <x v="1"/>
    <x v="4"/>
    <x v="2880"/>
    <x v="1"/>
    <x v="3"/>
  </r>
  <r>
    <x v="2927"/>
    <x v="35"/>
    <x v="0"/>
    <x v="0"/>
    <x v="5"/>
    <x v="0"/>
    <x v="8"/>
    <x v="2881"/>
    <x v="0"/>
    <x v="4"/>
  </r>
  <r>
    <x v="2928"/>
    <x v="62"/>
    <x v="1"/>
    <x v="6"/>
    <x v="7"/>
    <x v="2"/>
    <x v="11"/>
    <x v="2882"/>
    <x v="1"/>
    <x v="1"/>
  </r>
  <r>
    <x v="2929"/>
    <x v="73"/>
    <x v="0"/>
    <x v="6"/>
    <x v="2"/>
    <x v="1"/>
    <x v="13"/>
    <x v="2883"/>
    <x v="1"/>
    <x v="4"/>
  </r>
  <r>
    <x v="2930"/>
    <x v="70"/>
    <x v="1"/>
    <x v="4"/>
    <x v="0"/>
    <x v="0"/>
    <x v="6"/>
    <x v="2884"/>
    <x v="0"/>
    <x v="0"/>
  </r>
  <r>
    <x v="2931"/>
    <x v="77"/>
    <x v="0"/>
    <x v="3"/>
    <x v="1"/>
    <x v="1"/>
    <x v="3"/>
    <x v="2885"/>
    <x v="0"/>
    <x v="3"/>
  </r>
  <r>
    <x v="2932"/>
    <x v="13"/>
    <x v="1"/>
    <x v="4"/>
    <x v="7"/>
    <x v="0"/>
    <x v="13"/>
    <x v="2886"/>
    <x v="1"/>
    <x v="3"/>
  </r>
  <r>
    <x v="2933"/>
    <x v="5"/>
    <x v="0"/>
    <x v="9"/>
    <x v="9"/>
    <x v="0"/>
    <x v="5"/>
    <x v="2887"/>
    <x v="1"/>
    <x v="3"/>
  </r>
  <r>
    <x v="2934"/>
    <x v="73"/>
    <x v="1"/>
    <x v="5"/>
    <x v="4"/>
    <x v="2"/>
    <x v="8"/>
    <x v="2888"/>
    <x v="1"/>
    <x v="0"/>
  </r>
  <r>
    <x v="2935"/>
    <x v="37"/>
    <x v="0"/>
    <x v="8"/>
    <x v="6"/>
    <x v="0"/>
    <x v="8"/>
    <x v="2889"/>
    <x v="1"/>
    <x v="1"/>
  </r>
  <r>
    <x v="2936"/>
    <x v="0"/>
    <x v="1"/>
    <x v="5"/>
    <x v="5"/>
    <x v="2"/>
    <x v="2"/>
    <x v="2890"/>
    <x v="1"/>
    <x v="2"/>
  </r>
  <r>
    <x v="2937"/>
    <x v="43"/>
    <x v="0"/>
    <x v="5"/>
    <x v="6"/>
    <x v="0"/>
    <x v="8"/>
    <x v="2891"/>
    <x v="1"/>
    <x v="2"/>
  </r>
  <r>
    <x v="2938"/>
    <x v="23"/>
    <x v="1"/>
    <x v="7"/>
    <x v="8"/>
    <x v="1"/>
    <x v="8"/>
    <x v="2892"/>
    <x v="1"/>
    <x v="4"/>
  </r>
  <r>
    <x v="2939"/>
    <x v="37"/>
    <x v="0"/>
    <x v="9"/>
    <x v="8"/>
    <x v="2"/>
    <x v="13"/>
    <x v="2893"/>
    <x v="1"/>
    <x v="2"/>
  </r>
  <r>
    <x v="2940"/>
    <x v="22"/>
    <x v="0"/>
    <x v="3"/>
    <x v="8"/>
    <x v="0"/>
    <x v="14"/>
    <x v="2894"/>
    <x v="0"/>
    <x v="0"/>
  </r>
  <r>
    <x v="2941"/>
    <x v="8"/>
    <x v="1"/>
    <x v="4"/>
    <x v="3"/>
    <x v="2"/>
    <x v="6"/>
    <x v="2895"/>
    <x v="0"/>
    <x v="4"/>
  </r>
  <r>
    <x v="2942"/>
    <x v="89"/>
    <x v="1"/>
    <x v="8"/>
    <x v="8"/>
    <x v="0"/>
    <x v="13"/>
    <x v="2896"/>
    <x v="1"/>
    <x v="3"/>
  </r>
  <r>
    <x v="2943"/>
    <x v="59"/>
    <x v="0"/>
    <x v="6"/>
    <x v="0"/>
    <x v="1"/>
    <x v="8"/>
    <x v="2897"/>
    <x v="0"/>
    <x v="1"/>
  </r>
  <r>
    <x v="2944"/>
    <x v="32"/>
    <x v="1"/>
    <x v="3"/>
    <x v="4"/>
    <x v="2"/>
    <x v="8"/>
    <x v="2898"/>
    <x v="1"/>
    <x v="4"/>
  </r>
  <r>
    <x v="2945"/>
    <x v="68"/>
    <x v="0"/>
    <x v="2"/>
    <x v="6"/>
    <x v="0"/>
    <x v="2"/>
    <x v="2899"/>
    <x v="0"/>
    <x v="1"/>
  </r>
  <r>
    <x v="2946"/>
    <x v="28"/>
    <x v="0"/>
    <x v="1"/>
    <x v="1"/>
    <x v="1"/>
    <x v="6"/>
    <x v="2900"/>
    <x v="1"/>
    <x v="4"/>
  </r>
  <r>
    <x v="2947"/>
    <x v="60"/>
    <x v="0"/>
    <x v="1"/>
    <x v="1"/>
    <x v="0"/>
    <x v="14"/>
    <x v="2901"/>
    <x v="0"/>
    <x v="1"/>
  </r>
  <r>
    <x v="2948"/>
    <x v="38"/>
    <x v="0"/>
    <x v="2"/>
    <x v="7"/>
    <x v="0"/>
    <x v="6"/>
    <x v="2902"/>
    <x v="0"/>
    <x v="3"/>
  </r>
  <r>
    <x v="2949"/>
    <x v="81"/>
    <x v="1"/>
    <x v="8"/>
    <x v="2"/>
    <x v="2"/>
    <x v="13"/>
    <x v="2903"/>
    <x v="1"/>
    <x v="1"/>
  </r>
  <r>
    <x v="2950"/>
    <x v="19"/>
    <x v="1"/>
    <x v="5"/>
    <x v="9"/>
    <x v="1"/>
    <x v="8"/>
    <x v="2904"/>
    <x v="1"/>
    <x v="4"/>
  </r>
  <r>
    <x v="2951"/>
    <x v="9"/>
    <x v="0"/>
    <x v="6"/>
    <x v="2"/>
    <x v="2"/>
    <x v="4"/>
    <x v="2905"/>
    <x v="0"/>
    <x v="2"/>
  </r>
  <r>
    <x v="2952"/>
    <x v="58"/>
    <x v="1"/>
    <x v="8"/>
    <x v="0"/>
    <x v="2"/>
    <x v="11"/>
    <x v="2906"/>
    <x v="0"/>
    <x v="0"/>
  </r>
  <r>
    <x v="2953"/>
    <x v="76"/>
    <x v="1"/>
    <x v="4"/>
    <x v="7"/>
    <x v="1"/>
    <x v="14"/>
    <x v="2907"/>
    <x v="0"/>
    <x v="3"/>
  </r>
  <r>
    <x v="2954"/>
    <x v="18"/>
    <x v="1"/>
    <x v="5"/>
    <x v="2"/>
    <x v="2"/>
    <x v="9"/>
    <x v="2908"/>
    <x v="0"/>
    <x v="1"/>
  </r>
  <r>
    <x v="2955"/>
    <x v="68"/>
    <x v="0"/>
    <x v="7"/>
    <x v="7"/>
    <x v="2"/>
    <x v="0"/>
    <x v="2909"/>
    <x v="0"/>
    <x v="2"/>
  </r>
  <r>
    <x v="2956"/>
    <x v="80"/>
    <x v="1"/>
    <x v="7"/>
    <x v="0"/>
    <x v="2"/>
    <x v="8"/>
    <x v="2910"/>
    <x v="1"/>
    <x v="2"/>
  </r>
  <r>
    <x v="2957"/>
    <x v="81"/>
    <x v="1"/>
    <x v="6"/>
    <x v="5"/>
    <x v="2"/>
    <x v="4"/>
    <x v="2911"/>
    <x v="0"/>
    <x v="2"/>
  </r>
  <r>
    <x v="2958"/>
    <x v="7"/>
    <x v="0"/>
    <x v="4"/>
    <x v="2"/>
    <x v="1"/>
    <x v="8"/>
    <x v="2912"/>
    <x v="1"/>
    <x v="3"/>
  </r>
  <r>
    <x v="2959"/>
    <x v="42"/>
    <x v="1"/>
    <x v="2"/>
    <x v="8"/>
    <x v="2"/>
    <x v="2"/>
    <x v="944"/>
    <x v="0"/>
    <x v="3"/>
  </r>
  <r>
    <x v="2960"/>
    <x v="4"/>
    <x v="1"/>
    <x v="6"/>
    <x v="8"/>
    <x v="1"/>
    <x v="11"/>
    <x v="2913"/>
    <x v="0"/>
    <x v="2"/>
  </r>
  <r>
    <x v="2961"/>
    <x v="27"/>
    <x v="1"/>
    <x v="3"/>
    <x v="3"/>
    <x v="0"/>
    <x v="4"/>
    <x v="2914"/>
    <x v="1"/>
    <x v="3"/>
  </r>
  <r>
    <x v="2962"/>
    <x v="14"/>
    <x v="1"/>
    <x v="6"/>
    <x v="4"/>
    <x v="0"/>
    <x v="11"/>
    <x v="2915"/>
    <x v="1"/>
    <x v="3"/>
  </r>
  <r>
    <x v="2963"/>
    <x v="9"/>
    <x v="1"/>
    <x v="2"/>
    <x v="8"/>
    <x v="0"/>
    <x v="13"/>
    <x v="2916"/>
    <x v="0"/>
    <x v="0"/>
  </r>
  <r>
    <x v="2964"/>
    <x v="0"/>
    <x v="1"/>
    <x v="2"/>
    <x v="9"/>
    <x v="2"/>
    <x v="13"/>
    <x v="2917"/>
    <x v="1"/>
    <x v="2"/>
  </r>
  <r>
    <x v="2965"/>
    <x v="21"/>
    <x v="0"/>
    <x v="1"/>
    <x v="4"/>
    <x v="1"/>
    <x v="1"/>
    <x v="2918"/>
    <x v="1"/>
    <x v="4"/>
  </r>
  <r>
    <x v="2966"/>
    <x v="18"/>
    <x v="1"/>
    <x v="5"/>
    <x v="3"/>
    <x v="0"/>
    <x v="9"/>
    <x v="2919"/>
    <x v="0"/>
    <x v="1"/>
  </r>
  <r>
    <x v="2967"/>
    <x v="50"/>
    <x v="0"/>
    <x v="0"/>
    <x v="7"/>
    <x v="1"/>
    <x v="8"/>
    <x v="2920"/>
    <x v="1"/>
    <x v="1"/>
  </r>
  <r>
    <x v="2968"/>
    <x v="75"/>
    <x v="1"/>
    <x v="4"/>
    <x v="4"/>
    <x v="1"/>
    <x v="5"/>
    <x v="2921"/>
    <x v="1"/>
    <x v="3"/>
  </r>
  <r>
    <x v="2969"/>
    <x v="28"/>
    <x v="0"/>
    <x v="3"/>
    <x v="8"/>
    <x v="2"/>
    <x v="11"/>
    <x v="2922"/>
    <x v="0"/>
    <x v="2"/>
  </r>
  <r>
    <x v="2970"/>
    <x v="12"/>
    <x v="0"/>
    <x v="2"/>
    <x v="6"/>
    <x v="2"/>
    <x v="10"/>
    <x v="2923"/>
    <x v="0"/>
    <x v="1"/>
  </r>
  <r>
    <x v="2971"/>
    <x v="80"/>
    <x v="0"/>
    <x v="8"/>
    <x v="5"/>
    <x v="0"/>
    <x v="3"/>
    <x v="2924"/>
    <x v="0"/>
    <x v="3"/>
  </r>
  <r>
    <x v="2972"/>
    <x v="73"/>
    <x v="1"/>
    <x v="4"/>
    <x v="6"/>
    <x v="2"/>
    <x v="13"/>
    <x v="2925"/>
    <x v="1"/>
    <x v="3"/>
  </r>
  <r>
    <x v="2973"/>
    <x v="4"/>
    <x v="1"/>
    <x v="8"/>
    <x v="8"/>
    <x v="1"/>
    <x v="1"/>
    <x v="2926"/>
    <x v="1"/>
    <x v="2"/>
  </r>
  <r>
    <x v="2974"/>
    <x v="42"/>
    <x v="0"/>
    <x v="3"/>
    <x v="8"/>
    <x v="1"/>
    <x v="12"/>
    <x v="2927"/>
    <x v="1"/>
    <x v="3"/>
  </r>
  <r>
    <x v="2975"/>
    <x v="50"/>
    <x v="0"/>
    <x v="1"/>
    <x v="3"/>
    <x v="2"/>
    <x v="14"/>
    <x v="2928"/>
    <x v="1"/>
    <x v="0"/>
  </r>
  <r>
    <x v="2976"/>
    <x v="89"/>
    <x v="1"/>
    <x v="2"/>
    <x v="9"/>
    <x v="2"/>
    <x v="10"/>
    <x v="2929"/>
    <x v="1"/>
    <x v="1"/>
  </r>
  <r>
    <x v="2977"/>
    <x v="59"/>
    <x v="1"/>
    <x v="8"/>
    <x v="3"/>
    <x v="1"/>
    <x v="14"/>
    <x v="2930"/>
    <x v="0"/>
    <x v="0"/>
  </r>
  <r>
    <x v="2978"/>
    <x v="80"/>
    <x v="0"/>
    <x v="8"/>
    <x v="4"/>
    <x v="2"/>
    <x v="1"/>
    <x v="1780"/>
    <x v="0"/>
    <x v="3"/>
  </r>
  <r>
    <x v="2979"/>
    <x v="0"/>
    <x v="0"/>
    <x v="5"/>
    <x v="9"/>
    <x v="1"/>
    <x v="0"/>
    <x v="2931"/>
    <x v="1"/>
    <x v="2"/>
  </r>
  <r>
    <x v="2980"/>
    <x v="0"/>
    <x v="0"/>
    <x v="1"/>
    <x v="6"/>
    <x v="2"/>
    <x v="0"/>
    <x v="2932"/>
    <x v="1"/>
    <x v="2"/>
  </r>
  <r>
    <x v="2981"/>
    <x v="82"/>
    <x v="0"/>
    <x v="7"/>
    <x v="7"/>
    <x v="1"/>
    <x v="4"/>
    <x v="2933"/>
    <x v="0"/>
    <x v="0"/>
  </r>
  <r>
    <x v="2982"/>
    <x v="41"/>
    <x v="1"/>
    <x v="9"/>
    <x v="9"/>
    <x v="1"/>
    <x v="2"/>
    <x v="2934"/>
    <x v="0"/>
    <x v="0"/>
  </r>
  <r>
    <x v="2983"/>
    <x v="83"/>
    <x v="0"/>
    <x v="3"/>
    <x v="9"/>
    <x v="1"/>
    <x v="1"/>
    <x v="2935"/>
    <x v="1"/>
    <x v="2"/>
  </r>
  <r>
    <x v="2984"/>
    <x v="77"/>
    <x v="0"/>
    <x v="9"/>
    <x v="5"/>
    <x v="1"/>
    <x v="1"/>
    <x v="2936"/>
    <x v="1"/>
    <x v="3"/>
  </r>
  <r>
    <x v="2985"/>
    <x v="26"/>
    <x v="1"/>
    <x v="7"/>
    <x v="0"/>
    <x v="0"/>
    <x v="13"/>
    <x v="2937"/>
    <x v="0"/>
    <x v="2"/>
  </r>
  <r>
    <x v="2986"/>
    <x v="72"/>
    <x v="0"/>
    <x v="4"/>
    <x v="8"/>
    <x v="0"/>
    <x v="0"/>
    <x v="2938"/>
    <x v="0"/>
    <x v="1"/>
  </r>
  <r>
    <x v="2987"/>
    <x v="42"/>
    <x v="0"/>
    <x v="2"/>
    <x v="8"/>
    <x v="2"/>
    <x v="4"/>
    <x v="2939"/>
    <x v="1"/>
    <x v="3"/>
  </r>
  <r>
    <x v="2988"/>
    <x v="5"/>
    <x v="1"/>
    <x v="9"/>
    <x v="3"/>
    <x v="1"/>
    <x v="3"/>
    <x v="2940"/>
    <x v="0"/>
    <x v="3"/>
  </r>
  <r>
    <x v="2989"/>
    <x v="11"/>
    <x v="0"/>
    <x v="1"/>
    <x v="6"/>
    <x v="1"/>
    <x v="6"/>
    <x v="2941"/>
    <x v="1"/>
    <x v="3"/>
  </r>
  <r>
    <x v="2990"/>
    <x v="57"/>
    <x v="0"/>
    <x v="0"/>
    <x v="7"/>
    <x v="1"/>
    <x v="13"/>
    <x v="2942"/>
    <x v="1"/>
    <x v="2"/>
  </r>
  <r>
    <x v="2991"/>
    <x v="88"/>
    <x v="1"/>
    <x v="0"/>
    <x v="1"/>
    <x v="2"/>
    <x v="1"/>
    <x v="2943"/>
    <x v="0"/>
    <x v="3"/>
  </r>
  <r>
    <x v="2992"/>
    <x v="25"/>
    <x v="1"/>
    <x v="7"/>
    <x v="7"/>
    <x v="1"/>
    <x v="8"/>
    <x v="2944"/>
    <x v="1"/>
    <x v="4"/>
  </r>
  <r>
    <x v="2993"/>
    <x v="38"/>
    <x v="1"/>
    <x v="2"/>
    <x v="3"/>
    <x v="0"/>
    <x v="12"/>
    <x v="2945"/>
    <x v="1"/>
    <x v="1"/>
  </r>
  <r>
    <x v="2994"/>
    <x v="74"/>
    <x v="0"/>
    <x v="0"/>
    <x v="8"/>
    <x v="2"/>
    <x v="3"/>
    <x v="2946"/>
    <x v="1"/>
    <x v="2"/>
  </r>
  <r>
    <x v="2995"/>
    <x v="5"/>
    <x v="1"/>
    <x v="4"/>
    <x v="3"/>
    <x v="0"/>
    <x v="8"/>
    <x v="2947"/>
    <x v="0"/>
    <x v="0"/>
  </r>
  <r>
    <x v="2996"/>
    <x v="30"/>
    <x v="1"/>
    <x v="2"/>
    <x v="0"/>
    <x v="1"/>
    <x v="0"/>
    <x v="2948"/>
    <x v="0"/>
    <x v="1"/>
  </r>
  <r>
    <x v="2997"/>
    <x v="22"/>
    <x v="1"/>
    <x v="6"/>
    <x v="9"/>
    <x v="2"/>
    <x v="13"/>
    <x v="2949"/>
    <x v="0"/>
    <x v="3"/>
  </r>
  <r>
    <x v="2998"/>
    <x v="36"/>
    <x v="1"/>
    <x v="9"/>
    <x v="8"/>
    <x v="2"/>
    <x v="12"/>
    <x v="2950"/>
    <x v="1"/>
    <x v="2"/>
  </r>
  <r>
    <x v="2999"/>
    <x v="23"/>
    <x v="1"/>
    <x v="2"/>
    <x v="1"/>
    <x v="0"/>
    <x v="7"/>
    <x v="259"/>
    <x v="1"/>
    <x v="0"/>
  </r>
  <r>
    <x v="3000"/>
    <x v="50"/>
    <x v="0"/>
    <x v="2"/>
    <x v="7"/>
    <x v="1"/>
    <x v="10"/>
    <x v="2951"/>
    <x v="0"/>
    <x v="4"/>
  </r>
  <r>
    <x v="3001"/>
    <x v="50"/>
    <x v="1"/>
    <x v="3"/>
    <x v="8"/>
    <x v="0"/>
    <x v="5"/>
    <x v="2952"/>
    <x v="0"/>
    <x v="1"/>
  </r>
  <r>
    <x v="3002"/>
    <x v="33"/>
    <x v="1"/>
    <x v="0"/>
    <x v="9"/>
    <x v="2"/>
    <x v="14"/>
    <x v="2953"/>
    <x v="1"/>
    <x v="0"/>
  </r>
  <r>
    <x v="3003"/>
    <x v="24"/>
    <x v="1"/>
    <x v="8"/>
    <x v="6"/>
    <x v="1"/>
    <x v="1"/>
    <x v="2954"/>
    <x v="0"/>
    <x v="2"/>
  </r>
  <r>
    <x v="3004"/>
    <x v="15"/>
    <x v="0"/>
    <x v="0"/>
    <x v="2"/>
    <x v="2"/>
    <x v="13"/>
    <x v="2955"/>
    <x v="1"/>
    <x v="1"/>
  </r>
  <r>
    <x v="3005"/>
    <x v="28"/>
    <x v="0"/>
    <x v="7"/>
    <x v="6"/>
    <x v="2"/>
    <x v="11"/>
    <x v="2956"/>
    <x v="0"/>
    <x v="0"/>
  </r>
  <r>
    <x v="3006"/>
    <x v="59"/>
    <x v="1"/>
    <x v="4"/>
    <x v="7"/>
    <x v="0"/>
    <x v="1"/>
    <x v="2957"/>
    <x v="0"/>
    <x v="1"/>
  </r>
  <r>
    <x v="3007"/>
    <x v="6"/>
    <x v="1"/>
    <x v="5"/>
    <x v="3"/>
    <x v="1"/>
    <x v="12"/>
    <x v="2958"/>
    <x v="1"/>
    <x v="0"/>
  </r>
  <r>
    <x v="3008"/>
    <x v="75"/>
    <x v="1"/>
    <x v="7"/>
    <x v="7"/>
    <x v="0"/>
    <x v="1"/>
    <x v="2959"/>
    <x v="1"/>
    <x v="0"/>
  </r>
  <r>
    <x v="3009"/>
    <x v="10"/>
    <x v="1"/>
    <x v="6"/>
    <x v="9"/>
    <x v="1"/>
    <x v="0"/>
    <x v="2960"/>
    <x v="0"/>
    <x v="1"/>
  </r>
  <r>
    <x v="3010"/>
    <x v="84"/>
    <x v="0"/>
    <x v="9"/>
    <x v="9"/>
    <x v="0"/>
    <x v="4"/>
    <x v="2961"/>
    <x v="1"/>
    <x v="0"/>
  </r>
  <r>
    <x v="3011"/>
    <x v="18"/>
    <x v="0"/>
    <x v="7"/>
    <x v="5"/>
    <x v="1"/>
    <x v="9"/>
    <x v="2962"/>
    <x v="1"/>
    <x v="1"/>
  </r>
  <r>
    <x v="3012"/>
    <x v="1"/>
    <x v="1"/>
    <x v="5"/>
    <x v="6"/>
    <x v="1"/>
    <x v="6"/>
    <x v="2963"/>
    <x v="1"/>
    <x v="2"/>
  </r>
  <r>
    <x v="3013"/>
    <x v="78"/>
    <x v="0"/>
    <x v="0"/>
    <x v="3"/>
    <x v="1"/>
    <x v="3"/>
    <x v="2964"/>
    <x v="0"/>
    <x v="4"/>
  </r>
  <r>
    <x v="3014"/>
    <x v="50"/>
    <x v="0"/>
    <x v="1"/>
    <x v="8"/>
    <x v="1"/>
    <x v="2"/>
    <x v="2965"/>
    <x v="0"/>
    <x v="0"/>
  </r>
  <r>
    <x v="3015"/>
    <x v="85"/>
    <x v="1"/>
    <x v="2"/>
    <x v="0"/>
    <x v="2"/>
    <x v="11"/>
    <x v="2966"/>
    <x v="0"/>
    <x v="1"/>
  </r>
  <r>
    <x v="3016"/>
    <x v="12"/>
    <x v="1"/>
    <x v="6"/>
    <x v="3"/>
    <x v="1"/>
    <x v="7"/>
    <x v="2967"/>
    <x v="0"/>
    <x v="3"/>
  </r>
  <r>
    <x v="3017"/>
    <x v="23"/>
    <x v="1"/>
    <x v="4"/>
    <x v="8"/>
    <x v="1"/>
    <x v="0"/>
    <x v="2968"/>
    <x v="0"/>
    <x v="4"/>
  </r>
  <r>
    <x v="3018"/>
    <x v="42"/>
    <x v="1"/>
    <x v="8"/>
    <x v="7"/>
    <x v="1"/>
    <x v="2"/>
    <x v="2969"/>
    <x v="0"/>
    <x v="4"/>
  </r>
  <r>
    <x v="3019"/>
    <x v="31"/>
    <x v="0"/>
    <x v="6"/>
    <x v="6"/>
    <x v="0"/>
    <x v="10"/>
    <x v="2970"/>
    <x v="0"/>
    <x v="4"/>
  </r>
  <r>
    <x v="3020"/>
    <x v="27"/>
    <x v="1"/>
    <x v="0"/>
    <x v="2"/>
    <x v="2"/>
    <x v="6"/>
    <x v="2971"/>
    <x v="0"/>
    <x v="4"/>
  </r>
  <r>
    <x v="3021"/>
    <x v="88"/>
    <x v="0"/>
    <x v="8"/>
    <x v="7"/>
    <x v="2"/>
    <x v="13"/>
    <x v="2972"/>
    <x v="1"/>
    <x v="0"/>
  </r>
  <r>
    <x v="3022"/>
    <x v="24"/>
    <x v="0"/>
    <x v="5"/>
    <x v="0"/>
    <x v="1"/>
    <x v="11"/>
    <x v="2973"/>
    <x v="1"/>
    <x v="2"/>
  </r>
  <r>
    <x v="3023"/>
    <x v="25"/>
    <x v="0"/>
    <x v="7"/>
    <x v="2"/>
    <x v="0"/>
    <x v="1"/>
    <x v="2974"/>
    <x v="1"/>
    <x v="3"/>
  </r>
  <r>
    <x v="3024"/>
    <x v="40"/>
    <x v="0"/>
    <x v="4"/>
    <x v="5"/>
    <x v="0"/>
    <x v="6"/>
    <x v="2975"/>
    <x v="1"/>
    <x v="4"/>
  </r>
  <r>
    <x v="3025"/>
    <x v="67"/>
    <x v="0"/>
    <x v="5"/>
    <x v="1"/>
    <x v="2"/>
    <x v="1"/>
    <x v="2976"/>
    <x v="0"/>
    <x v="0"/>
  </r>
  <r>
    <x v="3026"/>
    <x v="62"/>
    <x v="1"/>
    <x v="9"/>
    <x v="4"/>
    <x v="2"/>
    <x v="12"/>
    <x v="2977"/>
    <x v="1"/>
    <x v="3"/>
  </r>
  <r>
    <x v="3027"/>
    <x v="33"/>
    <x v="0"/>
    <x v="3"/>
    <x v="8"/>
    <x v="1"/>
    <x v="8"/>
    <x v="2978"/>
    <x v="0"/>
    <x v="1"/>
  </r>
  <r>
    <x v="3028"/>
    <x v="88"/>
    <x v="1"/>
    <x v="7"/>
    <x v="1"/>
    <x v="0"/>
    <x v="1"/>
    <x v="2979"/>
    <x v="0"/>
    <x v="0"/>
  </r>
  <r>
    <x v="3029"/>
    <x v="52"/>
    <x v="0"/>
    <x v="5"/>
    <x v="1"/>
    <x v="1"/>
    <x v="13"/>
    <x v="2980"/>
    <x v="0"/>
    <x v="1"/>
  </r>
  <r>
    <x v="3030"/>
    <x v="69"/>
    <x v="1"/>
    <x v="8"/>
    <x v="1"/>
    <x v="2"/>
    <x v="1"/>
    <x v="2981"/>
    <x v="1"/>
    <x v="2"/>
  </r>
  <r>
    <x v="3031"/>
    <x v="48"/>
    <x v="0"/>
    <x v="2"/>
    <x v="9"/>
    <x v="1"/>
    <x v="7"/>
    <x v="2982"/>
    <x v="1"/>
    <x v="0"/>
  </r>
  <r>
    <x v="3032"/>
    <x v="66"/>
    <x v="0"/>
    <x v="5"/>
    <x v="1"/>
    <x v="1"/>
    <x v="14"/>
    <x v="2983"/>
    <x v="0"/>
    <x v="2"/>
  </r>
  <r>
    <x v="3033"/>
    <x v="74"/>
    <x v="1"/>
    <x v="8"/>
    <x v="1"/>
    <x v="2"/>
    <x v="13"/>
    <x v="2984"/>
    <x v="0"/>
    <x v="2"/>
  </r>
  <r>
    <x v="3034"/>
    <x v="89"/>
    <x v="1"/>
    <x v="4"/>
    <x v="0"/>
    <x v="2"/>
    <x v="7"/>
    <x v="2985"/>
    <x v="0"/>
    <x v="4"/>
  </r>
  <r>
    <x v="3035"/>
    <x v="43"/>
    <x v="0"/>
    <x v="6"/>
    <x v="5"/>
    <x v="2"/>
    <x v="0"/>
    <x v="2986"/>
    <x v="1"/>
    <x v="4"/>
  </r>
  <r>
    <x v="3036"/>
    <x v="25"/>
    <x v="1"/>
    <x v="6"/>
    <x v="1"/>
    <x v="0"/>
    <x v="10"/>
    <x v="2987"/>
    <x v="0"/>
    <x v="1"/>
  </r>
  <r>
    <x v="3037"/>
    <x v="72"/>
    <x v="1"/>
    <x v="1"/>
    <x v="0"/>
    <x v="1"/>
    <x v="6"/>
    <x v="2988"/>
    <x v="0"/>
    <x v="2"/>
  </r>
  <r>
    <x v="3038"/>
    <x v="76"/>
    <x v="0"/>
    <x v="6"/>
    <x v="5"/>
    <x v="0"/>
    <x v="6"/>
    <x v="2989"/>
    <x v="0"/>
    <x v="2"/>
  </r>
  <r>
    <x v="3039"/>
    <x v="4"/>
    <x v="0"/>
    <x v="1"/>
    <x v="1"/>
    <x v="2"/>
    <x v="5"/>
    <x v="2990"/>
    <x v="1"/>
    <x v="0"/>
  </r>
  <r>
    <x v="3040"/>
    <x v="82"/>
    <x v="1"/>
    <x v="1"/>
    <x v="8"/>
    <x v="2"/>
    <x v="6"/>
    <x v="2991"/>
    <x v="0"/>
    <x v="4"/>
  </r>
  <r>
    <x v="3041"/>
    <x v="57"/>
    <x v="0"/>
    <x v="5"/>
    <x v="1"/>
    <x v="1"/>
    <x v="0"/>
    <x v="2992"/>
    <x v="1"/>
    <x v="0"/>
  </r>
  <r>
    <x v="3042"/>
    <x v="61"/>
    <x v="0"/>
    <x v="0"/>
    <x v="3"/>
    <x v="0"/>
    <x v="2"/>
    <x v="2993"/>
    <x v="1"/>
    <x v="3"/>
  </r>
  <r>
    <x v="3043"/>
    <x v="49"/>
    <x v="0"/>
    <x v="1"/>
    <x v="8"/>
    <x v="0"/>
    <x v="9"/>
    <x v="2994"/>
    <x v="0"/>
    <x v="3"/>
  </r>
  <r>
    <x v="3044"/>
    <x v="51"/>
    <x v="1"/>
    <x v="1"/>
    <x v="6"/>
    <x v="1"/>
    <x v="0"/>
    <x v="2995"/>
    <x v="0"/>
    <x v="1"/>
  </r>
  <r>
    <x v="3045"/>
    <x v="79"/>
    <x v="1"/>
    <x v="6"/>
    <x v="1"/>
    <x v="2"/>
    <x v="14"/>
    <x v="2996"/>
    <x v="1"/>
    <x v="0"/>
  </r>
  <r>
    <x v="3046"/>
    <x v="67"/>
    <x v="1"/>
    <x v="1"/>
    <x v="8"/>
    <x v="0"/>
    <x v="12"/>
    <x v="2997"/>
    <x v="1"/>
    <x v="2"/>
  </r>
  <r>
    <x v="3047"/>
    <x v="29"/>
    <x v="0"/>
    <x v="4"/>
    <x v="2"/>
    <x v="2"/>
    <x v="9"/>
    <x v="2998"/>
    <x v="1"/>
    <x v="2"/>
  </r>
  <r>
    <x v="3048"/>
    <x v="80"/>
    <x v="1"/>
    <x v="6"/>
    <x v="4"/>
    <x v="1"/>
    <x v="7"/>
    <x v="2999"/>
    <x v="1"/>
    <x v="3"/>
  </r>
  <r>
    <x v="3049"/>
    <x v="63"/>
    <x v="1"/>
    <x v="9"/>
    <x v="9"/>
    <x v="0"/>
    <x v="14"/>
    <x v="3000"/>
    <x v="0"/>
    <x v="3"/>
  </r>
  <r>
    <x v="3050"/>
    <x v="8"/>
    <x v="1"/>
    <x v="9"/>
    <x v="8"/>
    <x v="1"/>
    <x v="2"/>
    <x v="3001"/>
    <x v="1"/>
    <x v="4"/>
  </r>
  <r>
    <x v="3051"/>
    <x v="14"/>
    <x v="0"/>
    <x v="7"/>
    <x v="2"/>
    <x v="1"/>
    <x v="7"/>
    <x v="3002"/>
    <x v="1"/>
    <x v="3"/>
  </r>
  <r>
    <x v="3052"/>
    <x v="7"/>
    <x v="0"/>
    <x v="9"/>
    <x v="4"/>
    <x v="1"/>
    <x v="12"/>
    <x v="3003"/>
    <x v="0"/>
    <x v="4"/>
  </r>
  <r>
    <x v="3053"/>
    <x v="68"/>
    <x v="1"/>
    <x v="2"/>
    <x v="7"/>
    <x v="2"/>
    <x v="1"/>
    <x v="3004"/>
    <x v="1"/>
    <x v="0"/>
  </r>
  <r>
    <x v="3054"/>
    <x v="15"/>
    <x v="1"/>
    <x v="1"/>
    <x v="3"/>
    <x v="0"/>
    <x v="9"/>
    <x v="3005"/>
    <x v="0"/>
    <x v="4"/>
  </r>
  <r>
    <x v="3055"/>
    <x v="60"/>
    <x v="1"/>
    <x v="1"/>
    <x v="5"/>
    <x v="2"/>
    <x v="3"/>
    <x v="3006"/>
    <x v="1"/>
    <x v="2"/>
  </r>
  <r>
    <x v="3056"/>
    <x v="18"/>
    <x v="0"/>
    <x v="6"/>
    <x v="3"/>
    <x v="0"/>
    <x v="9"/>
    <x v="3007"/>
    <x v="1"/>
    <x v="2"/>
  </r>
  <r>
    <x v="3057"/>
    <x v="20"/>
    <x v="1"/>
    <x v="2"/>
    <x v="1"/>
    <x v="0"/>
    <x v="14"/>
    <x v="3008"/>
    <x v="0"/>
    <x v="0"/>
  </r>
  <r>
    <x v="3058"/>
    <x v="29"/>
    <x v="0"/>
    <x v="9"/>
    <x v="8"/>
    <x v="2"/>
    <x v="14"/>
    <x v="3009"/>
    <x v="1"/>
    <x v="1"/>
  </r>
  <r>
    <x v="3059"/>
    <x v="86"/>
    <x v="0"/>
    <x v="2"/>
    <x v="5"/>
    <x v="2"/>
    <x v="7"/>
    <x v="3010"/>
    <x v="0"/>
    <x v="1"/>
  </r>
  <r>
    <x v="3060"/>
    <x v="82"/>
    <x v="0"/>
    <x v="7"/>
    <x v="9"/>
    <x v="1"/>
    <x v="6"/>
    <x v="2203"/>
    <x v="0"/>
    <x v="4"/>
  </r>
  <r>
    <x v="3061"/>
    <x v="65"/>
    <x v="1"/>
    <x v="1"/>
    <x v="2"/>
    <x v="2"/>
    <x v="2"/>
    <x v="3011"/>
    <x v="0"/>
    <x v="2"/>
  </r>
  <r>
    <x v="3062"/>
    <x v="41"/>
    <x v="1"/>
    <x v="5"/>
    <x v="7"/>
    <x v="1"/>
    <x v="6"/>
    <x v="3012"/>
    <x v="1"/>
    <x v="4"/>
  </r>
  <r>
    <x v="3063"/>
    <x v="25"/>
    <x v="1"/>
    <x v="2"/>
    <x v="5"/>
    <x v="1"/>
    <x v="3"/>
    <x v="3013"/>
    <x v="0"/>
    <x v="1"/>
  </r>
  <r>
    <x v="3064"/>
    <x v="53"/>
    <x v="0"/>
    <x v="0"/>
    <x v="1"/>
    <x v="0"/>
    <x v="10"/>
    <x v="3014"/>
    <x v="1"/>
    <x v="4"/>
  </r>
  <r>
    <x v="3065"/>
    <x v="30"/>
    <x v="0"/>
    <x v="3"/>
    <x v="2"/>
    <x v="0"/>
    <x v="8"/>
    <x v="3015"/>
    <x v="0"/>
    <x v="2"/>
  </r>
  <r>
    <x v="3066"/>
    <x v="44"/>
    <x v="0"/>
    <x v="4"/>
    <x v="6"/>
    <x v="2"/>
    <x v="8"/>
    <x v="3016"/>
    <x v="0"/>
    <x v="2"/>
  </r>
  <r>
    <x v="3067"/>
    <x v="6"/>
    <x v="1"/>
    <x v="6"/>
    <x v="9"/>
    <x v="1"/>
    <x v="8"/>
    <x v="3017"/>
    <x v="0"/>
    <x v="4"/>
  </r>
  <r>
    <x v="3068"/>
    <x v="76"/>
    <x v="1"/>
    <x v="4"/>
    <x v="7"/>
    <x v="0"/>
    <x v="0"/>
    <x v="1744"/>
    <x v="0"/>
    <x v="2"/>
  </r>
  <r>
    <x v="3069"/>
    <x v="78"/>
    <x v="1"/>
    <x v="9"/>
    <x v="2"/>
    <x v="0"/>
    <x v="14"/>
    <x v="3018"/>
    <x v="1"/>
    <x v="1"/>
  </r>
  <r>
    <x v="3070"/>
    <x v="20"/>
    <x v="1"/>
    <x v="6"/>
    <x v="4"/>
    <x v="2"/>
    <x v="8"/>
    <x v="3019"/>
    <x v="0"/>
    <x v="4"/>
  </r>
  <r>
    <x v="3071"/>
    <x v="60"/>
    <x v="1"/>
    <x v="5"/>
    <x v="8"/>
    <x v="1"/>
    <x v="8"/>
    <x v="3020"/>
    <x v="1"/>
    <x v="1"/>
  </r>
  <r>
    <x v="3072"/>
    <x v="86"/>
    <x v="0"/>
    <x v="7"/>
    <x v="4"/>
    <x v="0"/>
    <x v="4"/>
    <x v="3021"/>
    <x v="0"/>
    <x v="1"/>
  </r>
  <r>
    <x v="3073"/>
    <x v="22"/>
    <x v="0"/>
    <x v="4"/>
    <x v="1"/>
    <x v="0"/>
    <x v="11"/>
    <x v="3022"/>
    <x v="0"/>
    <x v="2"/>
  </r>
  <r>
    <x v="3074"/>
    <x v="59"/>
    <x v="0"/>
    <x v="8"/>
    <x v="3"/>
    <x v="0"/>
    <x v="12"/>
    <x v="3023"/>
    <x v="0"/>
    <x v="0"/>
  </r>
  <r>
    <x v="3075"/>
    <x v="64"/>
    <x v="0"/>
    <x v="4"/>
    <x v="0"/>
    <x v="2"/>
    <x v="12"/>
    <x v="3024"/>
    <x v="1"/>
    <x v="3"/>
  </r>
  <r>
    <x v="3076"/>
    <x v="44"/>
    <x v="0"/>
    <x v="5"/>
    <x v="7"/>
    <x v="1"/>
    <x v="2"/>
    <x v="3025"/>
    <x v="1"/>
    <x v="1"/>
  </r>
  <r>
    <x v="3077"/>
    <x v="35"/>
    <x v="1"/>
    <x v="6"/>
    <x v="2"/>
    <x v="1"/>
    <x v="3"/>
    <x v="3026"/>
    <x v="0"/>
    <x v="4"/>
  </r>
  <r>
    <x v="3078"/>
    <x v="65"/>
    <x v="1"/>
    <x v="1"/>
    <x v="6"/>
    <x v="2"/>
    <x v="6"/>
    <x v="3027"/>
    <x v="0"/>
    <x v="0"/>
  </r>
  <r>
    <x v="3079"/>
    <x v="45"/>
    <x v="0"/>
    <x v="9"/>
    <x v="2"/>
    <x v="2"/>
    <x v="14"/>
    <x v="3028"/>
    <x v="0"/>
    <x v="4"/>
  </r>
  <r>
    <x v="3080"/>
    <x v="31"/>
    <x v="0"/>
    <x v="2"/>
    <x v="2"/>
    <x v="2"/>
    <x v="4"/>
    <x v="3029"/>
    <x v="0"/>
    <x v="4"/>
  </r>
  <r>
    <x v="3081"/>
    <x v="17"/>
    <x v="1"/>
    <x v="5"/>
    <x v="3"/>
    <x v="1"/>
    <x v="8"/>
    <x v="3030"/>
    <x v="0"/>
    <x v="3"/>
  </r>
  <r>
    <x v="3082"/>
    <x v="77"/>
    <x v="1"/>
    <x v="5"/>
    <x v="4"/>
    <x v="1"/>
    <x v="14"/>
    <x v="3031"/>
    <x v="0"/>
    <x v="4"/>
  </r>
  <r>
    <x v="3083"/>
    <x v="71"/>
    <x v="1"/>
    <x v="2"/>
    <x v="0"/>
    <x v="0"/>
    <x v="1"/>
    <x v="3032"/>
    <x v="1"/>
    <x v="0"/>
  </r>
  <r>
    <x v="3084"/>
    <x v="37"/>
    <x v="0"/>
    <x v="2"/>
    <x v="8"/>
    <x v="0"/>
    <x v="5"/>
    <x v="3033"/>
    <x v="0"/>
    <x v="3"/>
  </r>
  <r>
    <x v="3085"/>
    <x v="9"/>
    <x v="0"/>
    <x v="0"/>
    <x v="0"/>
    <x v="2"/>
    <x v="5"/>
    <x v="3034"/>
    <x v="1"/>
    <x v="3"/>
  </r>
  <r>
    <x v="3086"/>
    <x v="14"/>
    <x v="1"/>
    <x v="4"/>
    <x v="5"/>
    <x v="0"/>
    <x v="1"/>
    <x v="3035"/>
    <x v="0"/>
    <x v="2"/>
  </r>
  <r>
    <x v="3087"/>
    <x v="42"/>
    <x v="0"/>
    <x v="4"/>
    <x v="1"/>
    <x v="2"/>
    <x v="5"/>
    <x v="3036"/>
    <x v="1"/>
    <x v="1"/>
  </r>
  <r>
    <x v="3088"/>
    <x v="54"/>
    <x v="1"/>
    <x v="9"/>
    <x v="0"/>
    <x v="2"/>
    <x v="4"/>
    <x v="3037"/>
    <x v="0"/>
    <x v="0"/>
  </r>
  <r>
    <x v="3089"/>
    <x v="45"/>
    <x v="0"/>
    <x v="2"/>
    <x v="2"/>
    <x v="2"/>
    <x v="1"/>
    <x v="3038"/>
    <x v="0"/>
    <x v="4"/>
  </r>
  <r>
    <x v="3090"/>
    <x v="10"/>
    <x v="0"/>
    <x v="1"/>
    <x v="0"/>
    <x v="2"/>
    <x v="13"/>
    <x v="3039"/>
    <x v="1"/>
    <x v="0"/>
  </r>
  <r>
    <x v="3091"/>
    <x v="59"/>
    <x v="1"/>
    <x v="8"/>
    <x v="7"/>
    <x v="2"/>
    <x v="0"/>
    <x v="3040"/>
    <x v="0"/>
    <x v="4"/>
  </r>
  <r>
    <x v="3092"/>
    <x v="9"/>
    <x v="0"/>
    <x v="6"/>
    <x v="5"/>
    <x v="1"/>
    <x v="11"/>
    <x v="3041"/>
    <x v="0"/>
    <x v="3"/>
  </r>
  <r>
    <x v="3093"/>
    <x v="43"/>
    <x v="0"/>
    <x v="4"/>
    <x v="6"/>
    <x v="2"/>
    <x v="8"/>
    <x v="3042"/>
    <x v="1"/>
    <x v="3"/>
  </r>
  <r>
    <x v="3094"/>
    <x v="16"/>
    <x v="1"/>
    <x v="9"/>
    <x v="6"/>
    <x v="1"/>
    <x v="2"/>
    <x v="3043"/>
    <x v="0"/>
    <x v="0"/>
  </r>
  <r>
    <x v="3095"/>
    <x v="21"/>
    <x v="1"/>
    <x v="2"/>
    <x v="2"/>
    <x v="0"/>
    <x v="11"/>
    <x v="3044"/>
    <x v="1"/>
    <x v="2"/>
  </r>
  <r>
    <x v="3096"/>
    <x v="79"/>
    <x v="1"/>
    <x v="1"/>
    <x v="0"/>
    <x v="1"/>
    <x v="14"/>
    <x v="3045"/>
    <x v="1"/>
    <x v="4"/>
  </r>
  <r>
    <x v="3097"/>
    <x v="68"/>
    <x v="0"/>
    <x v="3"/>
    <x v="1"/>
    <x v="0"/>
    <x v="2"/>
    <x v="3046"/>
    <x v="0"/>
    <x v="3"/>
  </r>
  <r>
    <x v="3098"/>
    <x v="21"/>
    <x v="0"/>
    <x v="5"/>
    <x v="3"/>
    <x v="1"/>
    <x v="3"/>
    <x v="3047"/>
    <x v="0"/>
    <x v="4"/>
  </r>
  <r>
    <x v="3099"/>
    <x v="58"/>
    <x v="1"/>
    <x v="8"/>
    <x v="0"/>
    <x v="0"/>
    <x v="4"/>
    <x v="3048"/>
    <x v="1"/>
    <x v="4"/>
  </r>
  <r>
    <x v="3100"/>
    <x v="84"/>
    <x v="0"/>
    <x v="1"/>
    <x v="7"/>
    <x v="2"/>
    <x v="14"/>
    <x v="3049"/>
    <x v="1"/>
    <x v="2"/>
  </r>
  <r>
    <x v="3101"/>
    <x v="52"/>
    <x v="1"/>
    <x v="1"/>
    <x v="1"/>
    <x v="2"/>
    <x v="2"/>
    <x v="3050"/>
    <x v="0"/>
    <x v="3"/>
  </r>
  <r>
    <x v="3102"/>
    <x v="83"/>
    <x v="0"/>
    <x v="7"/>
    <x v="8"/>
    <x v="2"/>
    <x v="0"/>
    <x v="3051"/>
    <x v="1"/>
    <x v="0"/>
  </r>
  <r>
    <x v="3103"/>
    <x v="36"/>
    <x v="1"/>
    <x v="0"/>
    <x v="2"/>
    <x v="0"/>
    <x v="2"/>
    <x v="3052"/>
    <x v="0"/>
    <x v="3"/>
  </r>
  <r>
    <x v="3104"/>
    <x v="35"/>
    <x v="1"/>
    <x v="8"/>
    <x v="4"/>
    <x v="2"/>
    <x v="2"/>
    <x v="3053"/>
    <x v="1"/>
    <x v="2"/>
  </r>
  <r>
    <x v="3105"/>
    <x v="17"/>
    <x v="0"/>
    <x v="8"/>
    <x v="5"/>
    <x v="0"/>
    <x v="10"/>
    <x v="3054"/>
    <x v="1"/>
    <x v="0"/>
  </r>
  <r>
    <x v="3106"/>
    <x v="1"/>
    <x v="0"/>
    <x v="2"/>
    <x v="3"/>
    <x v="2"/>
    <x v="12"/>
    <x v="3055"/>
    <x v="0"/>
    <x v="4"/>
  </r>
  <r>
    <x v="3107"/>
    <x v="62"/>
    <x v="0"/>
    <x v="9"/>
    <x v="5"/>
    <x v="1"/>
    <x v="0"/>
    <x v="3056"/>
    <x v="0"/>
    <x v="1"/>
  </r>
  <r>
    <x v="3108"/>
    <x v="44"/>
    <x v="1"/>
    <x v="9"/>
    <x v="6"/>
    <x v="1"/>
    <x v="4"/>
    <x v="3057"/>
    <x v="1"/>
    <x v="2"/>
  </r>
  <r>
    <x v="3109"/>
    <x v="66"/>
    <x v="0"/>
    <x v="8"/>
    <x v="0"/>
    <x v="1"/>
    <x v="7"/>
    <x v="3058"/>
    <x v="0"/>
    <x v="3"/>
  </r>
  <r>
    <x v="3110"/>
    <x v="60"/>
    <x v="1"/>
    <x v="5"/>
    <x v="3"/>
    <x v="1"/>
    <x v="8"/>
    <x v="3059"/>
    <x v="1"/>
    <x v="0"/>
  </r>
  <r>
    <x v="3111"/>
    <x v="36"/>
    <x v="0"/>
    <x v="5"/>
    <x v="8"/>
    <x v="1"/>
    <x v="13"/>
    <x v="3060"/>
    <x v="1"/>
    <x v="0"/>
  </r>
  <r>
    <x v="3112"/>
    <x v="66"/>
    <x v="1"/>
    <x v="1"/>
    <x v="5"/>
    <x v="0"/>
    <x v="13"/>
    <x v="3061"/>
    <x v="1"/>
    <x v="0"/>
  </r>
  <r>
    <x v="3113"/>
    <x v="62"/>
    <x v="0"/>
    <x v="3"/>
    <x v="2"/>
    <x v="0"/>
    <x v="2"/>
    <x v="3062"/>
    <x v="1"/>
    <x v="1"/>
  </r>
  <r>
    <x v="3114"/>
    <x v="7"/>
    <x v="0"/>
    <x v="2"/>
    <x v="8"/>
    <x v="0"/>
    <x v="2"/>
    <x v="3063"/>
    <x v="0"/>
    <x v="3"/>
  </r>
  <r>
    <x v="3115"/>
    <x v="87"/>
    <x v="0"/>
    <x v="9"/>
    <x v="3"/>
    <x v="2"/>
    <x v="6"/>
    <x v="3064"/>
    <x v="1"/>
    <x v="3"/>
  </r>
  <r>
    <x v="3116"/>
    <x v="21"/>
    <x v="0"/>
    <x v="6"/>
    <x v="4"/>
    <x v="1"/>
    <x v="14"/>
    <x v="3065"/>
    <x v="1"/>
    <x v="4"/>
  </r>
  <r>
    <x v="3117"/>
    <x v="18"/>
    <x v="1"/>
    <x v="0"/>
    <x v="5"/>
    <x v="2"/>
    <x v="10"/>
    <x v="3066"/>
    <x v="1"/>
    <x v="2"/>
  </r>
  <r>
    <x v="3118"/>
    <x v="62"/>
    <x v="0"/>
    <x v="6"/>
    <x v="7"/>
    <x v="2"/>
    <x v="13"/>
    <x v="3067"/>
    <x v="1"/>
    <x v="3"/>
  </r>
  <r>
    <x v="3119"/>
    <x v="51"/>
    <x v="0"/>
    <x v="7"/>
    <x v="0"/>
    <x v="2"/>
    <x v="5"/>
    <x v="3068"/>
    <x v="1"/>
    <x v="2"/>
  </r>
  <r>
    <x v="3120"/>
    <x v="46"/>
    <x v="0"/>
    <x v="8"/>
    <x v="8"/>
    <x v="1"/>
    <x v="8"/>
    <x v="3069"/>
    <x v="1"/>
    <x v="2"/>
  </r>
  <r>
    <x v="3121"/>
    <x v="11"/>
    <x v="1"/>
    <x v="1"/>
    <x v="6"/>
    <x v="1"/>
    <x v="9"/>
    <x v="3070"/>
    <x v="1"/>
    <x v="4"/>
  </r>
  <r>
    <x v="3122"/>
    <x v="21"/>
    <x v="0"/>
    <x v="1"/>
    <x v="9"/>
    <x v="2"/>
    <x v="2"/>
    <x v="3071"/>
    <x v="0"/>
    <x v="4"/>
  </r>
  <r>
    <x v="3123"/>
    <x v="31"/>
    <x v="1"/>
    <x v="6"/>
    <x v="0"/>
    <x v="1"/>
    <x v="9"/>
    <x v="3072"/>
    <x v="0"/>
    <x v="2"/>
  </r>
  <r>
    <x v="3124"/>
    <x v="70"/>
    <x v="0"/>
    <x v="1"/>
    <x v="5"/>
    <x v="2"/>
    <x v="4"/>
    <x v="3073"/>
    <x v="1"/>
    <x v="1"/>
  </r>
  <r>
    <x v="3125"/>
    <x v="49"/>
    <x v="1"/>
    <x v="4"/>
    <x v="5"/>
    <x v="2"/>
    <x v="1"/>
    <x v="3074"/>
    <x v="1"/>
    <x v="1"/>
  </r>
  <r>
    <x v="3126"/>
    <x v="30"/>
    <x v="1"/>
    <x v="0"/>
    <x v="6"/>
    <x v="2"/>
    <x v="2"/>
    <x v="3075"/>
    <x v="0"/>
    <x v="0"/>
  </r>
  <r>
    <x v="3127"/>
    <x v="62"/>
    <x v="1"/>
    <x v="1"/>
    <x v="7"/>
    <x v="1"/>
    <x v="10"/>
    <x v="3076"/>
    <x v="0"/>
    <x v="4"/>
  </r>
  <r>
    <x v="3128"/>
    <x v="20"/>
    <x v="1"/>
    <x v="8"/>
    <x v="9"/>
    <x v="2"/>
    <x v="3"/>
    <x v="3077"/>
    <x v="0"/>
    <x v="4"/>
  </r>
  <r>
    <x v="3129"/>
    <x v="10"/>
    <x v="1"/>
    <x v="6"/>
    <x v="7"/>
    <x v="0"/>
    <x v="9"/>
    <x v="3078"/>
    <x v="0"/>
    <x v="2"/>
  </r>
  <r>
    <x v="3130"/>
    <x v="46"/>
    <x v="0"/>
    <x v="7"/>
    <x v="4"/>
    <x v="0"/>
    <x v="6"/>
    <x v="3079"/>
    <x v="0"/>
    <x v="2"/>
  </r>
  <r>
    <x v="3131"/>
    <x v="32"/>
    <x v="1"/>
    <x v="9"/>
    <x v="9"/>
    <x v="2"/>
    <x v="14"/>
    <x v="3080"/>
    <x v="1"/>
    <x v="0"/>
  </r>
  <r>
    <x v="3132"/>
    <x v="83"/>
    <x v="1"/>
    <x v="9"/>
    <x v="1"/>
    <x v="0"/>
    <x v="9"/>
    <x v="3081"/>
    <x v="0"/>
    <x v="1"/>
  </r>
  <r>
    <x v="3133"/>
    <x v="55"/>
    <x v="1"/>
    <x v="4"/>
    <x v="7"/>
    <x v="2"/>
    <x v="10"/>
    <x v="3082"/>
    <x v="0"/>
    <x v="1"/>
  </r>
  <r>
    <x v="3134"/>
    <x v="60"/>
    <x v="1"/>
    <x v="6"/>
    <x v="4"/>
    <x v="0"/>
    <x v="4"/>
    <x v="3083"/>
    <x v="1"/>
    <x v="0"/>
  </r>
  <r>
    <x v="3135"/>
    <x v="4"/>
    <x v="0"/>
    <x v="1"/>
    <x v="7"/>
    <x v="1"/>
    <x v="11"/>
    <x v="3084"/>
    <x v="1"/>
    <x v="3"/>
  </r>
  <r>
    <x v="3136"/>
    <x v="43"/>
    <x v="0"/>
    <x v="8"/>
    <x v="7"/>
    <x v="0"/>
    <x v="5"/>
    <x v="3085"/>
    <x v="0"/>
    <x v="1"/>
  </r>
  <r>
    <x v="3137"/>
    <x v="89"/>
    <x v="1"/>
    <x v="0"/>
    <x v="0"/>
    <x v="2"/>
    <x v="1"/>
    <x v="3086"/>
    <x v="0"/>
    <x v="3"/>
  </r>
  <r>
    <x v="3138"/>
    <x v="9"/>
    <x v="0"/>
    <x v="8"/>
    <x v="5"/>
    <x v="0"/>
    <x v="2"/>
    <x v="3087"/>
    <x v="0"/>
    <x v="4"/>
  </r>
  <r>
    <x v="3139"/>
    <x v="14"/>
    <x v="0"/>
    <x v="0"/>
    <x v="1"/>
    <x v="2"/>
    <x v="13"/>
    <x v="3088"/>
    <x v="1"/>
    <x v="2"/>
  </r>
  <r>
    <x v="3140"/>
    <x v="82"/>
    <x v="1"/>
    <x v="9"/>
    <x v="6"/>
    <x v="1"/>
    <x v="14"/>
    <x v="3089"/>
    <x v="1"/>
    <x v="1"/>
  </r>
  <r>
    <x v="3141"/>
    <x v="1"/>
    <x v="1"/>
    <x v="5"/>
    <x v="6"/>
    <x v="1"/>
    <x v="13"/>
    <x v="3090"/>
    <x v="1"/>
    <x v="3"/>
  </r>
  <r>
    <x v="3142"/>
    <x v="26"/>
    <x v="1"/>
    <x v="2"/>
    <x v="4"/>
    <x v="2"/>
    <x v="1"/>
    <x v="3091"/>
    <x v="0"/>
    <x v="2"/>
  </r>
  <r>
    <x v="3143"/>
    <x v="79"/>
    <x v="1"/>
    <x v="3"/>
    <x v="0"/>
    <x v="1"/>
    <x v="0"/>
    <x v="3092"/>
    <x v="0"/>
    <x v="1"/>
  </r>
  <r>
    <x v="3144"/>
    <x v="6"/>
    <x v="1"/>
    <x v="9"/>
    <x v="5"/>
    <x v="1"/>
    <x v="8"/>
    <x v="3093"/>
    <x v="0"/>
    <x v="2"/>
  </r>
  <r>
    <x v="3145"/>
    <x v="67"/>
    <x v="1"/>
    <x v="0"/>
    <x v="6"/>
    <x v="1"/>
    <x v="6"/>
    <x v="3094"/>
    <x v="1"/>
    <x v="0"/>
  </r>
  <r>
    <x v="3146"/>
    <x v="8"/>
    <x v="0"/>
    <x v="9"/>
    <x v="7"/>
    <x v="1"/>
    <x v="10"/>
    <x v="3095"/>
    <x v="1"/>
    <x v="1"/>
  </r>
  <r>
    <x v="3147"/>
    <x v="28"/>
    <x v="0"/>
    <x v="2"/>
    <x v="6"/>
    <x v="0"/>
    <x v="5"/>
    <x v="3096"/>
    <x v="0"/>
    <x v="3"/>
  </r>
  <r>
    <x v="3148"/>
    <x v="46"/>
    <x v="1"/>
    <x v="6"/>
    <x v="5"/>
    <x v="1"/>
    <x v="1"/>
    <x v="3097"/>
    <x v="0"/>
    <x v="2"/>
  </r>
  <r>
    <x v="3149"/>
    <x v="3"/>
    <x v="1"/>
    <x v="3"/>
    <x v="6"/>
    <x v="0"/>
    <x v="2"/>
    <x v="3098"/>
    <x v="1"/>
    <x v="2"/>
  </r>
  <r>
    <x v="3150"/>
    <x v="14"/>
    <x v="0"/>
    <x v="5"/>
    <x v="0"/>
    <x v="2"/>
    <x v="14"/>
    <x v="3099"/>
    <x v="0"/>
    <x v="1"/>
  </r>
  <r>
    <x v="3151"/>
    <x v="75"/>
    <x v="0"/>
    <x v="7"/>
    <x v="6"/>
    <x v="1"/>
    <x v="13"/>
    <x v="3100"/>
    <x v="0"/>
    <x v="0"/>
  </r>
  <r>
    <x v="3152"/>
    <x v="69"/>
    <x v="0"/>
    <x v="8"/>
    <x v="2"/>
    <x v="2"/>
    <x v="9"/>
    <x v="326"/>
    <x v="0"/>
    <x v="1"/>
  </r>
  <r>
    <x v="3153"/>
    <x v="72"/>
    <x v="0"/>
    <x v="4"/>
    <x v="2"/>
    <x v="0"/>
    <x v="8"/>
    <x v="3101"/>
    <x v="1"/>
    <x v="0"/>
  </r>
  <r>
    <x v="3154"/>
    <x v="41"/>
    <x v="0"/>
    <x v="0"/>
    <x v="3"/>
    <x v="1"/>
    <x v="5"/>
    <x v="3102"/>
    <x v="0"/>
    <x v="0"/>
  </r>
  <r>
    <x v="3155"/>
    <x v="49"/>
    <x v="1"/>
    <x v="8"/>
    <x v="5"/>
    <x v="2"/>
    <x v="13"/>
    <x v="3103"/>
    <x v="0"/>
    <x v="3"/>
  </r>
  <r>
    <x v="3156"/>
    <x v="89"/>
    <x v="0"/>
    <x v="0"/>
    <x v="3"/>
    <x v="0"/>
    <x v="10"/>
    <x v="3104"/>
    <x v="1"/>
    <x v="3"/>
  </r>
  <r>
    <x v="3157"/>
    <x v="36"/>
    <x v="0"/>
    <x v="0"/>
    <x v="3"/>
    <x v="2"/>
    <x v="5"/>
    <x v="3105"/>
    <x v="1"/>
    <x v="2"/>
  </r>
  <r>
    <x v="3158"/>
    <x v="67"/>
    <x v="1"/>
    <x v="5"/>
    <x v="5"/>
    <x v="1"/>
    <x v="2"/>
    <x v="3106"/>
    <x v="1"/>
    <x v="4"/>
  </r>
  <r>
    <x v="3159"/>
    <x v="6"/>
    <x v="0"/>
    <x v="9"/>
    <x v="9"/>
    <x v="1"/>
    <x v="8"/>
    <x v="3107"/>
    <x v="0"/>
    <x v="1"/>
  </r>
  <r>
    <x v="3160"/>
    <x v="60"/>
    <x v="0"/>
    <x v="2"/>
    <x v="8"/>
    <x v="0"/>
    <x v="2"/>
    <x v="3108"/>
    <x v="1"/>
    <x v="1"/>
  </r>
  <r>
    <x v="3161"/>
    <x v="22"/>
    <x v="1"/>
    <x v="2"/>
    <x v="5"/>
    <x v="0"/>
    <x v="13"/>
    <x v="3109"/>
    <x v="0"/>
    <x v="1"/>
  </r>
  <r>
    <x v="3162"/>
    <x v="13"/>
    <x v="1"/>
    <x v="9"/>
    <x v="0"/>
    <x v="2"/>
    <x v="12"/>
    <x v="3110"/>
    <x v="1"/>
    <x v="2"/>
  </r>
  <r>
    <x v="3163"/>
    <x v="83"/>
    <x v="1"/>
    <x v="9"/>
    <x v="2"/>
    <x v="1"/>
    <x v="14"/>
    <x v="3111"/>
    <x v="1"/>
    <x v="0"/>
  </r>
  <r>
    <x v="3164"/>
    <x v="73"/>
    <x v="1"/>
    <x v="0"/>
    <x v="5"/>
    <x v="1"/>
    <x v="4"/>
    <x v="3112"/>
    <x v="0"/>
    <x v="4"/>
  </r>
  <r>
    <x v="3165"/>
    <x v="74"/>
    <x v="0"/>
    <x v="9"/>
    <x v="8"/>
    <x v="2"/>
    <x v="0"/>
    <x v="3113"/>
    <x v="1"/>
    <x v="0"/>
  </r>
  <r>
    <x v="3166"/>
    <x v="82"/>
    <x v="0"/>
    <x v="9"/>
    <x v="6"/>
    <x v="0"/>
    <x v="14"/>
    <x v="3114"/>
    <x v="1"/>
    <x v="2"/>
  </r>
  <r>
    <x v="3167"/>
    <x v="72"/>
    <x v="0"/>
    <x v="7"/>
    <x v="8"/>
    <x v="0"/>
    <x v="9"/>
    <x v="3115"/>
    <x v="1"/>
    <x v="4"/>
  </r>
  <r>
    <x v="3168"/>
    <x v="77"/>
    <x v="1"/>
    <x v="9"/>
    <x v="4"/>
    <x v="2"/>
    <x v="5"/>
    <x v="3116"/>
    <x v="0"/>
    <x v="2"/>
  </r>
  <r>
    <x v="3169"/>
    <x v="29"/>
    <x v="1"/>
    <x v="3"/>
    <x v="4"/>
    <x v="1"/>
    <x v="14"/>
    <x v="3117"/>
    <x v="1"/>
    <x v="4"/>
  </r>
  <r>
    <x v="3170"/>
    <x v="56"/>
    <x v="1"/>
    <x v="7"/>
    <x v="3"/>
    <x v="2"/>
    <x v="10"/>
    <x v="3118"/>
    <x v="1"/>
    <x v="4"/>
  </r>
  <r>
    <x v="3171"/>
    <x v="80"/>
    <x v="0"/>
    <x v="4"/>
    <x v="7"/>
    <x v="0"/>
    <x v="13"/>
    <x v="3119"/>
    <x v="0"/>
    <x v="4"/>
  </r>
  <r>
    <x v="3172"/>
    <x v="5"/>
    <x v="1"/>
    <x v="3"/>
    <x v="6"/>
    <x v="1"/>
    <x v="9"/>
    <x v="3120"/>
    <x v="0"/>
    <x v="3"/>
  </r>
  <r>
    <x v="3173"/>
    <x v="2"/>
    <x v="0"/>
    <x v="1"/>
    <x v="5"/>
    <x v="2"/>
    <x v="1"/>
    <x v="3121"/>
    <x v="0"/>
    <x v="4"/>
  </r>
  <r>
    <x v="3174"/>
    <x v="61"/>
    <x v="0"/>
    <x v="2"/>
    <x v="6"/>
    <x v="2"/>
    <x v="8"/>
    <x v="3122"/>
    <x v="0"/>
    <x v="2"/>
  </r>
  <r>
    <x v="3175"/>
    <x v="39"/>
    <x v="1"/>
    <x v="4"/>
    <x v="6"/>
    <x v="1"/>
    <x v="9"/>
    <x v="3123"/>
    <x v="0"/>
    <x v="0"/>
  </r>
  <r>
    <x v="3176"/>
    <x v="16"/>
    <x v="1"/>
    <x v="8"/>
    <x v="4"/>
    <x v="0"/>
    <x v="5"/>
    <x v="3124"/>
    <x v="1"/>
    <x v="0"/>
  </r>
  <r>
    <x v="3177"/>
    <x v="32"/>
    <x v="0"/>
    <x v="7"/>
    <x v="1"/>
    <x v="2"/>
    <x v="7"/>
    <x v="3125"/>
    <x v="1"/>
    <x v="1"/>
  </r>
  <r>
    <x v="3178"/>
    <x v="16"/>
    <x v="0"/>
    <x v="0"/>
    <x v="5"/>
    <x v="1"/>
    <x v="12"/>
    <x v="3126"/>
    <x v="0"/>
    <x v="0"/>
  </r>
  <r>
    <x v="3179"/>
    <x v="24"/>
    <x v="1"/>
    <x v="1"/>
    <x v="4"/>
    <x v="2"/>
    <x v="3"/>
    <x v="3127"/>
    <x v="1"/>
    <x v="2"/>
  </r>
  <r>
    <x v="3180"/>
    <x v="63"/>
    <x v="1"/>
    <x v="7"/>
    <x v="0"/>
    <x v="2"/>
    <x v="7"/>
    <x v="3128"/>
    <x v="0"/>
    <x v="4"/>
  </r>
  <r>
    <x v="3181"/>
    <x v="80"/>
    <x v="0"/>
    <x v="9"/>
    <x v="8"/>
    <x v="2"/>
    <x v="5"/>
    <x v="3129"/>
    <x v="1"/>
    <x v="2"/>
  </r>
  <r>
    <x v="3182"/>
    <x v="63"/>
    <x v="1"/>
    <x v="8"/>
    <x v="1"/>
    <x v="1"/>
    <x v="4"/>
    <x v="3130"/>
    <x v="1"/>
    <x v="3"/>
  </r>
  <r>
    <x v="3183"/>
    <x v="5"/>
    <x v="0"/>
    <x v="8"/>
    <x v="7"/>
    <x v="2"/>
    <x v="8"/>
    <x v="3131"/>
    <x v="1"/>
    <x v="2"/>
  </r>
  <r>
    <x v="3184"/>
    <x v="52"/>
    <x v="1"/>
    <x v="7"/>
    <x v="6"/>
    <x v="2"/>
    <x v="4"/>
    <x v="3132"/>
    <x v="0"/>
    <x v="2"/>
  </r>
  <r>
    <x v="3185"/>
    <x v="0"/>
    <x v="1"/>
    <x v="3"/>
    <x v="2"/>
    <x v="2"/>
    <x v="7"/>
    <x v="3133"/>
    <x v="0"/>
    <x v="3"/>
  </r>
  <r>
    <x v="3186"/>
    <x v="51"/>
    <x v="1"/>
    <x v="6"/>
    <x v="5"/>
    <x v="1"/>
    <x v="0"/>
    <x v="3134"/>
    <x v="0"/>
    <x v="2"/>
  </r>
  <r>
    <x v="3187"/>
    <x v="66"/>
    <x v="1"/>
    <x v="5"/>
    <x v="0"/>
    <x v="0"/>
    <x v="10"/>
    <x v="3135"/>
    <x v="1"/>
    <x v="2"/>
  </r>
  <r>
    <x v="3188"/>
    <x v="3"/>
    <x v="1"/>
    <x v="2"/>
    <x v="1"/>
    <x v="0"/>
    <x v="2"/>
    <x v="3136"/>
    <x v="1"/>
    <x v="4"/>
  </r>
  <r>
    <x v="3189"/>
    <x v="17"/>
    <x v="0"/>
    <x v="3"/>
    <x v="0"/>
    <x v="2"/>
    <x v="13"/>
    <x v="3137"/>
    <x v="1"/>
    <x v="3"/>
  </r>
  <r>
    <x v="3190"/>
    <x v="20"/>
    <x v="0"/>
    <x v="1"/>
    <x v="7"/>
    <x v="2"/>
    <x v="13"/>
    <x v="3138"/>
    <x v="1"/>
    <x v="1"/>
  </r>
  <r>
    <x v="3191"/>
    <x v="72"/>
    <x v="1"/>
    <x v="2"/>
    <x v="7"/>
    <x v="0"/>
    <x v="6"/>
    <x v="3139"/>
    <x v="1"/>
    <x v="2"/>
  </r>
  <r>
    <x v="3192"/>
    <x v="51"/>
    <x v="0"/>
    <x v="1"/>
    <x v="0"/>
    <x v="1"/>
    <x v="12"/>
    <x v="3140"/>
    <x v="1"/>
    <x v="0"/>
  </r>
  <r>
    <x v="3193"/>
    <x v="53"/>
    <x v="0"/>
    <x v="6"/>
    <x v="2"/>
    <x v="0"/>
    <x v="8"/>
    <x v="3141"/>
    <x v="0"/>
    <x v="1"/>
  </r>
  <r>
    <x v="3194"/>
    <x v="3"/>
    <x v="0"/>
    <x v="6"/>
    <x v="1"/>
    <x v="1"/>
    <x v="7"/>
    <x v="3142"/>
    <x v="0"/>
    <x v="3"/>
  </r>
  <r>
    <x v="3195"/>
    <x v="38"/>
    <x v="0"/>
    <x v="9"/>
    <x v="8"/>
    <x v="2"/>
    <x v="8"/>
    <x v="3143"/>
    <x v="0"/>
    <x v="2"/>
  </r>
  <r>
    <x v="3196"/>
    <x v="17"/>
    <x v="1"/>
    <x v="6"/>
    <x v="6"/>
    <x v="1"/>
    <x v="1"/>
    <x v="3144"/>
    <x v="0"/>
    <x v="2"/>
  </r>
  <r>
    <x v="3197"/>
    <x v="4"/>
    <x v="0"/>
    <x v="7"/>
    <x v="1"/>
    <x v="2"/>
    <x v="8"/>
    <x v="3145"/>
    <x v="1"/>
    <x v="3"/>
  </r>
  <r>
    <x v="3198"/>
    <x v="79"/>
    <x v="0"/>
    <x v="0"/>
    <x v="0"/>
    <x v="2"/>
    <x v="2"/>
    <x v="3146"/>
    <x v="0"/>
    <x v="2"/>
  </r>
  <r>
    <x v="3199"/>
    <x v="67"/>
    <x v="0"/>
    <x v="4"/>
    <x v="5"/>
    <x v="2"/>
    <x v="10"/>
    <x v="3147"/>
    <x v="0"/>
    <x v="4"/>
  </r>
  <r>
    <x v="3200"/>
    <x v="44"/>
    <x v="0"/>
    <x v="6"/>
    <x v="7"/>
    <x v="2"/>
    <x v="13"/>
    <x v="3148"/>
    <x v="0"/>
    <x v="1"/>
  </r>
  <r>
    <x v="3201"/>
    <x v="60"/>
    <x v="0"/>
    <x v="9"/>
    <x v="9"/>
    <x v="2"/>
    <x v="13"/>
    <x v="3149"/>
    <x v="1"/>
    <x v="0"/>
  </r>
  <r>
    <x v="3202"/>
    <x v="31"/>
    <x v="0"/>
    <x v="3"/>
    <x v="8"/>
    <x v="1"/>
    <x v="11"/>
    <x v="3150"/>
    <x v="0"/>
    <x v="3"/>
  </r>
  <r>
    <x v="3203"/>
    <x v="27"/>
    <x v="0"/>
    <x v="4"/>
    <x v="9"/>
    <x v="0"/>
    <x v="2"/>
    <x v="3151"/>
    <x v="0"/>
    <x v="0"/>
  </r>
  <r>
    <x v="3204"/>
    <x v="73"/>
    <x v="1"/>
    <x v="3"/>
    <x v="6"/>
    <x v="2"/>
    <x v="8"/>
    <x v="3152"/>
    <x v="0"/>
    <x v="0"/>
  </r>
  <r>
    <x v="3205"/>
    <x v="51"/>
    <x v="1"/>
    <x v="4"/>
    <x v="0"/>
    <x v="1"/>
    <x v="12"/>
    <x v="3153"/>
    <x v="0"/>
    <x v="2"/>
  </r>
  <r>
    <x v="3206"/>
    <x v="68"/>
    <x v="0"/>
    <x v="2"/>
    <x v="5"/>
    <x v="0"/>
    <x v="7"/>
    <x v="1622"/>
    <x v="1"/>
    <x v="0"/>
  </r>
  <r>
    <x v="3207"/>
    <x v="57"/>
    <x v="1"/>
    <x v="7"/>
    <x v="9"/>
    <x v="1"/>
    <x v="6"/>
    <x v="3154"/>
    <x v="1"/>
    <x v="1"/>
  </r>
  <r>
    <x v="3208"/>
    <x v="5"/>
    <x v="1"/>
    <x v="4"/>
    <x v="7"/>
    <x v="1"/>
    <x v="2"/>
    <x v="3155"/>
    <x v="0"/>
    <x v="1"/>
  </r>
  <r>
    <x v="3209"/>
    <x v="76"/>
    <x v="1"/>
    <x v="3"/>
    <x v="5"/>
    <x v="1"/>
    <x v="1"/>
    <x v="3156"/>
    <x v="0"/>
    <x v="1"/>
  </r>
  <r>
    <x v="3210"/>
    <x v="28"/>
    <x v="0"/>
    <x v="1"/>
    <x v="6"/>
    <x v="2"/>
    <x v="7"/>
    <x v="3157"/>
    <x v="1"/>
    <x v="1"/>
  </r>
  <r>
    <x v="3211"/>
    <x v="9"/>
    <x v="0"/>
    <x v="8"/>
    <x v="8"/>
    <x v="2"/>
    <x v="0"/>
    <x v="3158"/>
    <x v="1"/>
    <x v="0"/>
  </r>
  <r>
    <x v="3212"/>
    <x v="64"/>
    <x v="0"/>
    <x v="8"/>
    <x v="0"/>
    <x v="2"/>
    <x v="14"/>
    <x v="3159"/>
    <x v="1"/>
    <x v="4"/>
  </r>
  <r>
    <x v="3213"/>
    <x v="77"/>
    <x v="0"/>
    <x v="1"/>
    <x v="8"/>
    <x v="0"/>
    <x v="10"/>
    <x v="3160"/>
    <x v="0"/>
    <x v="4"/>
  </r>
  <r>
    <x v="3214"/>
    <x v="15"/>
    <x v="1"/>
    <x v="1"/>
    <x v="8"/>
    <x v="1"/>
    <x v="14"/>
    <x v="3161"/>
    <x v="0"/>
    <x v="0"/>
  </r>
  <r>
    <x v="3215"/>
    <x v="66"/>
    <x v="1"/>
    <x v="6"/>
    <x v="9"/>
    <x v="1"/>
    <x v="14"/>
    <x v="3162"/>
    <x v="0"/>
    <x v="2"/>
  </r>
  <r>
    <x v="3216"/>
    <x v="15"/>
    <x v="1"/>
    <x v="3"/>
    <x v="3"/>
    <x v="1"/>
    <x v="13"/>
    <x v="3163"/>
    <x v="1"/>
    <x v="4"/>
  </r>
  <r>
    <x v="3217"/>
    <x v="84"/>
    <x v="0"/>
    <x v="6"/>
    <x v="3"/>
    <x v="1"/>
    <x v="12"/>
    <x v="3164"/>
    <x v="1"/>
    <x v="4"/>
  </r>
  <r>
    <x v="3218"/>
    <x v="14"/>
    <x v="0"/>
    <x v="2"/>
    <x v="0"/>
    <x v="2"/>
    <x v="8"/>
    <x v="3165"/>
    <x v="1"/>
    <x v="0"/>
  </r>
  <r>
    <x v="3219"/>
    <x v="62"/>
    <x v="1"/>
    <x v="5"/>
    <x v="0"/>
    <x v="2"/>
    <x v="13"/>
    <x v="1526"/>
    <x v="0"/>
    <x v="3"/>
  </r>
  <r>
    <x v="3220"/>
    <x v="40"/>
    <x v="1"/>
    <x v="8"/>
    <x v="7"/>
    <x v="2"/>
    <x v="4"/>
    <x v="3166"/>
    <x v="1"/>
    <x v="1"/>
  </r>
  <r>
    <x v="3221"/>
    <x v="63"/>
    <x v="1"/>
    <x v="6"/>
    <x v="3"/>
    <x v="1"/>
    <x v="4"/>
    <x v="3167"/>
    <x v="0"/>
    <x v="4"/>
  </r>
  <r>
    <x v="3222"/>
    <x v="80"/>
    <x v="1"/>
    <x v="2"/>
    <x v="1"/>
    <x v="2"/>
    <x v="3"/>
    <x v="3168"/>
    <x v="1"/>
    <x v="3"/>
  </r>
  <r>
    <x v="3223"/>
    <x v="84"/>
    <x v="1"/>
    <x v="1"/>
    <x v="5"/>
    <x v="1"/>
    <x v="10"/>
    <x v="3169"/>
    <x v="1"/>
    <x v="4"/>
  </r>
  <r>
    <x v="3224"/>
    <x v="65"/>
    <x v="0"/>
    <x v="8"/>
    <x v="0"/>
    <x v="2"/>
    <x v="12"/>
    <x v="3170"/>
    <x v="1"/>
    <x v="1"/>
  </r>
  <r>
    <x v="3225"/>
    <x v="56"/>
    <x v="1"/>
    <x v="5"/>
    <x v="7"/>
    <x v="0"/>
    <x v="7"/>
    <x v="3171"/>
    <x v="0"/>
    <x v="4"/>
  </r>
  <r>
    <x v="3226"/>
    <x v="60"/>
    <x v="0"/>
    <x v="5"/>
    <x v="0"/>
    <x v="0"/>
    <x v="4"/>
    <x v="3172"/>
    <x v="1"/>
    <x v="0"/>
  </r>
  <r>
    <x v="3227"/>
    <x v="40"/>
    <x v="1"/>
    <x v="4"/>
    <x v="8"/>
    <x v="0"/>
    <x v="13"/>
    <x v="3173"/>
    <x v="1"/>
    <x v="0"/>
  </r>
  <r>
    <x v="3228"/>
    <x v="59"/>
    <x v="0"/>
    <x v="9"/>
    <x v="1"/>
    <x v="2"/>
    <x v="13"/>
    <x v="3174"/>
    <x v="1"/>
    <x v="1"/>
  </r>
  <r>
    <x v="3229"/>
    <x v="77"/>
    <x v="1"/>
    <x v="6"/>
    <x v="1"/>
    <x v="2"/>
    <x v="8"/>
    <x v="3175"/>
    <x v="0"/>
    <x v="1"/>
  </r>
  <r>
    <x v="3230"/>
    <x v="7"/>
    <x v="1"/>
    <x v="8"/>
    <x v="7"/>
    <x v="1"/>
    <x v="3"/>
    <x v="3176"/>
    <x v="0"/>
    <x v="4"/>
  </r>
  <r>
    <x v="3231"/>
    <x v="79"/>
    <x v="1"/>
    <x v="5"/>
    <x v="7"/>
    <x v="0"/>
    <x v="1"/>
    <x v="3177"/>
    <x v="1"/>
    <x v="4"/>
  </r>
  <r>
    <x v="3232"/>
    <x v="19"/>
    <x v="1"/>
    <x v="3"/>
    <x v="0"/>
    <x v="2"/>
    <x v="4"/>
    <x v="3178"/>
    <x v="0"/>
    <x v="3"/>
  </r>
  <r>
    <x v="3233"/>
    <x v="50"/>
    <x v="1"/>
    <x v="9"/>
    <x v="4"/>
    <x v="0"/>
    <x v="12"/>
    <x v="3179"/>
    <x v="0"/>
    <x v="1"/>
  </r>
  <r>
    <x v="3234"/>
    <x v="42"/>
    <x v="1"/>
    <x v="3"/>
    <x v="1"/>
    <x v="2"/>
    <x v="1"/>
    <x v="3180"/>
    <x v="0"/>
    <x v="0"/>
  </r>
  <r>
    <x v="3235"/>
    <x v="54"/>
    <x v="1"/>
    <x v="1"/>
    <x v="1"/>
    <x v="1"/>
    <x v="13"/>
    <x v="3181"/>
    <x v="1"/>
    <x v="2"/>
  </r>
  <r>
    <x v="3236"/>
    <x v="82"/>
    <x v="0"/>
    <x v="3"/>
    <x v="3"/>
    <x v="1"/>
    <x v="10"/>
    <x v="3182"/>
    <x v="0"/>
    <x v="4"/>
  </r>
  <r>
    <x v="3237"/>
    <x v="43"/>
    <x v="0"/>
    <x v="9"/>
    <x v="9"/>
    <x v="0"/>
    <x v="2"/>
    <x v="3183"/>
    <x v="0"/>
    <x v="0"/>
  </r>
  <r>
    <x v="3238"/>
    <x v="13"/>
    <x v="0"/>
    <x v="7"/>
    <x v="9"/>
    <x v="1"/>
    <x v="4"/>
    <x v="3184"/>
    <x v="0"/>
    <x v="0"/>
  </r>
  <r>
    <x v="3239"/>
    <x v="80"/>
    <x v="0"/>
    <x v="6"/>
    <x v="0"/>
    <x v="2"/>
    <x v="0"/>
    <x v="3185"/>
    <x v="1"/>
    <x v="1"/>
  </r>
  <r>
    <x v="3240"/>
    <x v="63"/>
    <x v="0"/>
    <x v="2"/>
    <x v="3"/>
    <x v="0"/>
    <x v="3"/>
    <x v="3186"/>
    <x v="1"/>
    <x v="0"/>
  </r>
  <r>
    <x v="3241"/>
    <x v="58"/>
    <x v="0"/>
    <x v="7"/>
    <x v="4"/>
    <x v="0"/>
    <x v="13"/>
    <x v="3187"/>
    <x v="1"/>
    <x v="1"/>
  </r>
  <r>
    <x v="3242"/>
    <x v="73"/>
    <x v="0"/>
    <x v="7"/>
    <x v="1"/>
    <x v="2"/>
    <x v="5"/>
    <x v="3188"/>
    <x v="0"/>
    <x v="4"/>
  </r>
  <r>
    <x v="3243"/>
    <x v="76"/>
    <x v="1"/>
    <x v="3"/>
    <x v="2"/>
    <x v="0"/>
    <x v="7"/>
    <x v="3189"/>
    <x v="0"/>
    <x v="4"/>
  </r>
  <r>
    <x v="3244"/>
    <x v="63"/>
    <x v="1"/>
    <x v="6"/>
    <x v="4"/>
    <x v="1"/>
    <x v="9"/>
    <x v="3190"/>
    <x v="1"/>
    <x v="2"/>
  </r>
  <r>
    <x v="3245"/>
    <x v="89"/>
    <x v="1"/>
    <x v="7"/>
    <x v="2"/>
    <x v="0"/>
    <x v="8"/>
    <x v="3191"/>
    <x v="0"/>
    <x v="3"/>
  </r>
  <r>
    <x v="3246"/>
    <x v="52"/>
    <x v="1"/>
    <x v="9"/>
    <x v="1"/>
    <x v="0"/>
    <x v="3"/>
    <x v="2965"/>
    <x v="1"/>
    <x v="2"/>
  </r>
  <r>
    <x v="3247"/>
    <x v="11"/>
    <x v="0"/>
    <x v="8"/>
    <x v="2"/>
    <x v="0"/>
    <x v="4"/>
    <x v="3192"/>
    <x v="1"/>
    <x v="3"/>
  </r>
  <r>
    <x v="3248"/>
    <x v="47"/>
    <x v="1"/>
    <x v="7"/>
    <x v="7"/>
    <x v="1"/>
    <x v="7"/>
    <x v="3193"/>
    <x v="1"/>
    <x v="1"/>
  </r>
  <r>
    <x v="3249"/>
    <x v="89"/>
    <x v="1"/>
    <x v="1"/>
    <x v="0"/>
    <x v="2"/>
    <x v="12"/>
    <x v="3194"/>
    <x v="1"/>
    <x v="1"/>
  </r>
  <r>
    <x v="3250"/>
    <x v="88"/>
    <x v="1"/>
    <x v="7"/>
    <x v="4"/>
    <x v="0"/>
    <x v="9"/>
    <x v="3195"/>
    <x v="1"/>
    <x v="0"/>
  </r>
  <r>
    <x v="3251"/>
    <x v="49"/>
    <x v="0"/>
    <x v="9"/>
    <x v="7"/>
    <x v="2"/>
    <x v="4"/>
    <x v="3196"/>
    <x v="0"/>
    <x v="3"/>
  </r>
  <r>
    <x v="3252"/>
    <x v="45"/>
    <x v="0"/>
    <x v="0"/>
    <x v="6"/>
    <x v="1"/>
    <x v="9"/>
    <x v="3197"/>
    <x v="1"/>
    <x v="2"/>
  </r>
  <r>
    <x v="3253"/>
    <x v="60"/>
    <x v="0"/>
    <x v="5"/>
    <x v="8"/>
    <x v="1"/>
    <x v="9"/>
    <x v="3198"/>
    <x v="0"/>
    <x v="0"/>
  </r>
  <r>
    <x v="3254"/>
    <x v="71"/>
    <x v="0"/>
    <x v="2"/>
    <x v="4"/>
    <x v="0"/>
    <x v="4"/>
    <x v="3199"/>
    <x v="0"/>
    <x v="1"/>
  </r>
  <r>
    <x v="3255"/>
    <x v="74"/>
    <x v="1"/>
    <x v="9"/>
    <x v="5"/>
    <x v="0"/>
    <x v="7"/>
    <x v="3200"/>
    <x v="1"/>
    <x v="2"/>
  </r>
  <r>
    <x v="3256"/>
    <x v="62"/>
    <x v="1"/>
    <x v="3"/>
    <x v="6"/>
    <x v="2"/>
    <x v="6"/>
    <x v="3201"/>
    <x v="1"/>
    <x v="2"/>
  </r>
  <r>
    <x v="3257"/>
    <x v="57"/>
    <x v="1"/>
    <x v="3"/>
    <x v="0"/>
    <x v="2"/>
    <x v="3"/>
    <x v="3202"/>
    <x v="1"/>
    <x v="4"/>
  </r>
  <r>
    <x v="3258"/>
    <x v="65"/>
    <x v="0"/>
    <x v="2"/>
    <x v="9"/>
    <x v="1"/>
    <x v="4"/>
    <x v="3203"/>
    <x v="0"/>
    <x v="1"/>
  </r>
  <r>
    <x v="3259"/>
    <x v="21"/>
    <x v="0"/>
    <x v="6"/>
    <x v="7"/>
    <x v="2"/>
    <x v="1"/>
    <x v="3204"/>
    <x v="1"/>
    <x v="4"/>
  </r>
  <r>
    <x v="3260"/>
    <x v="19"/>
    <x v="1"/>
    <x v="0"/>
    <x v="0"/>
    <x v="0"/>
    <x v="12"/>
    <x v="3205"/>
    <x v="1"/>
    <x v="3"/>
  </r>
  <r>
    <x v="3261"/>
    <x v="75"/>
    <x v="1"/>
    <x v="9"/>
    <x v="3"/>
    <x v="0"/>
    <x v="11"/>
    <x v="3206"/>
    <x v="1"/>
    <x v="3"/>
  </r>
  <r>
    <x v="3262"/>
    <x v="69"/>
    <x v="1"/>
    <x v="2"/>
    <x v="3"/>
    <x v="2"/>
    <x v="11"/>
    <x v="3207"/>
    <x v="0"/>
    <x v="2"/>
  </r>
  <r>
    <x v="3263"/>
    <x v="31"/>
    <x v="0"/>
    <x v="0"/>
    <x v="6"/>
    <x v="0"/>
    <x v="7"/>
    <x v="3208"/>
    <x v="1"/>
    <x v="4"/>
  </r>
  <r>
    <x v="3264"/>
    <x v="52"/>
    <x v="1"/>
    <x v="2"/>
    <x v="5"/>
    <x v="0"/>
    <x v="9"/>
    <x v="3209"/>
    <x v="1"/>
    <x v="1"/>
  </r>
  <r>
    <x v="3265"/>
    <x v="64"/>
    <x v="0"/>
    <x v="6"/>
    <x v="8"/>
    <x v="0"/>
    <x v="5"/>
    <x v="3210"/>
    <x v="1"/>
    <x v="2"/>
  </r>
  <r>
    <x v="3266"/>
    <x v="87"/>
    <x v="0"/>
    <x v="7"/>
    <x v="5"/>
    <x v="1"/>
    <x v="2"/>
    <x v="3211"/>
    <x v="1"/>
    <x v="0"/>
  </r>
  <r>
    <x v="3267"/>
    <x v="2"/>
    <x v="0"/>
    <x v="4"/>
    <x v="1"/>
    <x v="1"/>
    <x v="5"/>
    <x v="3212"/>
    <x v="0"/>
    <x v="1"/>
  </r>
  <r>
    <x v="3268"/>
    <x v="9"/>
    <x v="0"/>
    <x v="7"/>
    <x v="2"/>
    <x v="0"/>
    <x v="7"/>
    <x v="3213"/>
    <x v="1"/>
    <x v="2"/>
  </r>
  <r>
    <x v="3269"/>
    <x v="87"/>
    <x v="0"/>
    <x v="6"/>
    <x v="5"/>
    <x v="2"/>
    <x v="10"/>
    <x v="3214"/>
    <x v="0"/>
    <x v="0"/>
  </r>
  <r>
    <x v="3270"/>
    <x v="30"/>
    <x v="1"/>
    <x v="7"/>
    <x v="6"/>
    <x v="2"/>
    <x v="9"/>
    <x v="3215"/>
    <x v="0"/>
    <x v="1"/>
  </r>
  <r>
    <x v="3271"/>
    <x v="36"/>
    <x v="1"/>
    <x v="0"/>
    <x v="1"/>
    <x v="0"/>
    <x v="1"/>
    <x v="3216"/>
    <x v="0"/>
    <x v="2"/>
  </r>
  <r>
    <x v="3272"/>
    <x v="59"/>
    <x v="1"/>
    <x v="6"/>
    <x v="2"/>
    <x v="0"/>
    <x v="14"/>
    <x v="2230"/>
    <x v="0"/>
    <x v="3"/>
  </r>
  <r>
    <x v="3273"/>
    <x v="2"/>
    <x v="1"/>
    <x v="0"/>
    <x v="4"/>
    <x v="0"/>
    <x v="0"/>
    <x v="3217"/>
    <x v="1"/>
    <x v="2"/>
  </r>
  <r>
    <x v="3274"/>
    <x v="38"/>
    <x v="0"/>
    <x v="5"/>
    <x v="8"/>
    <x v="0"/>
    <x v="8"/>
    <x v="3218"/>
    <x v="1"/>
    <x v="3"/>
  </r>
  <r>
    <x v="3275"/>
    <x v="39"/>
    <x v="1"/>
    <x v="4"/>
    <x v="1"/>
    <x v="2"/>
    <x v="7"/>
    <x v="3219"/>
    <x v="1"/>
    <x v="4"/>
  </r>
  <r>
    <x v="3276"/>
    <x v="38"/>
    <x v="1"/>
    <x v="0"/>
    <x v="2"/>
    <x v="2"/>
    <x v="1"/>
    <x v="3220"/>
    <x v="1"/>
    <x v="2"/>
  </r>
  <r>
    <x v="3277"/>
    <x v="25"/>
    <x v="0"/>
    <x v="2"/>
    <x v="5"/>
    <x v="2"/>
    <x v="4"/>
    <x v="3221"/>
    <x v="0"/>
    <x v="2"/>
  </r>
  <r>
    <x v="3278"/>
    <x v="73"/>
    <x v="0"/>
    <x v="2"/>
    <x v="1"/>
    <x v="0"/>
    <x v="0"/>
    <x v="3222"/>
    <x v="1"/>
    <x v="0"/>
  </r>
  <r>
    <x v="3279"/>
    <x v="16"/>
    <x v="0"/>
    <x v="9"/>
    <x v="5"/>
    <x v="1"/>
    <x v="1"/>
    <x v="3223"/>
    <x v="0"/>
    <x v="2"/>
  </r>
  <r>
    <x v="3280"/>
    <x v="23"/>
    <x v="1"/>
    <x v="1"/>
    <x v="7"/>
    <x v="0"/>
    <x v="1"/>
    <x v="3224"/>
    <x v="0"/>
    <x v="2"/>
  </r>
  <r>
    <x v="3281"/>
    <x v="10"/>
    <x v="0"/>
    <x v="6"/>
    <x v="1"/>
    <x v="2"/>
    <x v="3"/>
    <x v="3225"/>
    <x v="0"/>
    <x v="4"/>
  </r>
  <r>
    <x v="3282"/>
    <x v="64"/>
    <x v="1"/>
    <x v="0"/>
    <x v="9"/>
    <x v="2"/>
    <x v="9"/>
    <x v="3226"/>
    <x v="0"/>
    <x v="4"/>
  </r>
  <r>
    <x v="3283"/>
    <x v="72"/>
    <x v="1"/>
    <x v="3"/>
    <x v="8"/>
    <x v="0"/>
    <x v="10"/>
    <x v="3227"/>
    <x v="1"/>
    <x v="0"/>
  </r>
  <r>
    <x v="3284"/>
    <x v="57"/>
    <x v="1"/>
    <x v="1"/>
    <x v="4"/>
    <x v="0"/>
    <x v="6"/>
    <x v="3228"/>
    <x v="0"/>
    <x v="0"/>
  </r>
  <r>
    <x v="3285"/>
    <x v="11"/>
    <x v="0"/>
    <x v="2"/>
    <x v="9"/>
    <x v="1"/>
    <x v="10"/>
    <x v="3229"/>
    <x v="0"/>
    <x v="0"/>
  </r>
  <r>
    <x v="3286"/>
    <x v="23"/>
    <x v="1"/>
    <x v="9"/>
    <x v="3"/>
    <x v="0"/>
    <x v="2"/>
    <x v="3230"/>
    <x v="1"/>
    <x v="0"/>
  </r>
  <r>
    <x v="3287"/>
    <x v="60"/>
    <x v="1"/>
    <x v="7"/>
    <x v="2"/>
    <x v="0"/>
    <x v="5"/>
    <x v="3231"/>
    <x v="0"/>
    <x v="1"/>
  </r>
  <r>
    <x v="3288"/>
    <x v="73"/>
    <x v="1"/>
    <x v="7"/>
    <x v="6"/>
    <x v="2"/>
    <x v="13"/>
    <x v="3232"/>
    <x v="0"/>
    <x v="3"/>
  </r>
  <r>
    <x v="3289"/>
    <x v="69"/>
    <x v="1"/>
    <x v="7"/>
    <x v="6"/>
    <x v="0"/>
    <x v="7"/>
    <x v="3233"/>
    <x v="0"/>
    <x v="0"/>
  </r>
  <r>
    <x v="3290"/>
    <x v="39"/>
    <x v="1"/>
    <x v="4"/>
    <x v="8"/>
    <x v="1"/>
    <x v="7"/>
    <x v="3234"/>
    <x v="0"/>
    <x v="1"/>
  </r>
  <r>
    <x v="3291"/>
    <x v="74"/>
    <x v="1"/>
    <x v="8"/>
    <x v="8"/>
    <x v="2"/>
    <x v="10"/>
    <x v="3235"/>
    <x v="0"/>
    <x v="3"/>
  </r>
  <r>
    <x v="3292"/>
    <x v="54"/>
    <x v="1"/>
    <x v="8"/>
    <x v="5"/>
    <x v="1"/>
    <x v="2"/>
    <x v="3236"/>
    <x v="1"/>
    <x v="1"/>
  </r>
  <r>
    <x v="3293"/>
    <x v="29"/>
    <x v="0"/>
    <x v="5"/>
    <x v="1"/>
    <x v="2"/>
    <x v="7"/>
    <x v="3237"/>
    <x v="0"/>
    <x v="0"/>
  </r>
  <r>
    <x v="3294"/>
    <x v="73"/>
    <x v="1"/>
    <x v="0"/>
    <x v="7"/>
    <x v="1"/>
    <x v="14"/>
    <x v="3238"/>
    <x v="0"/>
    <x v="4"/>
  </r>
  <r>
    <x v="3295"/>
    <x v="4"/>
    <x v="0"/>
    <x v="3"/>
    <x v="0"/>
    <x v="1"/>
    <x v="1"/>
    <x v="3239"/>
    <x v="0"/>
    <x v="1"/>
  </r>
  <r>
    <x v="3296"/>
    <x v="49"/>
    <x v="0"/>
    <x v="2"/>
    <x v="3"/>
    <x v="2"/>
    <x v="9"/>
    <x v="3240"/>
    <x v="0"/>
    <x v="1"/>
  </r>
  <r>
    <x v="3297"/>
    <x v="25"/>
    <x v="1"/>
    <x v="2"/>
    <x v="9"/>
    <x v="1"/>
    <x v="2"/>
    <x v="3241"/>
    <x v="1"/>
    <x v="3"/>
  </r>
  <r>
    <x v="3298"/>
    <x v="69"/>
    <x v="0"/>
    <x v="7"/>
    <x v="0"/>
    <x v="2"/>
    <x v="10"/>
    <x v="3242"/>
    <x v="0"/>
    <x v="0"/>
  </r>
  <r>
    <x v="3299"/>
    <x v="3"/>
    <x v="0"/>
    <x v="4"/>
    <x v="3"/>
    <x v="2"/>
    <x v="2"/>
    <x v="3243"/>
    <x v="1"/>
    <x v="0"/>
  </r>
  <r>
    <x v="3300"/>
    <x v="17"/>
    <x v="1"/>
    <x v="8"/>
    <x v="6"/>
    <x v="1"/>
    <x v="8"/>
    <x v="3244"/>
    <x v="1"/>
    <x v="4"/>
  </r>
  <r>
    <x v="3301"/>
    <x v="87"/>
    <x v="0"/>
    <x v="9"/>
    <x v="0"/>
    <x v="0"/>
    <x v="10"/>
    <x v="3245"/>
    <x v="1"/>
    <x v="1"/>
  </r>
  <r>
    <x v="3302"/>
    <x v="57"/>
    <x v="0"/>
    <x v="6"/>
    <x v="3"/>
    <x v="0"/>
    <x v="0"/>
    <x v="3246"/>
    <x v="0"/>
    <x v="1"/>
  </r>
  <r>
    <x v="3303"/>
    <x v="81"/>
    <x v="0"/>
    <x v="0"/>
    <x v="1"/>
    <x v="0"/>
    <x v="13"/>
    <x v="3247"/>
    <x v="1"/>
    <x v="3"/>
  </r>
  <r>
    <x v="3304"/>
    <x v="80"/>
    <x v="0"/>
    <x v="6"/>
    <x v="6"/>
    <x v="1"/>
    <x v="3"/>
    <x v="3248"/>
    <x v="1"/>
    <x v="0"/>
  </r>
  <r>
    <x v="3305"/>
    <x v="52"/>
    <x v="1"/>
    <x v="8"/>
    <x v="1"/>
    <x v="0"/>
    <x v="1"/>
    <x v="3249"/>
    <x v="0"/>
    <x v="0"/>
  </r>
  <r>
    <x v="3306"/>
    <x v="74"/>
    <x v="0"/>
    <x v="8"/>
    <x v="7"/>
    <x v="2"/>
    <x v="4"/>
    <x v="3250"/>
    <x v="0"/>
    <x v="1"/>
  </r>
  <r>
    <x v="3307"/>
    <x v="17"/>
    <x v="0"/>
    <x v="8"/>
    <x v="4"/>
    <x v="1"/>
    <x v="8"/>
    <x v="3251"/>
    <x v="0"/>
    <x v="1"/>
  </r>
  <r>
    <x v="3308"/>
    <x v="5"/>
    <x v="0"/>
    <x v="2"/>
    <x v="9"/>
    <x v="0"/>
    <x v="0"/>
    <x v="3252"/>
    <x v="0"/>
    <x v="2"/>
  </r>
  <r>
    <x v="3309"/>
    <x v="47"/>
    <x v="0"/>
    <x v="6"/>
    <x v="3"/>
    <x v="1"/>
    <x v="2"/>
    <x v="3253"/>
    <x v="0"/>
    <x v="3"/>
  </r>
  <r>
    <x v="3310"/>
    <x v="57"/>
    <x v="1"/>
    <x v="0"/>
    <x v="2"/>
    <x v="2"/>
    <x v="9"/>
    <x v="3254"/>
    <x v="1"/>
    <x v="1"/>
  </r>
  <r>
    <x v="3311"/>
    <x v="21"/>
    <x v="0"/>
    <x v="4"/>
    <x v="2"/>
    <x v="2"/>
    <x v="6"/>
    <x v="3255"/>
    <x v="0"/>
    <x v="3"/>
  </r>
  <r>
    <x v="3312"/>
    <x v="61"/>
    <x v="1"/>
    <x v="3"/>
    <x v="8"/>
    <x v="2"/>
    <x v="7"/>
    <x v="3256"/>
    <x v="1"/>
    <x v="3"/>
  </r>
  <r>
    <x v="3313"/>
    <x v="49"/>
    <x v="1"/>
    <x v="8"/>
    <x v="2"/>
    <x v="2"/>
    <x v="3"/>
    <x v="3257"/>
    <x v="1"/>
    <x v="2"/>
  </r>
  <r>
    <x v="3314"/>
    <x v="69"/>
    <x v="1"/>
    <x v="5"/>
    <x v="5"/>
    <x v="1"/>
    <x v="14"/>
    <x v="1973"/>
    <x v="0"/>
    <x v="3"/>
  </r>
  <r>
    <x v="3315"/>
    <x v="27"/>
    <x v="1"/>
    <x v="2"/>
    <x v="3"/>
    <x v="1"/>
    <x v="12"/>
    <x v="3258"/>
    <x v="1"/>
    <x v="1"/>
  </r>
  <r>
    <x v="3316"/>
    <x v="0"/>
    <x v="1"/>
    <x v="5"/>
    <x v="3"/>
    <x v="1"/>
    <x v="1"/>
    <x v="3259"/>
    <x v="0"/>
    <x v="4"/>
  </r>
  <r>
    <x v="3317"/>
    <x v="38"/>
    <x v="1"/>
    <x v="5"/>
    <x v="0"/>
    <x v="2"/>
    <x v="5"/>
    <x v="3260"/>
    <x v="1"/>
    <x v="2"/>
  </r>
  <r>
    <x v="3318"/>
    <x v="66"/>
    <x v="1"/>
    <x v="9"/>
    <x v="4"/>
    <x v="0"/>
    <x v="8"/>
    <x v="3261"/>
    <x v="0"/>
    <x v="2"/>
  </r>
  <r>
    <x v="3319"/>
    <x v="28"/>
    <x v="1"/>
    <x v="6"/>
    <x v="6"/>
    <x v="1"/>
    <x v="6"/>
    <x v="3262"/>
    <x v="0"/>
    <x v="1"/>
  </r>
  <r>
    <x v="3320"/>
    <x v="11"/>
    <x v="0"/>
    <x v="1"/>
    <x v="6"/>
    <x v="2"/>
    <x v="3"/>
    <x v="3263"/>
    <x v="1"/>
    <x v="4"/>
  </r>
  <r>
    <x v="3321"/>
    <x v="37"/>
    <x v="0"/>
    <x v="0"/>
    <x v="4"/>
    <x v="1"/>
    <x v="10"/>
    <x v="2737"/>
    <x v="0"/>
    <x v="0"/>
  </r>
  <r>
    <x v="3322"/>
    <x v="72"/>
    <x v="0"/>
    <x v="4"/>
    <x v="2"/>
    <x v="0"/>
    <x v="14"/>
    <x v="3264"/>
    <x v="0"/>
    <x v="2"/>
  </r>
  <r>
    <x v="3323"/>
    <x v="4"/>
    <x v="0"/>
    <x v="4"/>
    <x v="8"/>
    <x v="2"/>
    <x v="1"/>
    <x v="3265"/>
    <x v="1"/>
    <x v="0"/>
  </r>
  <r>
    <x v="3324"/>
    <x v="87"/>
    <x v="0"/>
    <x v="7"/>
    <x v="9"/>
    <x v="2"/>
    <x v="3"/>
    <x v="3266"/>
    <x v="1"/>
    <x v="1"/>
  </r>
  <r>
    <x v="3325"/>
    <x v="0"/>
    <x v="0"/>
    <x v="1"/>
    <x v="1"/>
    <x v="2"/>
    <x v="3"/>
    <x v="3267"/>
    <x v="0"/>
    <x v="0"/>
  </r>
  <r>
    <x v="3326"/>
    <x v="50"/>
    <x v="0"/>
    <x v="8"/>
    <x v="6"/>
    <x v="1"/>
    <x v="10"/>
    <x v="3268"/>
    <x v="0"/>
    <x v="2"/>
  </r>
  <r>
    <x v="3327"/>
    <x v="62"/>
    <x v="1"/>
    <x v="1"/>
    <x v="4"/>
    <x v="0"/>
    <x v="2"/>
    <x v="3269"/>
    <x v="0"/>
    <x v="0"/>
  </r>
  <r>
    <x v="3328"/>
    <x v="2"/>
    <x v="1"/>
    <x v="4"/>
    <x v="5"/>
    <x v="2"/>
    <x v="13"/>
    <x v="3270"/>
    <x v="0"/>
    <x v="2"/>
  </r>
  <r>
    <x v="3329"/>
    <x v="73"/>
    <x v="0"/>
    <x v="0"/>
    <x v="3"/>
    <x v="1"/>
    <x v="11"/>
    <x v="3271"/>
    <x v="0"/>
    <x v="2"/>
  </r>
  <r>
    <x v="3330"/>
    <x v="53"/>
    <x v="0"/>
    <x v="6"/>
    <x v="2"/>
    <x v="1"/>
    <x v="12"/>
    <x v="3272"/>
    <x v="0"/>
    <x v="2"/>
  </r>
  <r>
    <x v="3331"/>
    <x v="14"/>
    <x v="0"/>
    <x v="6"/>
    <x v="6"/>
    <x v="2"/>
    <x v="12"/>
    <x v="3273"/>
    <x v="0"/>
    <x v="3"/>
  </r>
  <r>
    <x v="3332"/>
    <x v="50"/>
    <x v="0"/>
    <x v="3"/>
    <x v="1"/>
    <x v="2"/>
    <x v="2"/>
    <x v="3274"/>
    <x v="1"/>
    <x v="3"/>
  </r>
  <r>
    <x v="3333"/>
    <x v="16"/>
    <x v="1"/>
    <x v="7"/>
    <x v="8"/>
    <x v="1"/>
    <x v="2"/>
    <x v="3275"/>
    <x v="1"/>
    <x v="3"/>
  </r>
  <r>
    <x v="3334"/>
    <x v="45"/>
    <x v="0"/>
    <x v="7"/>
    <x v="6"/>
    <x v="1"/>
    <x v="6"/>
    <x v="2760"/>
    <x v="1"/>
    <x v="2"/>
  </r>
  <r>
    <x v="3335"/>
    <x v="71"/>
    <x v="1"/>
    <x v="3"/>
    <x v="6"/>
    <x v="1"/>
    <x v="1"/>
    <x v="3276"/>
    <x v="1"/>
    <x v="3"/>
  </r>
  <r>
    <x v="3336"/>
    <x v="9"/>
    <x v="1"/>
    <x v="7"/>
    <x v="6"/>
    <x v="0"/>
    <x v="6"/>
    <x v="3277"/>
    <x v="1"/>
    <x v="4"/>
  </r>
  <r>
    <x v="3337"/>
    <x v="81"/>
    <x v="1"/>
    <x v="7"/>
    <x v="8"/>
    <x v="2"/>
    <x v="8"/>
    <x v="3278"/>
    <x v="0"/>
    <x v="0"/>
  </r>
  <r>
    <x v="3338"/>
    <x v="20"/>
    <x v="1"/>
    <x v="1"/>
    <x v="8"/>
    <x v="1"/>
    <x v="10"/>
    <x v="3279"/>
    <x v="1"/>
    <x v="2"/>
  </r>
  <r>
    <x v="3339"/>
    <x v="44"/>
    <x v="0"/>
    <x v="5"/>
    <x v="2"/>
    <x v="1"/>
    <x v="9"/>
    <x v="3280"/>
    <x v="0"/>
    <x v="4"/>
  </r>
  <r>
    <x v="3340"/>
    <x v="2"/>
    <x v="0"/>
    <x v="2"/>
    <x v="4"/>
    <x v="1"/>
    <x v="2"/>
    <x v="3281"/>
    <x v="0"/>
    <x v="3"/>
  </r>
  <r>
    <x v="3341"/>
    <x v="66"/>
    <x v="0"/>
    <x v="1"/>
    <x v="3"/>
    <x v="0"/>
    <x v="13"/>
    <x v="3282"/>
    <x v="0"/>
    <x v="3"/>
  </r>
  <r>
    <x v="3342"/>
    <x v="83"/>
    <x v="1"/>
    <x v="0"/>
    <x v="6"/>
    <x v="2"/>
    <x v="10"/>
    <x v="3283"/>
    <x v="1"/>
    <x v="3"/>
  </r>
  <r>
    <x v="3343"/>
    <x v="44"/>
    <x v="0"/>
    <x v="2"/>
    <x v="4"/>
    <x v="2"/>
    <x v="3"/>
    <x v="3284"/>
    <x v="0"/>
    <x v="0"/>
  </r>
  <r>
    <x v="3344"/>
    <x v="4"/>
    <x v="1"/>
    <x v="0"/>
    <x v="4"/>
    <x v="1"/>
    <x v="8"/>
    <x v="3285"/>
    <x v="0"/>
    <x v="0"/>
  </r>
  <r>
    <x v="3345"/>
    <x v="71"/>
    <x v="0"/>
    <x v="8"/>
    <x v="6"/>
    <x v="1"/>
    <x v="13"/>
    <x v="3286"/>
    <x v="1"/>
    <x v="3"/>
  </r>
  <r>
    <x v="3346"/>
    <x v="25"/>
    <x v="1"/>
    <x v="1"/>
    <x v="8"/>
    <x v="0"/>
    <x v="8"/>
    <x v="975"/>
    <x v="0"/>
    <x v="0"/>
  </r>
  <r>
    <x v="3347"/>
    <x v="54"/>
    <x v="0"/>
    <x v="0"/>
    <x v="2"/>
    <x v="0"/>
    <x v="10"/>
    <x v="3287"/>
    <x v="0"/>
    <x v="2"/>
  </r>
  <r>
    <x v="3348"/>
    <x v="1"/>
    <x v="1"/>
    <x v="5"/>
    <x v="4"/>
    <x v="0"/>
    <x v="8"/>
    <x v="3288"/>
    <x v="0"/>
    <x v="1"/>
  </r>
  <r>
    <x v="3349"/>
    <x v="0"/>
    <x v="1"/>
    <x v="1"/>
    <x v="4"/>
    <x v="2"/>
    <x v="5"/>
    <x v="3289"/>
    <x v="1"/>
    <x v="3"/>
  </r>
  <r>
    <x v="3350"/>
    <x v="35"/>
    <x v="0"/>
    <x v="9"/>
    <x v="9"/>
    <x v="0"/>
    <x v="6"/>
    <x v="3290"/>
    <x v="1"/>
    <x v="0"/>
  </r>
  <r>
    <x v="3351"/>
    <x v="70"/>
    <x v="0"/>
    <x v="1"/>
    <x v="3"/>
    <x v="1"/>
    <x v="13"/>
    <x v="3291"/>
    <x v="0"/>
    <x v="4"/>
  </r>
  <r>
    <x v="3352"/>
    <x v="67"/>
    <x v="1"/>
    <x v="8"/>
    <x v="0"/>
    <x v="2"/>
    <x v="1"/>
    <x v="3292"/>
    <x v="1"/>
    <x v="0"/>
  </r>
  <r>
    <x v="3353"/>
    <x v="21"/>
    <x v="1"/>
    <x v="5"/>
    <x v="3"/>
    <x v="2"/>
    <x v="5"/>
    <x v="3293"/>
    <x v="0"/>
    <x v="3"/>
  </r>
  <r>
    <x v="3354"/>
    <x v="63"/>
    <x v="1"/>
    <x v="7"/>
    <x v="4"/>
    <x v="1"/>
    <x v="9"/>
    <x v="3294"/>
    <x v="1"/>
    <x v="2"/>
  </r>
  <r>
    <x v="3355"/>
    <x v="38"/>
    <x v="1"/>
    <x v="7"/>
    <x v="7"/>
    <x v="2"/>
    <x v="6"/>
    <x v="3295"/>
    <x v="1"/>
    <x v="3"/>
  </r>
  <r>
    <x v="3356"/>
    <x v="80"/>
    <x v="1"/>
    <x v="2"/>
    <x v="5"/>
    <x v="1"/>
    <x v="0"/>
    <x v="3296"/>
    <x v="1"/>
    <x v="0"/>
  </r>
  <r>
    <x v="3357"/>
    <x v="87"/>
    <x v="1"/>
    <x v="7"/>
    <x v="8"/>
    <x v="1"/>
    <x v="5"/>
    <x v="3297"/>
    <x v="1"/>
    <x v="1"/>
  </r>
  <r>
    <x v="3358"/>
    <x v="41"/>
    <x v="1"/>
    <x v="6"/>
    <x v="6"/>
    <x v="1"/>
    <x v="2"/>
    <x v="3298"/>
    <x v="1"/>
    <x v="0"/>
  </r>
  <r>
    <x v="3359"/>
    <x v="33"/>
    <x v="0"/>
    <x v="8"/>
    <x v="2"/>
    <x v="1"/>
    <x v="1"/>
    <x v="3299"/>
    <x v="1"/>
    <x v="0"/>
  </r>
  <r>
    <x v="3360"/>
    <x v="58"/>
    <x v="0"/>
    <x v="0"/>
    <x v="5"/>
    <x v="0"/>
    <x v="11"/>
    <x v="3300"/>
    <x v="0"/>
    <x v="3"/>
  </r>
  <r>
    <x v="3361"/>
    <x v="69"/>
    <x v="1"/>
    <x v="7"/>
    <x v="5"/>
    <x v="1"/>
    <x v="1"/>
    <x v="3301"/>
    <x v="1"/>
    <x v="4"/>
  </r>
  <r>
    <x v="3362"/>
    <x v="4"/>
    <x v="0"/>
    <x v="8"/>
    <x v="4"/>
    <x v="2"/>
    <x v="9"/>
    <x v="3302"/>
    <x v="1"/>
    <x v="1"/>
  </r>
  <r>
    <x v="3363"/>
    <x v="26"/>
    <x v="1"/>
    <x v="7"/>
    <x v="5"/>
    <x v="2"/>
    <x v="0"/>
    <x v="3303"/>
    <x v="0"/>
    <x v="0"/>
  </r>
  <r>
    <x v="3364"/>
    <x v="59"/>
    <x v="1"/>
    <x v="0"/>
    <x v="0"/>
    <x v="2"/>
    <x v="2"/>
    <x v="3304"/>
    <x v="0"/>
    <x v="0"/>
  </r>
  <r>
    <x v="3365"/>
    <x v="52"/>
    <x v="1"/>
    <x v="2"/>
    <x v="1"/>
    <x v="0"/>
    <x v="3"/>
    <x v="3305"/>
    <x v="0"/>
    <x v="0"/>
  </r>
  <r>
    <x v="3366"/>
    <x v="13"/>
    <x v="0"/>
    <x v="1"/>
    <x v="1"/>
    <x v="0"/>
    <x v="13"/>
    <x v="3306"/>
    <x v="0"/>
    <x v="1"/>
  </r>
  <r>
    <x v="3367"/>
    <x v="43"/>
    <x v="0"/>
    <x v="9"/>
    <x v="2"/>
    <x v="1"/>
    <x v="6"/>
    <x v="3307"/>
    <x v="1"/>
    <x v="0"/>
  </r>
  <r>
    <x v="3368"/>
    <x v="49"/>
    <x v="0"/>
    <x v="3"/>
    <x v="9"/>
    <x v="1"/>
    <x v="0"/>
    <x v="3308"/>
    <x v="0"/>
    <x v="2"/>
  </r>
  <r>
    <x v="3369"/>
    <x v="0"/>
    <x v="1"/>
    <x v="5"/>
    <x v="2"/>
    <x v="1"/>
    <x v="4"/>
    <x v="3309"/>
    <x v="0"/>
    <x v="3"/>
  </r>
  <r>
    <x v="3370"/>
    <x v="11"/>
    <x v="0"/>
    <x v="7"/>
    <x v="1"/>
    <x v="1"/>
    <x v="3"/>
    <x v="3310"/>
    <x v="1"/>
    <x v="4"/>
  </r>
  <r>
    <x v="3371"/>
    <x v="57"/>
    <x v="1"/>
    <x v="2"/>
    <x v="1"/>
    <x v="0"/>
    <x v="12"/>
    <x v="3311"/>
    <x v="0"/>
    <x v="4"/>
  </r>
  <r>
    <x v="3372"/>
    <x v="45"/>
    <x v="1"/>
    <x v="7"/>
    <x v="5"/>
    <x v="1"/>
    <x v="8"/>
    <x v="3312"/>
    <x v="0"/>
    <x v="0"/>
  </r>
  <r>
    <x v="3373"/>
    <x v="50"/>
    <x v="1"/>
    <x v="8"/>
    <x v="9"/>
    <x v="0"/>
    <x v="3"/>
    <x v="3313"/>
    <x v="1"/>
    <x v="2"/>
  </r>
  <r>
    <x v="3374"/>
    <x v="55"/>
    <x v="0"/>
    <x v="5"/>
    <x v="4"/>
    <x v="0"/>
    <x v="0"/>
    <x v="3314"/>
    <x v="0"/>
    <x v="1"/>
  </r>
  <r>
    <x v="3375"/>
    <x v="58"/>
    <x v="0"/>
    <x v="8"/>
    <x v="2"/>
    <x v="0"/>
    <x v="8"/>
    <x v="3315"/>
    <x v="1"/>
    <x v="1"/>
  </r>
  <r>
    <x v="3376"/>
    <x v="68"/>
    <x v="1"/>
    <x v="1"/>
    <x v="7"/>
    <x v="2"/>
    <x v="2"/>
    <x v="3316"/>
    <x v="1"/>
    <x v="0"/>
  </r>
  <r>
    <x v="3377"/>
    <x v="20"/>
    <x v="1"/>
    <x v="5"/>
    <x v="7"/>
    <x v="2"/>
    <x v="3"/>
    <x v="3317"/>
    <x v="0"/>
    <x v="1"/>
  </r>
  <r>
    <x v="3378"/>
    <x v="60"/>
    <x v="0"/>
    <x v="6"/>
    <x v="2"/>
    <x v="2"/>
    <x v="12"/>
    <x v="3318"/>
    <x v="1"/>
    <x v="2"/>
  </r>
  <r>
    <x v="3379"/>
    <x v="48"/>
    <x v="1"/>
    <x v="3"/>
    <x v="9"/>
    <x v="2"/>
    <x v="13"/>
    <x v="3319"/>
    <x v="0"/>
    <x v="4"/>
  </r>
  <r>
    <x v="3380"/>
    <x v="62"/>
    <x v="1"/>
    <x v="6"/>
    <x v="5"/>
    <x v="0"/>
    <x v="12"/>
    <x v="3320"/>
    <x v="1"/>
    <x v="4"/>
  </r>
  <r>
    <x v="3381"/>
    <x v="10"/>
    <x v="0"/>
    <x v="8"/>
    <x v="8"/>
    <x v="0"/>
    <x v="9"/>
    <x v="3321"/>
    <x v="1"/>
    <x v="2"/>
  </r>
  <r>
    <x v="3382"/>
    <x v="87"/>
    <x v="0"/>
    <x v="2"/>
    <x v="4"/>
    <x v="0"/>
    <x v="13"/>
    <x v="3322"/>
    <x v="0"/>
    <x v="2"/>
  </r>
  <r>
    <x v="3383"/>
    <x v="54"/>
    <x v="0"/>
    <x v="7"/>
    <x v="1"/>
    <x v="0"/>
    <x v="9"/>
    <x v="3323"/>
    <x v="0"/>
    <x v="0"/>
  </r>
  <r>
    <x v="3384"/>
    <x v="53"/>
    <x v="0"/>
    <x v="2"/>
    <x v="9"/>
    <x v="1"/>
    <x v="11"/>
    <x v="3324"/>
    <x v="1"/>
    <x v="4"/>
  </r>
  <r>
    <x v="3385"/>
    <x v="74"/>
    <x v="1"/>
    <x v="0"/>
    <x v="7"/>
    <x v="0"/>
    <x v="4"/>
    <x v="3325"/>
    <x v="1"/>
    <x v="1"/>
  </r>
  <r>
    <x v="3386"/>
    <x v="71"/>
    <x v="0"/>
    <x v="7"/>
    <x v="0"/>
    <x v="0"/>
    <x v="6"/>
    <x v="3326"/>
    <x v="0"/>
    <x v="0"/>
  </r>
  <r>
    <x v="3387"/>
    <x v="79"/>
    <x v="1"/>
    <x v="2"/>
    <x v="4"/>
    <x v="0"/>
    <x v="13"/>
    <x v="3327"/>
    <x v="0"/>
    <x v="1"/>
  </r>
  <r>
    <x v="3388"/>
    <x v="75"/>
    <x v="1"/>
    <x v="3"/>
    <x v="9"/>
    <x v="2"/>
    <x v="12"/>
    <x v="3328"/>
    <x v="0"/>
    <x v="4"/>
  </r>
  <r>
    <x v="3389"/>
    <x v="71"/>
    <x v="1"/>
    <x v="3"/>
    <x v="4"/>
    <x v="0"/>
    <x v="11"/>
    <x v="3329"/>
    <x v="0"/>
    <x v="1"/>
  </r>
  <r>
    <x v="3390"/>
    <x v="73"/>
    <x v="0"/>
    <x v="4"/>
    <x v="5"/>
    <x v="0"/>
    <x v="6"/>
    <x v="3330"/>
    <x v="1"/>
    <x v="0"/>
  </r>
  <r>
    <x v="3391"/>
    <x v="3"/>
    <x v="1"/>
    <x v="7"/>
    <x v="7"/>
    <x v="1"/>
    <x v="0"/>
    <x v="3331"/>
    <x v="0"/>
    <x v="1"/>
  </r>
  <r>
    <x v="3392"/>
    <x v="53"/>
    <x v="0"/>
    <x v="5"/>
    <x v="7"/>
    <x v="1"/>
    <x v="3"/>
    <x v="3332"/>
    <x v="1"/>
    <x v="0"/>
  </r>
  <r>
    <x v="3393"/>
    <x v="37"/>
    <x v="0"/>
    <x v="6"/>
    <x v="8"/>
    <x v="0"/>
    <x v="12"/>
    <x v="3333"/>
    <x v="1"/>
    <x v="3"/>
  </r>
  <r>
    <x v="3394"/>
    <x v="3"/>
    <x v="1"/>
    <x v="2"/>
    <x v="1"/>
    <x v="2"/>
    <x v="14"/>
    <x v="3334"/>
    <x v="1"/>
    <x v="3"/>
  </r>
  <r>
    <x v="3395"/>
    <x v="2"/>
    <x v="0"/>
    <x v="4"/>
    <x v="2"/>
    <x v="2"/>
    <x v="1"/>
    <x v="3335"/>
    <x v="1"/>
    <x v="4"/>
  </r>
  <r>
    <x v="3396"/>
    <x v="67"/>
    <x v="1"/>
    <x v="3"/>
    <x v="9"/>
    <x v="0"/>
    <x v="12"/>
    <x v="3336"/>
    <x v="0"/>
    <x v="2"/>
  </r>
  <r>
    <x v="3397"/>
    <x v="53"/>
    <x v="0"/>
    <x v="8"/>
    <x v="9"/>
    <x v="2"/>
    <x v="2"/>
    <x v="3337"/>
    <x v="0"/>
    <x v="2"/>
  </r>
  <r>
    <x v="3398"/>
    <x v="3"/>
    <x v="0"/>
    <x v="3"/>
    <x v="5"/>
    <x v="2"/>
    <x v="6"/>
    <x v="3338"/>
    <x v="0"/>
    <x v="0"/>
  </r>
  <r>
    <x v="3399"/>
    <x v="59"/>
    <x v="1"/>
    <x v="0"/>
    <x v="8"/>
    <x v="1"/>
    <x v="9"/>
    <x v="3339"/>
    <x v="0"/>
    <x v="4"/>
  </r>
  <r>
    <x v="3400"/>
    <x v="16"/>
    <x v="1"/>
    <x v="5"/>
    <x v="0"/>
    <x v="2"/>
    <x v="7"/>
    <x v="3340"/>
    <x v="1"/>
    <x v="2"/>
  </r>
  <r>
    <x v="3401"/>
    <x v="84"/>
    <x v="1"/>
    <x v="6"/>
    <x v="7"/>
    <x v="1"/>
    <x v="5"/>
    <x v="3341"/>
    <x v="1"/>
    <x v="0"/>
  </r>
  <r>
    <x v="3402"/>
    <x v="87"/>
    <x v="0"/>
    <x v="1"/>
    <x v="4"/>
    <x v="0"/>
    <x v="11"/>
    <x v="3342"/>
    <x v="0"/>
    <x v="3"/>
  </r>
  <r>
    <x v="3403"/>
    <x v="58"/>
    <x v="0"/>
    <x v="0"/>
    <x v="3"/>
    <x v="1"/>
    <x v="6"/>
    <x v="3343"/>
    <x v="1"/>
    <x v="4"/>
  </r>
  <r>
    <x v="3404"/>
    <x v="23"/>
    <x v="0"/>
    <x v="5"/>
    <x v="6"/>
    <x v="0"/>
    <x v="6"/>
    <x v="3344"/>
    <x v="1"/>
    <x v="4"/>
  </r>
  <r>
    <x v="3405"/>
    <x v="72"/>
    <x v="1"/>
    <x v="5"/>
    <x v="9"/>
    <x v="0"/>
    <x v="0"/>
    <x v="3345"/>
    <x v="1"/>
    <x v="3"/>
  </r>
  <r>
    <x v="3406"/>
    <x v="29"/>
    <x v="0"/>
    <x v="1"/>
    <x v="5"/>
    <x v="0"/>
    <x v="2"/>
    <x v="3346"/>
    <x v="1"/>
    <x v="2"/>
  </r>
  <r>
    <x v="3407"/>
    <x v="14"/>
    <x v="0"/>
    <x v="7"/>
    <x v="9"/>
    <x v="0"/>
    <x v="1"/>
    <x v="3347"/>
    <x v="1"/>
    <x v="2"/>
  </r>
  <r>
    <x v="3408"/>
    <x v="6"/>
    <x v="0"/>
    <x v="1"/>
    <x v="4"/>
    <x v="1"/>
    <x v="5"/>
    <x v="3348"/>
    <x v="0"/>
    <x v="4"/>
  </r>
  <r>
    <x v="3409"/>
    <x v="89"/>
    <x v="1"/>
    <x v="3"/>
    <x v="2"/>
    <x v="2"/>
    <x v="7"/>
    <x v="3349"/>
    <x v="1"/>
    <x v="3"/>
  </r>
  <r>
    <x v="3410"/>
    <x v="0"/>
    <x v="1"/>
    <x v="4"/>
    <x v="6"/>
    <x v="0"/>
    <x v="6"/>
    <x v="399"/>
    <x v="0"/>
    <x v="3"/>
  </r>
  <r>
    <x v="3411"/>
    <x v="29"/>
    <x v="1"/>
    <x v="1"/>
    <x v="9"/>
    <x v="0"/>
    <x v="12"/>
    <x v="3350"/>
    <x v="0"/>
    <x v="2"/>
  </r>
  <r>
    <x v="3412"/>
    <x v="60"/>
    <x v="1"/>
    <x v="2"/>
    <x v="9"/>
    <x v="0"/>
    <x v="10"/>
    <x v="3351"/>
    <x v="1"/>
    <x v="4"/>
  </r>
  <r>
    <x v="3413"/>
    <x v="62"/>
    <x v="1"/>
    <x v="9"/>
    <x v="2"/>
    <x v="1"/>
    <x v="11"/>
    <x v="3290"/>
    <x v="0"/>
    <x v="3"/>
  </r>
  <r>
    <x v="3414"/>
    <x v="48"/>
    <x v="0"/>
    <x v="7"/>
    <x v="1"/>
    <x v="0"/>
    <x v="12"/>
    <x v="3352"/>
    <x v="1"/>
    <x v="1"/>
  </r>
  <r>
    <x v="3415"/>
    <x v="62"/>
    <x v="1"/>
    <x v="0"/>
    <x v="7"/>
    <x v="2"/>
    <x v="1"/>
    <x v="3353"/>
    <x v="1"/>
    <x v="2"/>
  </r>
  <r>
    <x v="3416"/>
    <x v="16"/>
    <x v="1"/>
    <x v="4"/>
    <x v="8"/>
    <x v="2"/>
    <x v="6"/>
    <x v="3354"/>
    <x v="1"/>
    <x v="0"/>
  </r>
  <r>
    <x v="3417"/>
    <x v="17"/>
    <x v="0"/>
    <x v="1"/>
    <x v="2"/>
    <x v="1"/>
    <x v="3"/>
    <x v="3355"/>
    <x v="1"/>
    <x v="2"/>
  </r>
  <r>
    <x v="3418"/>
    <x v="76"/>
    <x v="1"/>
    <x v="9"/>
    <x v="1"/>
    <x v="0"/>
    <x v="1"/>
    <x v="3356"/>
    <x v="1"/>
    <x v="3"/>
  </r>
  <r>
    <x v="3419"/>
    <x v="55"/>
    <x v="1"/>
    <x v="4"/>
    <x v="0"/>
    <x v="0"/>
    <x v="10"/>
    <x v="3357"/>
    <x v="1"/>
    <x v="4"/>
  </r>
  <r>
    <x v="3420"/>
    <x v="78"/>
    <x v="1"/>
    <x v="5"/>
    <x v="7"/>
    <x v="1"/>
    <x v="1"/>
    <x v="3358"/>
    <x v="1"/>
    <x v="1"/>
  </r>
  <r>
    <x v="3421"/>
    <x v="40"/>
    <x v="0"/>
    <x v="4"/>
    <x v="6"/>
    <x v="0"/>
    <x v="14"/>
    <x v="3359"/>
    <x v="1"/>
    <x v="1"/>
  </r>
  <r>
    <x v="3422"/>
    <x v="88"/>
    <x v="1"/>
    <x v="9"/>
    <x v="8"/>
    <x v="1"/>
    <x v="14"/>
    <x v="3360"/>
    <x v="0"/>
    <x v="3"/>
  </r>
  <r>
    <x v="3423"/>
    <x v="52"/>
    <x v="0"/>
    <x v="8"/>
    <x v="9"/>
    <x v="2"/>
    <x v="4"/>
    <x v="3361"/>
    <x v="0"/>
    <x v="4"/>
  </r>
  <r>
    <x v="3424"/>
    <x v="68"/>
    <x v="0"/>
    <x v="3"/>
    <x v="1"/>
    <x v="0"/>
    <x v="11"/>
    <x v="3362"/>
    <x v="0"/>
    <x v="4"/>
  </r>
  <r>
    <x v="3425"/>
    <x v="55"/>
    <x v="0"/>
    <x v="8"/>
    <x v="0"/>
    <x v="1"/>
    <x v="9"/>
    <x v="3363"/>
    <x v="0"/>
    <x v="4"/>
  </r>
  <r>
    <x v="3426"/>
    <x v="22"/>
    <x v="0"/>
    <x v="6"/>
    <x v="4"/>
    <x v="2"/>
    <x v="8"/>
    <x v="3364"/>
    <x v="1"/>
    <x v="0"/>
  </r>
  <r>
    <x v="3427"/>
    <x v="17"/>
    <x v="0"/>
    <x v="7"/>
    <x v="6"/>
    <x v="2"/>
    <x v="1"/>
    <x v="3365"/>
    <x v="0"/>
    <x v="1"/>
  </r>
  <r>
    <x v="3428"/>
    <x v="68"/>
    <x v="0"/>
    <x v="4"/>
    <x v="9"/>
    <x v="1"/>
    <x v="13"/>
    <x v="3366"/>
    <x v="0"/>
    <x v="3"/>
  </r>
  <r>
    <x v="3429"/>
    <x v="5"/>
    <x v="0"/>
    <x v="7"/>
    <x v="0"/>
    <x v="1"/>
    <x v="4"/>
    <x v="3367"/>
    <x v="1"/>
    <x v="4"/>
  </r>
  <r>
    <x v="3430"/>
    <x v="72"/>
    <x v="0"/>
    <x v="2"/>
    <x v="1"/>
    <x v="1"/>
    <x v="7"/>
    <x v="3368"/>
    <x v="1"/>
    <x v="2"/>
  </r>
  <r>
    <x v="3431"/>
    <x v="59"/>
    <x v="1"/>
    <x v="3"/>
    <x v="5"/>
    <x v="1"/>
    <x v="6"/>
    <x v="2504"/>
    <x v="1"/>
    <x v="3"/>
  </r>
  <r>
    <x v="3432"/>
    <x v="30"/>
    <x v="0"/>
    <x v="7"/>
    <x v="2"/>
    <x v="2"/>
    <x v="5"/>
    <x v="3369"/>
    <x v="1"/>
    <x v="4"/>
  </r>
  <r>
    <x v="3433"/>
    <x v="43"/>
    <x v="0"/>
    <x v="0"/>
    <x v="1"/>
    <x v="2"/>
    <x v="2"/>
    <x v="3370"/>
    <x v="1"/>
    <x v="1"/>
  </r>
  <r>
    <x v="3434"/>
    <x v="18"/>
    <x v="1"/>
    <x v="5"/>
    <x v="6"/>
    <x v="0"/>
    <x v="0"/>
    <x v="3371"/>
    <x v="0"/>
    <x v="0"/>
  </r>
  <r>
    <x v="3435"/>
    <x v="62"/>
    <x v="1"/>
    <x v="5"/>
    <x v="9"/>
    <x v="1"/>
    <x v="7"/>
    <x v="3372"/>
    <x v="1"/>
    <x v="0"/>
  </r>
  <r>
    <x v="3436"/>
    <x v="73"/>
    <x v="1"/>
    <x v="0"/>
    <x v="7"/>
    <x v="2"/>
    <x v="6"/>
    <x v="3373"/>
    <x v="1"/>
    <x v="3"/>
  </r>
  <r>
    <x v="3437"/>
    <x v="16"/>
    <x v="0"/>
    <x v="8"/>
    <x v="4"/>
    <x v="1"/>
    <x v="10"/>
    <x v="3374"/>
    <x v="1"/>
    <x v="3"/>
  </r>
  <r>
    <x v="3438"/>
    <x v="45"/>
    <x v="1"/>
    <x v="1"/>
    <x v="2"/>
    <x v="0"/>
    <x v="10"/>
    <x v="3375"/>
    <x v="1"/>
    <x v="3"/>
  </r>
  <r>
    <x v="3439"/>
    <x v="67"/>
    <x v="0"/>
    <x v="5"/>
    <x v="7"/>
    <x v="1"/>
    <x v="2"/>
    <x v="3376"/>
    <x v="0"/>
    <x v="3"/>
  </r>
  <r>
    <x v="3440"/>
    <x v="50"/>
    <x v="1"/>
    <x v="7"/>
    <x v="3"/>
    <x v="2"/>
    <x v="13"/>
    <x v="3377"/>
    <x v="0"/>
    <x v="1"/>
  </r>
  <r>
    <x v="3441"/>
    <x v="59"/>
    <x v="1"/>
    <x v="8"/>
    <x v="3"/>
    <x v="1"/>
    <x v="12"/>
    <x v="3378"/>
    <x v="1"/>
    <x v="2"/>
  </r>
  <r>
    <x v="3442"/>
    <x v="53"/>
    <x v="1"/>
    <x v="3"/>
    <x v="2"/>
    <x v="2"/>
    <x v="5"/>
    <x v="3379"/>
    <x v="1"/>
    <x v="3"/>
  </r>
  <r>
    <x v="3443"/>
    <x v="24"/>
    <x v="1"/>
    <x v="9"/>
    <x v="2"/>
    <x v="1"/>
    <x v="6"/>
    <x v="3380"/>
    <x v="0"/>
    <x v="1"/>
  </r>
  <r>
    <x v="3444"/>
    <x v="11"/>
    <x v="0"/>
    <x v="9"/>
    <x v="8"/>
    <x v="1"/>
    <x v="2"/>
    <x v="3381"/>
    <x v="0"/>
    <x v="0"/>
  </r>
  <r>
    <x v="3445"/>
    <x v="86"/>
    <x v="1"/>
    <x v="7"/>
    <x v="0"/>
    <x v="0"/>
    <x v="5"/>
    <x v="3382"/>
    <x v="1"/>
    <x v="3"/>
  </r>
  <r>
    <x v="3446"/>
    <x v="87"/>
    <x v="1"/>
    <x v="7"/>
    <x v="4"/>
    <x v="0"/>
    <x v="10"/>
    <x v="3383"/>
    <x v="1"/>
    <x v="3"/>
  </r>
  <r>
    <x v="3447"/>
    <x v="45"/>
    <x v="1"/>
    <x v="5"/>
    <x v="7"/>
    <x v="0"/>
    <x v="4"/>
    <x v="3384"/>
    <x v="0"/>
    <x v="1"/>
  </r>
  <r>
    <x v="3448"/>
    <x v="88"/>
    <x v="0"/>
    <x v="5"/>
    <x v="0"/>
    <x v="1"/>
    <x v="6"/>
    <x v="3385"/>
    <x v="0"/>
    <x v="3"/>
  </r>
  <r>
    <x v="3449"/>
    <x v="26"/>
    <x v="0"/>
    <x v="3"/>
    <x v="4"/>
    <x v="0"/>
    <x v="1"/>
    <x v="3386"/>
    <x v="0"/>
    <x v="4"/>
  </r>
  <r>
    <x v="3450"/>
    <x v="31"/>
    <x v="0"/>
    <x v="2"/>
    <x v="6"/>
    <x v="1"/>
    <x v="7"/>
    <x v="3387"/>
    <x v="0"/>
    <x v="1"/>
  </r>
  <r>
    <x v="3451"/>
    <x v="54"/>
    <x v="1"/>
    <x v="4"/>
    <x v="0"/>
    <x v="2"/>
    <x v="5"/>
    <x v="3388"/>
    <x v="0"/>
    <x v="3"/>
  </r>
  <r>
    <x v="3452"/>
    <x v="73"/>
    <x v="0"/>
    <x v="4"/>
    <x v="9"/>
    <x v="2"/>
    <x v="6"/>
    <x v="3389"/>
    <x v="1"/>
    <x v="1"/>
  </r>
  <r>
    <x v="3453"/>
    <x v="49"/>
    <x v="0"/>
    <x v="5"/>
    <x v="4"/>
    <x v="0"/>
    <x v="4"/>
    <x v="3390"/>
    <x v="1"/>
    <x v="2"/>
  </r>
  <r>
    <x v="3454"/>
    <x v="57"/>
    <x v="0"/>
    <x v="7"/>
    <x v="2"/>
    <x v="0"/>
    <x v="6"/>
    <x v="3391"/>
    <x v="0"/>
    <x v="0"/>
  </r>
  <r>
    <x v="3455"/>
    <x v="26"/>
    <x v="0"/>
    <x v="1"/>
    <x v="5"/>
    <x v="2"/>
    <x v="2"/>
    <x v="3392"/>
    <x v="1"/>
    <x v="1"/>
  </r>
  <r>
    <x v="3456"/>
    <x v="55"/>
    <x v="1"/>
    <x v="2"/>
    <x v="2"/>
    <x v="0"/>
    <x v="12"/>
    <x v="3393"/>
    <x v="0"/>
    <x v="4"/>
  </r>
  <r>
    <x v="3457"/>
    <x v="82"/>
    <x v="1"/>
    <x v="6"/>
    <x v="5"/>
    <x v="1"/>
    <x v="7"/>
    <x v="3394"/>
    <x v="1"/>
    <x v="3"/>
  </r>
  <r>
    <x v="3458"/>
    <x v="31"/>
    <x v="1"/>
    <x v="5"/>
    <x v="9"/>
    <x v="2"/>
    <x v="10"/>
    <x v="3395"/>
    <x v="0"/>
    <x v="4"/>
  </r>
  <r>
    <x v="3459"/>
    <x v="8"/>
    <x v="0"/>
    <x v="1"/>
    <x v="3"/>
    <x v="2"/>
    <x v="12"/>
    <x v="3396"/>
    <x v="1"/>
    <x v="0"/>
  </r>
  <r>
    <x v="3460"/>
    <x v="3"/>
    <x v="0"/>
    <x v="7"/>
    <x v="5"/>
    <x v="2"/>
    <x v="13"/>
    <x v="3397"/>
    <x v="1"/>
    <x v="0"/>
  </r>
  <r>
    <x v="3461"/>
    <x v="58"/>
    <x v="1"/>
    <x v="7"/>
    <x v="3"/>
    <x v="0"/>
    <x v="11"/>
    <x v="3398"/>
    <x v="1"/>
    <x v="0"/>
  </r>
  <r>
    <x v="3462"/>
    <x v="69"/>
    <x v="0"/>
    <x v="9"/>
    <x v="0"/>
    <x v="0"/>
    <x v="6"/>
    <x v="3399"/>
    <x v="0"/>
    <x v="3"/>
  </r>
  <r>
    <x v="3463"/>
    <x v="16"/>
    <x v="1"/>
    <x v="8"/>
    <x v="0"/>
    <x v="0"/>
    <x v="13"/>
    <x v="3400"/>
    <x v="0"/>
    <x v="0"/>
  </r>
  <r>
    <x v="3464"/>
    <x v="61"/>
    <x v="1"/>
    <x v="2"/>
    <x v="0"/>
    <x v="2"/>
    <x v="6"/>
    <x v="3401"/>
    <x v="1"/>
    <x v="0"/>
  </r>
  <r>
    <x v="3465"/>
    <x v="10"/>
    <x v="0"/>
    <x v="2"/>
    <x v="7"/>
    <x v="1"/>
    <x v="14"/>
    <x v="3402"/>
    <x v="0"/>
    <x v="2"/>
  </r>
  <r>
    <x v="3466"/>
    <x v="0"/>
    <x v="0"/>
    <x v="1"/>
    <x v="7"/>
    <x v="2"/>
    <x v="14"/>
    <x v="3403"/>
    <x v="0"/>
    <x v="3"/>
  </r>
  <r>
    <x v="3467"/>
    <x v="46"/>
    <x v="0"/>
    <x v="7"/>
    <x v="2"/>
    <x v="1"/>
    <x v="3"/>
    <x v="3404"/>
    <x v="1"/>
    <x v="3"/>
  </r>
  <r>
    <x v="3468"/>
    <x v="53"/>
    <x v="1"/>
    <x v="1"/>
    <x v="8"/>
    <x v="0"/>
    <x v="5"/>
    <x v="3405"/>
    <x v="0"/>
    <x v="4"/>
  </r>
  <r>
    <x v="3469"/>
    <x v="30"/>
    <x v="1"/>
    <x v="7"/>
    <x v="1"/>
    <x v="0"/>
    <x v="12"/>
    <x v="3406"/>
    <x v="0"/>
    <x v="2"/>
  </r>
  <r>
    <x v="3470"/>
    <x v="68"/>
    <x v="0"/>
    <x v="3"/>
    <x v="0"/>
    <x v="0"/>
    <x v="10"/>
    <x v="3407"/>
    <x v="0"/>
    <x v="1"/>
  </r>
  <r>
    <x v="3471"/>
    <x v="77"/>
    <x v="0"/>
    <x v="7"/>
    <x v="0"/>
    <x v="2"/>
    <x v="13"/>
    <x v="3408"/>
    <x v="0"/>
    <x v="1"/>
  </r>
  <r>
    <x v="3472"/>
    <x v="84"/>
    <x v="1"/>
    <x v="0"/>
    <x v="1"/>
    <x v="1"/>
    <x v="12"/>
    <x v="3409"/>
    <x v="1"/>
    <x v="1"/>
  </r>
  <r>
    <x v="3473"/>
    <x v="18"/>
    <x v="0"/>
    <x v="0"/>
    <x v="2"/>
    <x v="2"/>
    <x v="7"/>
    <x v="3410"/>
    <x v="0"/>
    <x v="1"/>
  </r>
  <r>
    <x v="3474"/>
    <x v="6"/>
    <x v="1"/>
    <x v="8"/>
    <x v="6"/>
    <x v="1"/>
    <x v="4"/>
    <x v="3411"/>
    <x v="1"/>
    <x v="2"/>
  </r>
  <r>
    <x v="3475"/>
    <x v="37"/>
    <x v="1"/>
    <x v="4"/>
    <x v="2"/>
    <x v="0"/>
    <x v="6"/>
    <x v="3412"/>
    <x v="0"/>
    <x v="4"/>
  </r>
  <r>
    <x v="3476"/>
    <x v="57"/>
    <x v="0"/>
    <x v="7"/>
    <x v="7"/>
    <x v="1"/>
    <x v="2"/>
    <x v="3413"/>
    <x v="1"/>
    <x v="0"/>
  </r>
  <r>
    <x v="3477"/>
    <x v="86"/>
    <x v="0"/>
    <x v="5"/>
    <x v="3"/>
    <x v="1"/>
    <x v="10"/>
    <x v="3414"/>
    <x v="1"/>
    <x v="3"/>
  </r>
  <r>
    <x v="3478"/>
    <x v="72"/>
    <x v="1"/>
    <x v="3"/>
    <x v="6"/>
    <x v="1"/>
    <x v="2"/>
    <x v="3415"/>
    <x v="1"/>
    <x v="0"/>
  </r>
  <r>
    <x v="3479"/>
    <x v="30"/>
    <x v="0"/>
    <x v="3"/>
    <x v="3"/>
    <x v="2"/>
    <x v="12"/>
    <x v="3416"/>
    <x v="1"/>
    <x v="2"/>
  </r>
  <r>
    <x v="3480"/>
    <x v="80"/>
    <x v="0"/>
    <x v="7"/>
    <x v="8"/>
    <x v="1"/>
    <x v="8"/>
    <x v="3417"/>
    <x v="0"/>
    <x v="1"/>
  </r>
  <r>
    <x v="3481"/>
    <x v="34"/>
    <x v="1"/>
    <x v="0"/>
    <x v="8"/>
    <x v="1"/>
    <x v="14"/>
    <x v="3418"/>
    <x v="0"/>
    <x v="2"/>
  </r>
  <r>
    <x v="3482"/>
    <x v="77"/>
    <x v="1"/>
    <x v="8"/>
    <x v="5"/>
    <x v="2"/>
    <x v="3"/>
    <x v="3419"/>
    <x v="0"/>
    <x v="2"/>
  </r>
  <r>
    <x v="3483"/>
    <x v="60"/>
    <x v="0"/>
    <x v="3"/>
    <x v="7"/>
    <x v="1"/>
    <x v="14"/>
    <x v="3420"/>
    <x v="1"/>
    <x v="4"/>
  </r>
  <r>
    <x v="3484"/>
    <x v="10"/>
    <x v="1"/>
    <x v="8"/>
    <x v="9"/>
    <x v="0"/>
    <x v="9"/>
    <x v="3421"/>
    <x v="1"/>
    <x v="2"/>
  </r>
  <r>
    <x v="3485"/>
    <x v="27"/>
    <x v="1"/>
    <x v="4"/>
    <x v="4"/>
    <x v="2"/>
    <x v="13"/>
    <x v="3422"/>
    <x v="0"/>
    <x v="1"/>
  </r>
  <r>
    <x v="3486"/>
    <x v="72"/>
    <x v="1"/>
    <x v="2"/>
    <x v="1"/>
    <x v="0"/>
    <x v="1"/>
    <x v="3423"/>
    <x v="0"/>
    <x v="0"/>
  </r>
  <r>
    <x v="3487"/>
    <x v="63"/>
    <x v="0"/>
    <x v="3"/>
    <x v="5"/>
    <x v="0"/>
    <x v="11"/>
    <x v="3424"/>
    <x v="0"/>
    <x v="4"/>
  </r>
  <r>
    <x v="3488"/>
    <x v="72"/>
    <x v="1"/>
    <x v="3"/>
    <x v="0"/>
    <x v="2"/>
    <x v="3"/>
    <x v="3425"/>
    <x v="0"/>
    <x v="3"/>
  </r>
  <r>
    <x v="3489"/>
    <x v="82"/>
    <x v="1"/>
    <x v="9"/>
    <x v="2"/>
    <x v="2"/>
    <x v="0"/>
    <x v="3426"/>
    <x v="0"/>
    <x v="0"/>
  </r>
  <r>
    <x v="3490"/>
    <x v="31"/>
    <x v="1"/>
    <x v="4"/>
    <x v="8"/>
    <x v="2"/>
    <x v="1"/>
    <x v="3427"/>
    <x v="1"/>
    <x v="0"/>
  </r>
  <r>
    <x v="3491"/>
    <x v="19"/>
    <x v="0"/>
    <x v="1"/>
    <x v="1"/>
    <x v="1"/>
    <x v="3"/>
    <x v="3428"/>
    <x v="0"/>
    <x v="4"/>
  </r>
  <r>
    <x v="3492"/>
    <x v="77"/>
    <x v="0"/>
    <x v="5"/>
    <x v="8"/>
    <x v="1"/>
    <x v="12"/>
    <x v="3429"/>
    <x v="1"/>
    <x v="3"/>
  </r>
  <r>
    <x v="3493"/>
    <x v="69"/>
    <x v="1"/>
    <x v="2"/>
    <x v="1"/>
    <x v="1"/>
    <x v="8"/>
    <x v="3430"/>
    <x v="1"/>
    <x v="0"/>
  </r>
  <r>
    <x v="3494"/>
    <x v="4"/>
    <x v="0"/>
    <x v="2"/>
    <x v="8"/>
    <x v="0"/>
    <x v="3"/>
    <x v="3431"/>
    <x v="1"/>
    <x v="2"/>
  </r>
  <r>
    <x v="3495"/>
    <x v="16"/>
    <x v="1"/>
    <x v="6"/>
    <x v="3"/>
    <x v="1"/>
    <x v="12"/>
    <x v="3432"/>
    <x v="1"/>
    <x v="0"/>
  </r>
  <r>
    <x v="3496"/>
    <x v="24"/>
    <x v="0"/>
    <x v="4"/>
    <x v="7"/>
    <x v="0"/>
    <x v="11"/>
    <x v="3433"/>
    <x v="1"/>
    <x v="2"/>
  </r>
  <r>
    <x v="3497"/>
    <x v="73"/>
    <x v="1"/>
    <x v="1"/>
    <x v="0"/>
    <x v="0"/>
    <x v="1"/>
    <x v="3434"/>
    <x v="1"/>
    <x v="2"/>
  </r>
  <r>
    <x v="3498"/>
    <x v="53"/>
    <x v="1"/>
    <x v="8"/>
    <x v="2"/>
    <x v="0"/>
    <x v="14"/>
    <x v="3435"/>
    <x v="1"/>
    <x v="0"/>
  </r>
  <r>
    <x v="3499"/>
    <x v="77"/>
    <x v="0"/>
    <x v="7"/>
    <x v="7"/>
    <x v="1"/>
    <x v="13"/>
    <x v="3436"/>
    <x v="0"/>
    <x v="1"/>
  </r>
  <r>
    <x v="3500"/>
    <x v="10"/>
    <x v="1"/>
    <x v="3"/>
    <x v="7"/>
    <x v="1"/>
    <x v="1"/>
    <x v="3437"/>
    <x v="0"/>
    <x v="1"/>
  </r>
  <r>
    <x v="3501"/>
    <x v="16"/>
    <x v="1"/>
    <x v="7"/>
    <x v="4"/>
    <x v="2"/>
    <x v="7"/>
    <x v="3438"/>
    <x v="1"/>
    <x v="2"/>
  </r>
  <r>
    <x v="3502"/>
    <x v="15"/>
    <x v="1"/>
    <x v="3"/>
    <x v="1"/>
    <x v="2"/>
    <x v="9"/>
    <x v="3439"/>
    <x v="1"/>
    <x v="4"/>
  </r>
  <r>
    <x v="3503"/>
    <x v="1"/>
    <x v="1"/>
    <x v="1"/>
    <x v="9"/>
    <x v="2"/>
    <x v="12"/>
    <x v="3440"/>
    <x v="0"/>
    <x v="1"/>
  </r>
  <r>
    <x v="3504"/>
    <x v="41"/>
    <x v="0"/>
    <x v="6"/>
    <x v="2"/>
    <x v="0"/>
    <x v="9"/>
    <x v="3441"/>
    <x v="1"/>
    <x v="3"/>
  </r>
  <r>
    <x v="3505"/>
    <x v="52"/>
    <x v="1"/>
    <x v="3"/>
    <x v="4"/>
    <x v="2"/>
    <x v="4"/>
    <x v="3442"/>
    <x v="0"/>
    <x v="1"/>
  </r>
  <r>
    <x v="3506"/>
    <x v="82"/>
    <x v="0"/>
    <x v="1"/>
    <x v="6"/>
    <x v="2"/>
    <x v="3"/>
    <x v="3443"/>
    <x v="0"/>
    <x v="2"/>
  </r>
  <r>
    <x v="3507"/>
    <x v="77"/>
    <x v="0"/>
    <x v="5"/>
    <x v="2"/>
    <x v="2"/>
    <x v="13"/>
    <x v="3444"/>
    <x v="1"/>
    <x v="4"/>
  </r>
  <r>
    <x v="3508"/>
    <x v="72"/>
    <x v="0"/>
    <x v="6"/>
    <x v="9"/>
    <x v="1"/>
    <x v="8"/>
    <x v="3445"/>
    <x v="1"/>
    <x v="3"/>
  </r>
  <r>
    <x v="3509"/>
    <x v="70"/>
    <x v="0"/>
    <x v="2"/>
    <x v="0"/>
    <x v="0"/>
    <x v="14"/>
    <x v="3446"/>
    <x v="1"/>
    <x v="0"/>
  </r>
  <r>
    <x v="3510"/>
    <x v="55"/>
    <x v="0"/>
    <x v="1"/>
    <x v="9"/>
    <x v="0"/>
    <x v="7"/>
    <x v="3447"/>
    <x v="0"/>
    <x v="1"/>
  </r>
  <r>
    <x v="3511"/>
    <x v="41"/>
    <x v="0"/>
    <x v="0"/>
    <x v="3"/>
    <x v="1"/>
    <x v="5"/>
    <x v="3448"/>
    <x v="1"/>
    <x v="1"/>
  </r>
  <r>
    <x v="3512"/>
    <x v="21"/>
    <x v="1"/>
    <x v="0"/>
    <x v="4"/>
    <x v="0"/>
    <x v="1"/>
    <x v="3449"/>
    <x v="0"/>
    <x v="0"/>
  </r>
  <r>
    <x v="3513"/>
    <x v="7"/>
    <x v="0"/>
    <x v="2"/>
    <x v="9"/>
    <x v="1"/>
    <x v="1"/>
    <x v="3450"/>
    <x v="0"/>
    <x v="3"/>
  </r>
  <r>
    <x v="3514"/>
    <x v="28"/>
    <x v="1"/>
    <x v="7"/>
    <x v="0"/>
    <x v="1"/>
    <x v="10"/>
    <x v="3451"/>
    <x v="0"/>
    <x v="3"/>
  </r>
  <r>
    <x v="3515"/>
    <x v="65"/>
    <x v="1"/>
    <x v="9"/>
    <x v="8"/>
    <x v="2"/>
    <x v="11"/>
    <x v="3452"/>
    <x v="0"/>
    <x v="3"/>
  </r>
  <r>
    <x v="3516"/>
    <x v="37"/>
    <x v="1"/>
    <x v="8"/>
    <x v="7"/>
    <x v="1"/>
    <x v="10"/>
    <x v="3453"/>
    <x v="1"/>
    <x v="3"/>
  </r>
  <r>
    <x v="3517"/>
    <x v="49"/>
    <x v="1"/>
    <x v="0"/>
    <x v="8"/>
    <x v="1"/>
    <x v="10"/>
    <x v="1694"/>
    <x v="0"/>
    <x v="3"/>
  </r>
  <r>
    <x v="3518"/>
    <x v="18"/>
    <x v="0"/>
    <x v="5"/>
    <x v="5"/>
    <x v="1"/>
    <x v="12"/>
    <x v="3454"/>
    <x v="1"/>
    <x v="3"/>
  </r>
  <r>
    <x v="3519"/>
    <x v="82"/>
    <x v="0"/>
    <x v="3"/>
    <x v="2"/>
    <x v="2"/>
    <x v="1"/>
    <x v="3455"/>
    <x v="0"/>
    <x v="2"/>
  </r>
  <r>
    <x v="3520"/>
    <x v="36"/>
    <x v="0"/>
    <x v="7"/>
    <x v="5"/>
    <x v="1"/>
    <x v="11"/>
    <x v="3174"/>
    <x v="0"/>
    <x v="0"/>
  </r>
  <r>
    <x v="3521"/>
    <x v="8"/>
    <x v="1"/>
    <x v="8"/>
    <x v="1"/>
    <x v="2"/>
    <x v="2"/>
    <x v="3456"/>
    <x v="1"/>
    <x v="0"/>
  </r>
  <r>
    <x v="3522"/>
    <x v="67"/>
    <x v="1"/>
    <x v="1"/>
    <x v="8"/>
    <x v="0"/>
    <x v="11"/>
    <x v="3457"/>
    <x v="1"/>
    <x v="2"/>
  </r>
  <r>
    <x v="3523"/>
    <x v="46"/>
    <x v="1"/>
    <x v="7"/>
    <x v="9"/>
    <x v="1"/>
    <x v="1"/>
    <x v="3458"/>
    <x v="0"/>
    <x v="0"/>
  </r>
  <r>
    <x v="3524"/>
    <x v="22"/>
    <x v="0"/>
    <x v="5"/>
    <x v="4"/>
    <x v="2"/>
    <x v="7"/>
    <x v="3459"/>
    <x v="0"/>
    <x v="0"/>
  </r>
  <r>
    <x v="3525"/>
    <x v="28"/>
    <x v="1"/>
    <x v="9"/>
    <x v="0"/>
    <x v="1"/>
    <x v="5"/>
    <x v="3460"/>
    <x v="1"/>
    <x v="4"/>
  </r>
  <r>
    <x v="3526"/>
    <x v="24"/>
    <x v="0"/>
    <x v="9"/>
    <x v="2"/>
    <x v="1"/>
    <x v="3"/>
    <x v="3461"/>
    <x v="1"/>
    <x v="4"/>
  </r>
  <r>
    <x v="3527"/>
    <x v="70"/>
    <x v="1"/>
    <x v="7"/>
    <x v="7"/>
    <x v="2"/>
    <x v="5"/>
    <x v="3462"/>
    <x v="1"/>
    <x v="0"/>
  </r>
  <r>
    <x v="3528"/>
    <x v="80"/>
    <x v="0"/>
    <x v="6"/>
    <x v="2"/>
    <x v="1"/>
    <x v="12"/>
    <x v="3463"/>
    <x v="0"/>
    <x v="4"/>
  </r>
  <r>
    <x v="3529"/>
    <x v="23"/>
    <x v="1"/>
    <x v="6"/>
    <x v="9"/>
    <x v="0"/>
    <x v="1"/>
    <x v="3464"/>
    <x v="1"/>
    <x v="3"/>
  </r>
  <r>
    <x v="3530"/>
    <x v="69"/>
    <x v="0"/>
    <x v="5"/>
    <x v="8"/>
    <x v="1"/>
    <x v="13"/>
    <x v="3465"/>
    <x v="0"/>
    <x v="4"/>
  </r>
  <r>
    <x v="3531"/>
    <x v="88"/>
    <x v="0"/>
    <x v="3"/>
    <x v="7"/>
    <x v="1"/>
    <x v="8"/>
    <x v="3466"/>
    <x v="1"/>
    <x v="4"/>
  </r>
  <r>
    <x v="3532"/>
    <x v="68"/>
    <x v="1"/>
    <x v="3"/>
    <x v="2"/>
    <x v="0"/>
    <x v="10"/>
    <x v="3467"/>
    <x v="1"/>
    <x v="0"/>
  </r>
  <r>
    <x v="3533"/>
    <x v="25"/>
    <x v="0"/>
    <x v="5"/>
    <x v="9"/>
    <x v="0"/>
    <x v="6"/>
    <x v="3468"/>
    <x v="0"/>
    <x v="2"/>
  </r>
  <r>
    <x v="3534"/>
    <x v="69"/>
    <x v="0"/>
    <x v="3"/>
    <x v="9"/>
    <x v="0"/>
    <x v="0"/>
    <x v="3469"/>
    <x v="0"/>
    <x v="1"/>
  </r>
  <r>
    <x v="3535"/>
    <x v="3"/>
    <x v="0"/>
    <x v="1"/>
    <x v="7"/>
    <x v="2"/>
    <x v="0"/>
    <x v="3470"/>
    <x v="1"/>
    <x v="1"/>
  </r>
  <r>
    <x v="3536"/>
    <x v="51"/>
    <x v="1"/>
    <x v="3"/>
    <x v="0"/>
    <x v="1"/>
    <x v="12"/>
    <x v="3471"/>
    <x v="0"/>
    <x v="0"/>
  </r>
  <r>
    <x v="3537"/>
    <x v="0"/>
    <x v="0"/>
    <x v="8"/>
    <x v="6"/>
    <x v="2"/>
    <x v="3"/>
    <x v="3472"/>
    <x v="0"/>
    <x v="4"/>
  </r>
  <r>
    <x v="3538"/>
    <x v="22"/>
    <x v="0"/>
    <x v="3"/>
    <x v="5"/>
    <x v="0"/>
    <x v="14"/>
    <x v="3473"/>
    <x v="0"/>
    <x v="3"/>
  </r>
  <r>
    <x v="3539"/>
    <x v="0"/>
    <x v="1"/>
    <x v="5"/>
    <x v="3"/>
    <x v="1"/>
    <x v="3"/>
    <x v="3474"/>
    <x v="0"/>
    <x v="1"/>
  </r>
  <r>
    <x v="3540"/>
    <x v="64"/>
    <x v="1"/>
    <x v="5"/>
    <x v="3"/>
    <x v="1"/>
    <x v="1"/>
    <x v="3475"/>
    <x v="1"/>
    <x v="3"/>
  </r>
  <r>
    <x v="3541"/>
    <x v="6"/>
    <x v="0"/>
    <x v="6"/>
    <x v="6"/>
    <x v="2"/>
    <x v="2"/>
    <x v="112"/>
    <x v="1"/>
    <x v="3"/>
  </r>
  <r>
    <x v="3542"/>
    <x v="22"/>
    <x v="0"/>
    <x v="2"/>
    <x v="5"/>
    <x v="0"/>
    <x v="4"/>
    <x v="3476"/>
    <x v="1"/>
    <x v="1"/>
  </r>
  <r>
    <x v="3543"/>
    <x v="34"/>
    <x v="1"/>
    <x v="4"/>
    <x v="0"/>
    <x v="1"/>
    <x v="12"/>
    <x v="3477"/>
    <x v="0"/>
    <x v="2"/>
  </r>
  <r>
    <x v="3544"/>
    <x v="0"/>
    <x v="0"/>
    <x v="5"/>
    <x v="7"/>
    <x v="2"/>
    <x v="12"/>
    <x v="3478"/>
    <x v="0"/>
    <x v="1"/>
  </r>
  <r>
    <x v="3545"/>
    <x v="9"/>
    <x v="1"/>
    <x v="8"/>
    <x v="6"/>
    <x v="2"/>
    <x v="7"/>
    <x v="3479"/>
    <x v="0"/>
    <x v="0"/>
  </r>
  <r>
    <x v="3546"/>
    <x v="31"/>
    <x v="1"/>
    <x v="7"/>
    <x v="4"/>
    <x v="1"/>
    <x v="5"/>
    <x v="3480"/>
    <x v="1"/>
    <x v="2"/>
  </r>
  <r>
    <x v="3547"/>
    <x v="85"/>
    <x v="0"/>
    <x v="4"/>
    <x v="2"/>
    <x v="2"/>
    <x v="0"/>
    <x v="3481"/>
    <x v="0"/>
    <x v="1"/>
  </r>
  <r>
    <x v="3548"/>
    <x v="63"/>
    <x v="1"/>
    <x v="7"/>
    <x v="0"/>
    <x v="0"/>
    <x v="8"/>
    <x v="3482"/>
    <x v="0"/>
    <x v="4"/>
  </r>
  <r>
    <x v="3549"/>
    <x v="23"/>
    <x v="0"/>
    <x v="8"/>
    <x v="6"/>
    <x v="1"/>
    <x v="14"/>
    <x v="3483"/>
    <x v="1"/>
    <x v="2"/>
  </r>
  <r>
    <x v="3550"/>
    <x v="25"/>
    <x v="1"/>
    <x v="3"/>
    <x v="4"/>
    <x v="0"/>
    <x v="10"/>
    <x v="3484"/>
    <x v="1"/>
    <x v="1"/>
  </r>
  <r>
    <x v="3551"/>
    <x v="88"/>
    <x v="0"/>
    <x v="1"/>
    <x v="4"/>
    <x v="2"/>
    <x v="4"/>
    <x v="3485"/>
    <x v="1"/>
    <x v="1"/>
  </r>
  <r>
    <x v="3552"/>
    <x v="76"/>
    <x v="0"/>
    <x v="4"/>
    <x v="2"/>
    <x v="0"/>
    <x v="14"/>
    <x v="3486"/>
    <x v="0"/>
    <x v="3"/>
  </r>
  <r>
    <x v="3553"/>
    <x v="68"/>
    <x v="0"/>
    <x v="8"/>
    <x v="5"/>
    <x v="0"/>
    <x v="13"/>
    <x v="3487"/>
    <x v="1"/>
    <x v="4"/>
  </r>
  <r>
    <x v="3554"/>
    <x v="13"/>
    <x v="0"/>
    <x v="2"/>
    <x v="1"/>
    <x v="1"/>
    <x v="9"/>
    <x v="3488"/>
    <x v="1"/>
    <x v="2"/>
  </r>
  <r>
    <x v="3555"/>
    <x v="22"/>
    <x v="0"/>
    <x v="9"/>
    <x v="7"/>
    <x v="2"/>
    <x v="3"/>
    <x v="3489"/>
    <x v="0"/>
    <x v="3"/>
  </r>
  <r>
    <x v="3556"/>
    <x v="86"/>
    <x v="0"/>
    <x v="7"/>
    <x v="2"/>
    <x v="2"/>
    <x v="3"/>
    <x v="3490"/>
    <x v="1"/>
    <x v="0"/>
  </r>
  <r>
    <x v="3557"/>
    <x v="25"/>
    <x v="1"/>
    <x v="8"/>
    <x v="9"/>
    <x v="2"/>
    <x v="7"/>
    <x v="3491"/>
    <x v="1"/>
    <x v="2"/>
  </r>
  <r>
    <x v="3558"/>
    <x v="66"/>
    <x v="1"/>
    <x v="5"/>
    <x v="9"/>
    <x v="2"/>
    <x v="2"/>
    <x v="3492"/>
    <x v="1"/>
    <x v="0"/>
  </r>
  <r>
    <x v="3559"/>
    <x v="87"/>
    <x v="1"/>
    <x v="4"/>
    <x v="3"/>
    <x v="2"/>
    <x v="5"/>
    <x v="3493"/>
    <x v="0"/>
    <x v="0"/>
  </r>
  <r>
    <x v="3560"/>
    <x v="41"/>
    <x v="0"/>
    <x v="0"/>
    <x v="4"/>
    <x v="2"/>
    <x v="7"/>
    <x v="3494"/>
    <x v="0"/>
    <x v="3"/>
  </r>
  <r>
    <x v="3561"/>
    <x v="80"/>
    <x v="0"/>
    <x v="1"/>
    <x v="0"/>
    <x v="1"/>
    <x v="0"/>
    <x v="359"/>
    <x v="0"/>
    <x v="2"/>
  </r>
  <r>
    <x v="3562"/>
    <x v="89"/>
    <x v="1"/>
    <x v="3"/>
    <x v="3"/>
    <x v="2"/>
    <x v="0"/>
    <x v="3495"/>
    <x v="1"/>
    <x v="4"/>
  </r>
  <r>
    <x v="3563"/>
    <x v="89"/>
    <x v="1"/>
    <x v="1"/>
    <x v="4"/>
    <x v="0"/>
    <x v="4"/>
    <x v="3496"/>
    <x v="1"/>
    <x v="2"/>
  </r>
  <r>
    <x v="3564"/>
    <x v="74"/>
    <x v="0"/>
    <x v="4"/>
    <x v="9"/>
    <x v="1"/>
    <x v="9"/>
    <x v="3497"/>
    <x v="0"/>
    <x v="4"/>
  </r>
  <r>
    <x v="3565"/>
    <x v="59"/>
    <x v="0"/>
    <x v="3"/>
    <x v="3"/>
    <x v="1"/>
    <x v="5"/>
    <x v="3498"/>
    <x v="0"/>
    <x v="2"/>
  </r>
  <r>
    <x v="3566"/>
    <x v="59"/>
    <x v="0"/>
    <x v="8"/>
    <x v="7"/>
    <x v="2"/>
    <x v="6"/>
    <x v="3499"/>
    <x v="0"/>
    <x v="2"/>
  </r>
  <r>
    <x v="3567"/>
    <x v="24"/>
    <x v="1"/>
    <x v="7"/>
    <x v="7"/>
    <x v="1"/>
    <x v="0"/>
    <x v="3500"/>
    <x v="0"/>
    <x v="1"/>
  </r>
  <r>
    <x v="3568"/>
    <x v="20"/>
    <x v="0"/>
    <x v="6"/>
    <x v="2"/>
    <x v="2"/>
    <x v="1"/>
    <x v="3501"/>
    <x v="0"/>
    <x v="1"/>
  </r>
  <r>
    <x v="3569"/>
    <x v="51"/>
    <x v="0"/>
    <x v="4"/>
    <x v="6"/>
    <x v="2"/>
    <x v="3"/>
    <x v="2402"/>
    <x v="1"/>
    <x v="3"/>
  </r>
  <r>
    <x v="3570"/>
    <x v="66"/>
    <x v="1"/>
    <x v="6"/>
    <x v="3"/>
    <x v="1"/>
    <x v="1"/>
    <x v="3502"/>
    <x v="1"/>
    <x v="2"/>
  </r>
  <r>
    <x v="3571"/>
    <x v="89"/>
    <x v="0"/>
    <x v="1"/>
    <x v="5"/>
    <x v="2"/>
    <x v="11"/>
    <x v="3503"/>
    <x v="0"/>
    <x v="3"/>
  </r>
  <r>
    <x v="3572"/>
    <x v="9"/>
    <x v="1"/>
    <x v="0"/>
    <x v="3"/>
    <x v="1"/>
    <x v="6"/>
    <x v="3504"/>
    <x v="1"/>
    <x v="3"/>
  </r>
  <r>
    <x v="3573"/>
    <x v="34"/>
    <x v="0"/>
    <x v="9"/>
    <x v="2"/>
    <x v="0"/>
    <x v="10"/>
    <x v="3505"/>
    <x v="1"/>
    <x v="2"/>
  </r>
  <r>
    <x v="3574"/>
    <x v="77"/>
    <x v="1"/>
    <x v="8"/>
    <x v="3"/>
    <x v="1"/>
    <x v="14"/>
    <x v="3506"/>
    <x v="0"/>
    <x v="0"/>
  </r>
  <r>
    <x v="3575"/>
    <x v="21"/>
    <x v="1"/>
    <x v="4"/>
    <x v="5"/>
    <x v="1"/>
    <x v="1"/>
    <x v="3507"/>
    <x v="0"/>
    <x v="3"/>
  </r>
  <r>
    <x v="3576"/>
    <x v="69"/>
    <x v="1"/>
    <x v="1"/>
    <x v="2"/>
    <x v="2"/>
    <x v="4"/>
    <x v="3508"/>
    <x v="0"/>
    <x v="2"/>
  </r>
  <r>
    <x v="3577"/>
    <x v="58"/>
    <x v="1"/>
    <x v="3"/>
    <x v="6"/>
    <x v="2"/>
    <x v="9"/>
    <x v="3509"/>
    <x v="1"/>
    <x v="3"/>
  </r>
  <r>
    <x v="3578"/>
    <x v="71"/>
    <x v="1"/>
    <x v="2"/>
    <x v="3"/>
    <x v="1"/>
    <x v="13"/>
    <x v="3510"/>
    <x v="0"/>
    <x v="4"/>
  </r>
  <r>
    <x v="3579"/>
    <x v="83"/>
    <x v="1"/>
    <x v="1"/>
    <x v="2"/>
    <x v="2"/>
    <x v="4"/>
    <x v="3511"/>
    <x v="0"/>
    <x v="3"/>
  </r>
  <r>
    <x v="3580"/>
    <x v="69"/>
    <x v="1"/>
    <x v="8"/>
    <x v="5"/>
    <x v="0"/>
    <x v="3"/>
    <x v="2605"/>
    <x v="0"/>
    <x v="4"/>
  </r>
  <r>
    <x v="3581"/>
    <x v="7"/>
    <x v="0"/>
    <x v="1"/>
    <x v="3"/>
    <x v="2"/>
    <x v="13"/>
    <x v="1965"/>
    <x v="1"/>
    <x v="4"/>
  </r>
  <r>
    <x v="3582"/>
    <x v="50"/>
    <x v="0"/>
    <x v="6"/>
    <x v="3"/>
    <x v="2"/>
    <x v="4"/>
    <x v="3512"/>
    <x v="1"/>
    <x v="4"/>
  </r>
  <r>
    <x v="3583"/>
    <x v="29"/>
    <x v="0"/>
    <x v="2"/>
    <x v="6"/>
    <x v="1"/>
    <x v="14"/>
    <x v="3513"/>
    <x v="0"/>
    <x v="1"/>
  </r>
  <r>
    <x v="3584"/>
    <x v="81"/>
    <x v="1"/>
    <x v="2"/>
    <x v="7"/>
    <x v="0"/>
    <x v="0"/>
    <x v="3514"/>
    <x v="1"/>
    <x v="3"/>
  </r>
  <r>
    <x v="3585"/>
    <x v="70"/>
    <x v="1"/>
    <x v="3"/>
    <x v="0"/>
    <x v="2"/>
    <x v="4"/>
    <x v="3515"/>
    <x v="1"/>
    <x v="1"/>
  </r>
  <r>
    <x v="3586"/>
    <x v="1"/>
    <x v="1"/>
    <x v="4"/>
    <x v="6"/>
    <x v="0"/>
    <x v="9"/>
    <x v="3516"/>
    <x v="0"/>
    <x v="3"/>
  </r>
  <r>
    <x v="3587"/>
    <x v="78"/>
    <x v="0"/>
    <x v="8"/>
    <x v="8"/>
    <x v="2"/>
    <x v="11"/>
    <x v="3517"/>
    <x v="0"/>
    <x v="2"/>
  </r>
  <r>
    <x v="3588"/>
    <x v="40"/>
    <x v="0"/>
    <x v="8"/>
    <x v="3"/>
    <x v="2"/>
    <x v="2"/>
    <x v="3518"/>
    <x v="1"/>
    <x v="4"/>
  </r>
  <r>
    <x v="3589"/>
    <x v="26"/>
    <x v="0"/>
    <x v="5"/>
    <x v="4"/>
    <x v="2"/>
    <x v="1"/>
    <x v="3519"/>
    <x v="1"/>
    <x v="0"/>
  </r>
  <r>
    <x v="3590"/>
    <x v="73"/>
    <x v="0"/>
    <x v="8"/>
    <x v="8"/>
    <x v="2"/>
    <x v="4"/>
    <x v="3520"/>
    <x v="0"/>
    <x v="3"/>
  </r>
  <r>
    <x v="3591"/>
    <x v="38"/>
    <x v="0"/>
    <x v="3"/>
    <x v="1"/>
    <x v="2"/>
    <x v="11"/>
    <x v="3521"/>
    <x v="0"/>
    <x v="3"/>
  </r>
  <r>
    <x v="3592"/>
    <x v="17"/>
    <x v="0"/>
    <x v="2"/>
    <x v="7"/>
    <x v="2"/>
    <x v="13"/>
    <x v="3522"/>
    <x v="1"/>
    <x v="4"/>
  </r>
  <r>
    <x v="3593"/>
    <x v="29"/>
    <x v="0"/>
    <x v="6"/>
    <x v="7"/>
    <x v="2"/>
    <x v="14"/>
    <x v="3523"/>
    <x v="1"/>
    <x v="0"/>
  </r>
  <r>
    <x v="3594"/>
    <x v="30"/>
    <x v="1"/>
    <x v="4"/>
    <x v="1"/>
    <x v="1"/>
    <x v="12"/>
    <x v="3524"/>
    <x v="0"/>
    <x v="2"/>
  </r>
  <r>
    <x v="3595"/>
    <x v="57"/>
    <x v="0"/>
    <x v="8"/>
    <x v="6"/>
    <x v="2"/>
    <x v="8"/>
    <x v="3525"/>
    <x v="1"/>
    <x v="1"/>
  </r>
  <r>
    <x v="3596"/>
    <x v="89"/>
    <x v="0"/>
    <x v="4"/>
    <x v="7"/>
    <x v="1"/>
    <x v="12"/>
    <x v="3526"/>
    <x v="1"/>
    <x v="1"/>
  </r>
  <r>
    <x v="3597"/>
    <x v="89"/>
    <x v="0"/>
    <x v="9"/>
    <x v="7"/>
    <x v="0"/>
    <x v="1"/>
    <x v="3527"/>
    <x v="1"/>
    <x v="3"/>
  </r>
  <r>
    <x v="3598"/>
    <x v="76"/>
    <x v="1"/>
    <x v="4"/>
    <x v="4"/>
    <x v="1"/>
    <x v="14"/>
    <x v="3528"/>
    <x v="1"/>
    <x v="0"/>
  </r>
  <r>
    <x v="3599"/>
    <x v="34"/>
    <x v="0"/>
    <x v="8"/>
    <x v="9"/>
    <x v="1"/>
    <x v="13"/>
    <x v="3529"/>
    <x v="1"/>
    <x v="0"/>
  </r>
  <r>
    <x v="3600"/>
    <x v="54"/>
    <x v="1"/>
    <x v="1"/>
    <x v="6"/>
    <x v="2"/>
    <x v="10"/>
    <x v="3530"/>
    <x v="0"/>
    <x v="4"/>
  </r>
  <r>
    <x v="3601"/>
    <x v="56"/>
    <x v="0"/>
    <x v="4"/>
    <x v="0"/>
    <x v="2"/>
    <x v="8"/>
    <x v="3531"/>
    <x v="1"/>
    <x v="1"/>
  </r>
  <r>
    <x v="3602"/>
    <x v="10"/>
    <x v="1"/>
    <x v="7"/>
    <x v="3"/>
    <x v="1"/>
    <x v="4"/>
    <x v="3532"/>
    <x v="1"/>
    <x v="0"/>
  </r>
  <r>
    <x v="3603"/>
    <x v="69"/>
    <x v="0"/>
    <x v="0"/>
    <x v="3"/>
    <x v="0"/>
    <x v="3"/>
    <x v="3533"/>
    <x v="0"/>
    <x v="4"/>
  </r>
  <r>
    <x v="3604"/>
    <x v="86"/>
    <x v="0"/>
    <x v="1"/>
    <x v="5"/>
    <x v="1"/>
    <x v="4"/>
    <x v="3534"/>
    <x v="1"/>
    <x v="2"/>
  </r>
  <r>
    <x v="3605"/>
    <x v="31"/>
    <x v="1"/>
    <x v="5"/>
    <x v="0"/>
    <x v="2"/>
    <x v="0"/>
    <x v="3535"/>
    <x v="1"/>
    <x v="3"/>
  </r>
  <r>
    <x v="3606"/>
    <x v="78"/>
    <x v="1"/>
    <x v="8"/>
    <x v="8"/>
    <x v="0"/>
    <x v="14"/>
    <x v="3536"/>
    <x v="0"/>
    <x v="3"/>
  </r>
  <r>
    <x v="3607"/>
    <x v="53"/>
    <x v="0"/>
    <x v="2"/>
    <x v="6"/>
    <x v="2"/>
    <x v="13"/>
    <x v="3537"/>
    <x v="0"/>
    <x v="2"/>
  </r>
  <r>
    <x v="3608"/>
    <x v="59"/>
    <x v="0"/>
    <x v="1"/>
    <x v="2"/>
    <x v="1"/>
    <x v="12"/>
    <x v="3538"/>
    <x v="1"/>
    <x v="3"/>
  </r>
  <r>
    <x v="3609"/>
    <x v="63"/>
    <x v="0"/>
    <x v="1"/>
    <x v="7"/>
    <x v="1"/>
    <x v="9"/>
    <x v="3539"/>
    <x v="1"/>
    <x v="1"/>
  </r>
  <r>
    <x v="3610"/>
    <x v="9"/>
    <x v="0"/>
    <x v="1"/>
    <x v="8"/>
    <x v="0"/>
    <x v="0"/>
    <x v="3540"/>
    <x v="0"/>
    <x v="3"/>
  </r>
  <r>
    <x v="3611"/>
    <x v="0"/>
    <x v="0"/>
    <x v="9"/>
    <x v="9"/>
    <x v="0"/>
    <x v="4"/>
    <x v="3541"/>
    <x v="1"/>
    <x v="3"/>
  </r>
  <r>
    <x v="3612"/>
    <x v="20"/>
    <x v="0"/>
    <x v="7"/>
    <x v="3"/>
    <x v="2"/>
    <x v="0"/>
    <x v="3542"/>
    <x v="1"/>
    <x v="4"/>
  </r>
  <r>
    <x v="3613"/>
    <x v="51"/>
    <x v="1"/>
    <x v="0"/>
    <x v="8"/>
    <x v="1"/>
    <x v="13"/>
    <x v="3543"/>
    <x v="1"/>
    <x v="1"/>
  </r>
  <r>
    <x v="3614"/>
    <x v="42"/>
    <x v="0"/>
    <x v="4"/>
    <x v="9"/>
    <x v="0"/>
    <x v="1"/>
    <x v="3544"/>
    <x v="1"/>
    <x v="1"/>
  </r>
  <r>
    <x v="3615"/>
    <x v="75"/>
    <x v="1"/>
    <x v="1"/>
    <x v="0"/>
    <x v="1"/>
    <x v="4"/>
    <x v="3545"/>
    <x v="0"/>
    <x v="3"/>
  </r>
  <r>
    <x v="3616"/>
    <x v="85"/>
    <x v="1"/>
    <x v="1"/>
    <x v="1"/>
    <x v="0"/>
    <x v="4"/>
    <x v="3546"/>
    <x v="1"/>
    <x v="0"/>
  </r>
  <r>
    <x v="3617"/>
    <x v="46"/>
    <x v="0"/>
    <x v="0"/>
    <x v="3"/>
    <x v="1"/>
    <x v="1"/>
    <x v="3547"/>
    <x v="1"/>
    <x v="4"/>
  </r>
  <r>
    <x v="3618"/>
    <x v="79"/>
    <x v="1"/>
    <x v="9"/>
    <x v="7"/>
    <x v="1"/>
    <x v="6"/>
    <x v="3548"/>
    <x v="1"/>
    <x v="4"/>
  </r>
  <r>
    <x v="3619"/>
    <x v="13"/>
    <x v="0"/>
    <x v="2"/>
    <x v="8"/>
    <x v="2"/>
    <x v="8"/>
    <x v="3549"/>
    <x v="1"/>
    <x v="0"/>
  </r>
  <r>
    <x v="3620"/>
    <x v="39"/>
    <x v="0"/>
    <x v="2"/>
    <x v="5"/>
    <x v="1"/>
    <x v="9"/>
    <x v="3550"/>
    <x v="1"/>
    <x v="0"/>
  </r>
  <r>
    <x v="3621"/>
    <x v="23"/>
    <x v="1"/>
    <x v="9"/>
    <x v="9"/>
    <x v="1"/>
    <x v="5"/>
    <x v="3551"/>
    <x v="1"/>
    <x v="1"/>
  </r>
  <r>
    <x v="3622"/>
    <x v="21"/>
    <x v="0"/>
    <x v="9"/>
    <x v="8"/>
    <x v="1"/>
    <x v="8"/>
    <x v="3552"/>
    <x v="0"/>
    <x v="2"/>
  </r>
  <r>
    <x v="3623"/>
    <x v="55"/>
    <x v="1"/>
    <x v="7"/>
    <x v="0"/>
    <x v="0"/>
    <x v="11"/>
    <x v="3553"/>
    <x v="1"/>
    <x v="4"/>
  </r>
  <r>
    <x v="3624"/>
    <x v="22"/>
    <x v="1"/>
    <x v="7"/>
    <x v="3"/>
    <x v="2"/>
    <x v="6"/>
    <x v="3554"/>
    <x v="1"/>
    <x v="4"/>
  </r>
  <r>
    <x v="3625"/>
    <x v="35"/>
    <x v="1"/>
    <x v="2"/>
    <x v="1"/>
    <x v="0"/>
    <x v="10"/>
    <x v="3555"/>
    <x v="1"/>
    <x v="4"/>
  </r>
  <r>
    <x v="3626"/>
    <x v="4"/>
    <x v="1"/>
    <x v="8"/>
    <x v="8"/>
    <x v="0"/>
    <x v="1"/>
    <x v="3556"/>
    <x v="0"/>
    <x v="3"/>
  </r>
  <r>
    <x v="3627"/>
    <x v="55"/>
    <x v="1"/>
    <x v="8"/>
    <x v="0"/>
    <x v="2"/>
    <x v="1"/>
    <x v="3557"/>
    <x v="0"/>
    <x v="0"/>
  </r>
  <r>
    <x v="3628"/>
    <x v="43"/>
    <x v="0"/>
    <x v="6"/>
    <x v="3"/>
    <x v="0"/>
    <x v="0"/>
    <x v="3558"/>
    <x v="0"/>
    <x v="2"/>
  </r>
  <r>
    <x v="3629"/>
    <x v="38"/>
    <x v="0"/>
    <x v="6"/>
    <x v="0"/>
    <x v="2"/>
    <x v="14"/>
    <x v="3559"/>
    <x v="0"/>
    <x v="4"/>
  </r>
  <r>
    <x v="3630"/>
    <x v="29"/>
    <x v="0"/>
    <x v="9"/>
    <x v="0"/>
    <x v="0"/>
    <x v="14"/>
    <x v="3560"/>
    <x v="0"/>
    <x v="0"/>
  </r>
  <r>
    <x v="3631"/>
    <x v="23"/>
    <x v="0"/>
    <x v="2"/>
    <x v="8"/>
    <x v="1"/>
    <x v="1"/>
    <x v="3561"/>
    <x v="1"/>
    <x v="1"/>
  </r>
  <r>
    <x v="3632"/>
    <x v="24"/>
    <x v="1"/>
    <x v="0"/>
    <x v="8"/>
    <x v="1"/>
    <x v="6"/>
    <x v="3562"/>
    <x v="1"/>
    <x v="1"/>
  </r>
  <r>
    <x v="3633"/>
    <x v="49"/>
    <x v="0"/>
    <x v="1"/>
    <x v="2"/>
    <x v="0"/>
    <x v="6"/>
    <x v="3563"/>
    <x v="1"/>
    <x v="0"/>
  </r>
  <r>
    <x v="3634"/>
    <x v="37"/>
    <x v="1"/>
    <x v="1"/>
    <x v="6"/>
    <x v="0"/>
    <x v="5"/>
    <x v="3564"/>
    <x v="1"/>
    <x v="3"/>
  </r>
  <r>
    <x v="3635"/>
    <x v="7"/>
    <x v="1"/>
    <x v="3"/>
    <x v="6"/>
    <x v="2"/>
    <x v="4"/>
    <x v="3565"/>
    <x v="1"/>
    <x v="0"/>
  </r>
  <r>
    <x v="3636"/>
    <x v="85"/>
    <x v="0"/>
    <x v="1"/>
    <x v="3"/>
    <x v="2"/>
    <x v="8"/>
    <x v="3566"/>
    <x v="1"/>
    <x v="3"/>
  </r>
  <r>
    <x v="3637"/>
    <x v="18"/>
    <x v="1"/>
    <x v="5"/>
    <x v="8"/>
    <x v="0"/>
    <x v="3"/>
    <x v="3567"/>
    <x v="0"/>
    <x v="4"/>
  </r>
  <r>
    <x v="3638"/>
    <x v="47"/>
    <x v="1"/>
    <x v="9"/>
    <x v="4"/>
    <x v="0"/>
    <x v="4"/>
    <x v="3568"/>
    <x v="0"/>
    <x v="3"/>
  </r>
  <r>
    <x v="3639"/>
    <x v="28"/>
    <x v="1"/>
    <x v="5"/>
    <x v="1"/>
    <x v="1"/>
    <x v="12"/>
    <x v="3569"/>
    <x v="0"/>
    <x v="4"/>
  </r>
  <r>
    <x v="3640"/>
    <x v="58"/>
    <x v="1"/>
    <x v="1"/>
    <x v="0"/>
    <x v="0"/>
    <x v="10"/>
    <x v="3570"/>
    <x v="1"/>
    <x v="3"/>
  </r>
  <r>
    <x v="3641"/>
    <x v="83"/>
    <x v="0"/>
    <x v="1"/>
    <x v="0"/>
    <x v="0"/>
    <x v="4"/>
    <x v="2034"/>
    <x v="1"/>
    <x v="2"/>
  </r>
  <r>
    <x v="3642"/>
    <x v="4"/>
    <x v="1"/>
    <x v="1"/>
    <x v="0"/>
    <x v="0"/>
    <x v="1"/>
    <x v="3571"/>
    <x v="0"/>
    <x v="1"/>
  </r>
  <r>
    <x v="3643"/>
    <x v="76"/>
    <x v="0"/>
    <x v="0"/>
    <x v="1"/>
    <x v="2"/>
    <x v="6"/>
    <x v="3572"/>
    <x v="0"/>
    <x v="4"/>
  </r>
  <r>
    <x v="3644"/>
    <x v="17"/>
    <x v="0"/>
    <x v="1"/>
    <x v="7"/>
    <x v="2"/>
    <x v="13"/>
    <x v="3573"/>
    <x v="0"/>
    <x v="2"/>
  </r>
  <r>
    <x v="3645"/>
    <x v="13"/>
    <x v="1"/>
    <x v="4"/>
    <x v="2"/>
    <x v="1"/>
    <x v="14"/>
    <x v="3574"/>
    <x v="1"/>
    <x v="3"/>
  </r>
  <r>
    <x v="3646"/>
    <x v="35"/>
    <x v="0"/>
    <x v="5"/>
    <x v="3"/>
    <x v="2"/>
    <x v="5"/>
    <x v="3575"/>
    <x v="0"/>
    <x v="3"/>
  </r>
  <r>
    <x v="3647"/>
    <x v="5"/>
    <x v="1"/>
    <x v="9"/>
    <x v="9"/>
    <x v="0"/>
    <x v="3"/>
    <x v="3576"/>
    <x v="1"/>
    <x v="1"/>
  </r>
  <r>
    <x v="3648"/>
    <x v="3"/>
    <x v="0"/>
    <x v="1"/>
    <x v="3"/>
    <x v="1"/>
    <x v="0"/>
    <x v="3577"/>
    <x v="1"/>
    <x v="4"/>
  </r>
  <r>
    <x v="3649"/>
    <x v="1"/>
    <x v="0"/>
    <x v="3"/>
    <x v="5"/>
    <x v="1"/>
    <x v="11"/>
    <x v="3578"/>
    <x v="1"/>
    <x v="1"/>
  </r>
  <r>
    <x v="3650"/>
    <x v="88"/>
    <x v="1"/>
    <x v="4"/>
    <x v="0"/>
    <x v="2"/>
    <x v="9"/>
    <x v="3579"/>
    <x v="0"/>
    <x v="1"/>
  </r>
  <r>
    <x v="3651"/>
    <x v="70"/>
    <x v="1"/>
    <x v="4"/>
    <x v="2"/>
    <x v="0"/>
    <x v="2"/>
    <x v="3580"/>
    <x v="0"/>
    <x v="3"/>
  </r>
  <r>
    <x v="3652"/>
    <x v="65"/>
    <x v="1"/>
    <x v="3"/>
    <x v="0"/>
    <x v="2"/>
    <x v="5"/>
    <x v="3581"/>
    <x v="0"/>
    <x v="3"/>
  </r>
  <r>
    <x v="3653"/>
    <x v="17"/>
    <x v="0"/>
    <x v="3"/>
    <x v="5"/>
    <x v="1"/>
    <x v="13"/>
    <x v="3582"/>
    <x v="0"/>
    <x v="0"/>
  </r>
  <r>
    <x v="3654"/>
    <x v="51"/>
    <x v="1"/>
    <x v="0"/>
    <x v="4"/>
    <x v="0"/>
    <x v="5"/>
    <x v="3583"/>
    <x v="0"/>
    <x v="0"/>
  </r>
  <r>
    <x v="3655"/>
    <x v="28"/>
    <x v="1"/>
    <x v="3"/>
    <x v="5"/>
    <x v="0"/>
    <x v="0"/>
    <x v="3584"/>
    <x v="0"/>
    <x v="4"/>
  </r>
  <r>
    <x v="3656"/>
    <x v="88"/>
    <x v="1"/>
    <x v="8"/>
    <x v="5"/>
    <x v="2"/>
    <x v="7"/>
    <x v="3585"/>
    <x v="0"/>
    <x v="3"/>
  </r>
  <r>
    <x v="3657"/>
    <x v="49"/>
    <x v="1"/>
    <x v="2"/>
    <x v="7"/>
    <x v="2"/>
    <x v="7"/>
    <x v="3586"/>
    <x v="1"/>
    <x v="4"/>
  </r>
  <r>
    <x v="3658"/>
    <x v="53"/>
    <x v="0"/>
    <x v="7"/>
    <x v="8"/>
    <x v="2"/>
    <x v="10"/>
    <x v="3587"/>
    <x v="0"/>
    <x v="3"/>
  </r>
  <r>
    <x v="3659"/>
    <x v="54"/>
    <x v="1"/>
    <x v="1"/>
    <x v="0"/>
    <x v="2"/>
    <x v="10"/>
    <x v="3588"/>
    <x v="1"/>
    <x v="0"/>
  </r>
  <r>
    <x v="3660"/>
    <x v="62"/>
    <x v="0"/>
    <x v="1"/>
    <x v="8"/>
    <x v="2"/>
    <x v="9"/>
    <x v="3589"/>
    <x v="1"/>
    <x v="2"/>
  </r>
  <r>
    <x v="3661"/>
    <x v="35"/>
    <x v="0"/>
    <x v="8"/>
    <x v="3"/>
    <x v="1"/>
    <x v="1"/>
    <x v="3590"/>
    <x v="0"/>
    <x v="1"/>
  </r>
  <r>
    <x v="3662"/>
    <x v="76"/>
    <x v="1"/>
    <x v="3"/>
    <x v="2"/>
    <x v="1"/>
    <x v="7"/>
    <x v="3591"/>
    <x v="0"/>
    <x v="1"/>
  </r>
  <r>
    <x v="3663"/>
    <x v="25"/>
    <x v="0"/>
    <x v="7"/>
    <x v="7"/>
    <x v="0"/>
    <x v="9"/>
    <x v="3592"/>
    <x v="0"/>
    <x v="2"/>
  </r>
  <r>
    <x v="3664"/>
    <x v="27"/>
    <x v="1"/>
    <x v="0"/>
    <x v="2"/>
    <x v="0"/>
    <x v="5"/>
    <x v="3593"/>
    <x v="1"/>
    <x v="4"/>
  </r>
  <r>
    <x v="3665"/>
    <x v="21"/>
    <x v="0"/>
    <x v="4"/>
    <x v="5"/>
    <x v="2"/>
    <x v="7"/>
    <x v="3594"/>
    <x v="1"/>
    <x v="2"/>
  </r>
  <r>
    <x v="3666"/>
    <x v="69"/>
    <x v="0"/>
    <x v="6"/>
    <x v="5"/>
    <x v="2"/>
    <x v="8"/>
    <x v="3595"/>
    <x v="1"/>
    <x v="0"/>
  </r>
  <r>
    <x v="3667"/>
    <x v="30"/>
    <x v="1"/>
    <x v="8"/>
    <x v="9"/>
    <x v="1"/>
    <x v="10"/>
    <x v="3596"/>
    <x v="0"/>
    <x v="2"/>
  </r>
  <r>
    <x v="3668"/>
    <x v="23"/>
    <x v="0"/>
    <x v="7"/>
    <x v="2"/>
    <x v="0"/>
    <x v="3"/>
    <x v="3597"/>
    <x v="1"/>
    <x v="2"/>
  </r>
  <r>
    <x v="3669"/>
    <x v="24"/>
    <x v="1"/>
    <x v="4"/>
    <x v="7"/>
    <x v="2"/>
    <x v="3"/>
    <x v="3598"/>
    <x v="0"/>
    <x v="0"/>
  </r>
  <r>
    <x v="3670"/>
    <x v="9"/>
    <x v="0"/>
    <x v="2"/>
    <x v="5"/>
    <x v="0"/>
    <x v="4"/>
    <x v="3599"/>
    <x v="1"/>
    <x v="3"/>
  </r>
  <r>
    <x v="3671"/>
    <x v="78"/>
    <x v="1"/>
    <x v="8"/>
    <x v="4"/>
    <x v="2"/>
    <x v="5"/>
    <x v="2074"/>
    <x v="1"/>
    <x v="4"/>
  </r>
  <r>
    <x v="3672"/>
    <x v="21"/>
    <x v="1"/>
    <x v="2"/>
    <x v="7"/>
    <x v="2"/>
    <x v="2"/>
    <x v="3600"/>
    <x v="1"/>
    <x v="4"/>
  </r>
  <r>
    <x v="3673"/>
    <x v="11"/>
    <x v="0"/>
    <x v="3"/>
    <x v="7"/>
    <x v="2"/>
    <x v="9"/>
    <x v="3601"/>
    <x v="0"/>
    <x v="4"/>
  </r>
  <r>
    <x v="3674"/>
    <x v="83"/>
    <x v="0"/>
    <x v="2"/>
    <x v="5"/>
    <x v="0"/>
    <x v="13"/>
    <x v="3602"/>
    <x v="0"/>
    <x v="1"/>
  </r>
  <r>
    <x v="3675"/>
    <x v="89"/>
    <x v="0"/>
    <x v="9"/>
    <x v="6"/>
    <x v="0"/>
    <x v="0"/>
    <x v="3603"/>
    <x v="0"/>
    <x v="0"/>
  </r>
  <r>
    <x v="3676"/>
    <x v="59"/>
    <x v="0"/>
    <x v="9"/>
    <x v="2"/>
    <x v="0"/>
    <x v="10"/>
    <x v="3604"/>
    <x v="0"/>
    <x v="1"/>
  </r>
  <r>
    <x v="3677"/>
    <x v="33"/>
    <x v="1"/>
    <x v="5"/>
    <x v="1"/>
    <x v="1"/>
    <x v="11"/>
    <x v="3605"/>
    <x v="0"/>
    <x v="1"/>
  </r>
  <r>
    <x v="3678"/>
    <x v="56"/>
    <x v="0"/>
    <x v="3"/>
    <x v="1"/>
    <x v="0"/>
    <x v="0"/>
    <x v="3606"/>
    <x v="0"/>
    <x v="3"/>
  </r>
  <r>
    <x v="3679"/>
    <x v="14"/>
    <x v="0"/>
    <x v="4"/>
    <x v="5"/>
    <x v="0"/>
    <x v="1"/>
    <x v="3607"/>
    <x v="0"/>
    <x v="1"/>
  </r>
  <r>
    <x v="3680"/>
    <x v="77"/>
    <x v="1"/>
    <x v="8"/>
    <x v="1"/>
    <x v="1"/>
    <x v="5"/>
    <x v="3608"/>
    <x v="1"/>
    <x v="0"/>
  </r>
  <r>
    <x v="3681"/>
    <x v="71"/>
    <x v="0"/>
    <x v="0"/>
    <x v="8"/>
    <x v="0"/>
    <x v="2"/>
    <x v="3609"/>
    <x v="0"/>
    <x v="1"/>
  </r>
  <r>
    <x v="3682"/>
    <x v="75"/>
    <x v="1"/>
    <x v="3"/>
    <x v="1"/>
    <x v="2"/>
    <x v="2"/>
    <x v="3610"/>
    <x v="0"/>
    <x v="2"/>
  </r>
  <r>
    <x v="3683"/>
    <x v="78"/>
    <x v="0"/>
    <x v="7"/>
    <x v="5"/>
    <x v="2"/>
    <x v="1"/>
    <x v="3611"/>
    <x v="0"/>
    <x v="2"/>
  </r>
  <r>
    <x v="3684"/>
    <x v="67"/>
    <x v="1"/>
    <x v="7"/>
    <x v="6"/>
    <x v="2"/>
    <x v="13"/>
    <x v="3612"/>
    <x v="1"/>
    <x v="3"/>
  </r>
  <r>
    <x v="3685"/>
    <x v="51"/>
    <x v="0"/>
    <x v="8"/>
    <x v="2"/>
    <x v="2"/>
    <x v="13"/>
    <x v="3613"/>
    <x v="0"/>
    <x v="2"/>
  </r>
  <r>
    <x v="3686"/>
    <x v="26"/>
    <x v="1"/>
    <x v="3"/>
    <x v="9"/>
    <x v="0"/>
    <x v="1"/>
    <x v="3614"/>
    <x v="1"/>
    <x v="2"/>
  </r>
  <r>
    <x v="3687"/>
    <x v="5"/>
    <x v="1"/>
    <x v="2"/>
    <x v="9"/>
    <x v="2"/>
    <x v="14"/>
    <x v="1396"/>
    <x v="0"/>
    <x v="3"/>
  </r>
  <r>
    <x v="3688"/>
    <x v="83"/>
    <x v="1"/>
    <x v="6"/>
    <x v="5"/>
    <x v="0"/>
    <x v="7"/>
    <x v="3615"/>
    <x v="0"/>
    <x v="3"/>
  </r>
  <r>
    <x v="3689"/>
    <x v="66"/>
    <x v="0"/>
    <x v="7"/>
    <x v="6"/>
    <x v="1"/>
    <x v="1"/>
    <x v="3616"/>
    <x v="0"/>
    <x v="0"/>
  </r>
  <r>
    <x v="3690"/>
    <x v="14"/>
    <x v="1"/>
    <x v="5"/>
    <x v="0"/>
    <x v="0"/>
    <x v="11"/>
    <x v="800"/>
    <x v="1"/>
    <x v="1"/>
  </r>
  <r>
    <x v="3691"/>
    <x v="77"/>
    <x v="0"/>
    <x v="4"/>
    <x v="9"/>
    <x v="1"/>
    <x v="0"/>
    <x v="3617"/>
    <x v="1"/>
    <x v="0"/>
  </r>
  <r>
    <x v="3692"/>
    <x v="67"/>
    <x v="1"/>
    <x v="2"/>
    <x v="9"/>
    <x v="1"/>
    <x v="10"/>
    <x v="3618"/>
    <x v="0"/>
    <x v="0"/>
  </r>
  <r>
    <x v="3693"/>
    <x v="8"/>
    <x v="1"/>
    <x v="6"/>
    <x v="2"/>
    <x v="2"/>
    <x v="7"/>
    <x v="3619"/>
    <x v="0"/>
    <x v="3"/>
  </r>
  <r>
    <x v="3694"/>
    <x v="16"/>
    <x v="0"/>
    <x v="4"/>
    <x v="9"/>
    <x v="0"/>
    <x v="12"/>
    <x v="3620"/>
    <x v="1"/>
    <x v="2"/>
  </r>
  <r>
    <x v="3695"/>
    <x v="49"/>
    <x v="0"/>
    <x v="2"/>
    <x v="9"/>
    <x v="1"/>
    <x v="14"/>
    <x v="3621"/>
    <x v="1"/>
    <x v="1"/>
  </r>
  <r>
    <x v="3696"/>
    <x v="27"/>
    <x v="0"/>
    <x v="2"/>
    <x v="8"/>
    <x v="2"/>
    <x v="9"/>
    <x v="3622"/>
    <x v="0"/>
    <x v="3"/>
  </r>
  <r>
    <x v="3697"/>
    <x v="10"/>
    <x v="0"/>
    <x v="6"/>
    <x v="4"/>
    <x v="2"/>
    <x v="4"/>
    <x v="3623"/>
    <x v="1"/>
    <x v="1"/>
  </r>
  <r>
    <x v="3698"/>
    <x v="24"/>
    <x v="1"/>
    <x v="4"/>
    <x v="9"/>
    <x v="0"/>
    <x v="10"/>
    <x v="3624"/>
    <x v="1"/>
    <x v="2"/>
  </r>
  <r>
    <x v="3699"/>
    <x v="10"/>
    <x v="1"/>
    <x v="3"/>
    <x v="4"/>
    <x v="2"/>
    <x v="2"/>
    <x v="546"/>
    <x v="0"/>
    <x v="3"/>
  </r>
  <r>
    <x v="3700"/>
    <x v="56"/>
    <x v="0"/>
    <x v="0"/>
    <x v="0"/>
    <x v="0"/>
    <x v="11"/>
    <x v="3625"/>
    <x v="0"/>
    <x v="0"/>
  </r>
  <r>
    <x v="3701"/>
    <x v="39"/>
    <x v="0"/>
    <x v="4"/>
    <x v="0"/>
    <x v="2"/>
    <x v="10"/>
    <x v="3626"/>
    <x v="0"/>
    <x v="0"/>
  </r>
  <r>
    <x v="3702"/>
    <x v="2"/>
    <x v="0"/>
    <x v="9"/>
    <x v="3"/>
    <x v="2"/>
    <x v="2"/>
    <x v="3627"/>
    <x v="1"/>
    <x v="3"/>
  </r>
  <r>
    <x v="3703"/>
    <x v="54"/>
    <x v="0"/>
    <x v="4"/>
    <x v="8"/>
    <x v="2"/>
    <x v="4"/>
    <x v="3628"/>
    <x v="0"/>
    <x v="0"/>
  </r>
  <r>
    <x v="3704"/>
    <x v="43"/>
    <x v="0"/>
    <x v="1"/>
    <x v="5"/>
    <x v="1"/>
    <x v="5"/>
    <x v="3629"/>
    <x v="0"/>
    <x v="1"/>
  </r>
  <r>
    <x v="3705"/>
    <x v="88"/>
    <x v="0"/>
    <x v="8"/>
    <x v="5"/>
    <x v="2"/>
    <x v="0"/>
    <x v="3630"/>
    <x v="0"/>
    <x v="4"/>
  </r>
  <r>
    <x v="3706"/>
    <x v="10"/>
    <x v="1"/>
    <x v="9"/>
    <x v="2"/>
    <x v="1"/>
    <x v="12"/>
    <x v="3631"/>
    <x v="1"/>
    <x v="0"/>
  </r>
  <r>
    <x v="3707"/>
    <x v="22"/>
    <x v="0"/>
    <x v="2"/>
    <x v="0"/>
    <x v="0"/>
    <x v="9"/>
    <x v="3632"/>
    <x v="0"/>
    <x v="4"/>
  </r>
  <r>
    <x v="3708"/>
    <x v="19"/>
    <x v="0"/>
    <x v="8"/>
    <x v="7"/>
    <x v="2"/>
    <x v="12"/>
    <x v="3633"/>
    <x v="1"/>
    <x v="1"/>
  </r>
  <r>
    <x v="3709"/>
    <x v="32"/>
    <x v="1"/>
    <x v="7"/>
    <x v="2"/>
    <x v="0"/>
    <x v="5"/>
    <x v="3634"/>
    <x v="1"/>
    <x v="1"/>
  </r>
  <r>
    <x v="3710"/>
    <x v="55"/>
    <x v="1"/>
    <x v="1"/>
    <x v="6"/>
    <x v="2"/>
    <x v="12"/>
    <x v="3635"/>
    <x v="1"/>
    <x v="0"/>
  </r>
  <r>
    <x v="3711"/>
    <x v="4"/>
    <x v="0"/>
    <x v="5"/>
    <x v="5"/>
    <x v="1"/>
    <x v="5"/>
    <x v="3636"/>
    <x v="1"/>
    <x v="3"/>
  </r>
  <r>
    <x v="3712"/>
    <x v="73"/>
    <x v="1"/>
    <x v="1"/>
    <x v="1"/>
    <x v="0"/>
    <x v="6"/>
    <x v="935"/>
    <x v="1"/>
    <x v="4"/>
  </r>
  <r>
    <x v="3713"/>
    <x v="82"/>
    <x v="0"/>
    <x v="4"/>
    <x v="3"/>
    <x v="1"/>
    <x v="3"/>
    <x v="3637"/>
    <x v="0"/>
    <x v="0"/>
  </r>
  <r>
    <x v="3714"/>
    <x v="15"/>
    <x v="1"/>
    <x v="5"/>
    <x v="0"/>
    <x v="1"/>
    <x v="10"/>
    <x v="3638"/>
    <x v="0"/>
    <x v="4"/>
  </r>
  <r>
    <x v="3715"/>
    <x v="33"/>
    <x v="0"/>
    <x v="2"/>
    <x v="8"/>
    <x v="2"/>
    <x v="8"/>
    <x v="3639"/>
    <x v="1"/>
    <x v="1"/>
  </r>
  <r>
    <x v="3716"/>
    <x v="50"/>
    <x v="0"/>
    <x v="9"/>
    <x v="6"/>
    <x v="1"/>
    <x v="4"/>
    <x v="3640"/>
    <x v="1"/>
    <x v="2"/>
  </r>
  <r>
    <x v="3717"/>
    <x v="66"/>
    <x v="1"/>
    <x v="2"/>
    <x v="0"/>
    <x v="2"/>
    <x v="2"/>
    <x v="3641"/>
    <x v="0"/>
    <x v="4"/>
  </r>
  <r>
    <x v="3718"/>
    <x v="76"/>
    <x v="0"/>
    <x v="1"/>
    <x v="3"/>
    <x v="1"/>
    <x v="2"/>
    <x v="3642"/>
    <x v="1"/>
    <x v="3"/>
  </r>
  <r>
    <x v="3719"/>
    <x v="40"/>
    <x v="1"/>
    <x v="3"/>
    <x v="6"/>
    <x v="1"/>
    <x v="6"/>
    <x v="3643"/>
    <x v="1"/>
    <x v="0"/>
  </r>
  <r>
    <x v="3720"/>
    <x v="21"/>
    <x v="0"/>
    <x v="0"/>
    <x v="2"/>
    <x v="1"/>
    <x v="1"/>
    <x v="3644"/>
    <x v="0"/>
    <x v="3"/>
  </r>
  <r>
    <x v="3721"/>
    <x v="51"/>
    <x v="1"/>
    <x v="2"/>
    <x v="6"/>
    <x v="0"/>
    <x v="7"/>
    <x v="3645"/>
    <x v="0"/>
    <x v="1"/>
  </r>
  <r>
    <x v="3722"/>
    <x v="26"/>
    <x v="0"/>
    <x v="4"/>
    <x v="7"/>
    <x v="1"/>
    <x v="12"/>
    <x v="3646"/>
    <x v="0"/>
    <x v="2"/>
  </r>
  <r>
    <x v="3723"/>
    <x v="4"/>
    <x v="0"/>
    <x v="9"/>
    <x v="1"/>
    <x v="2"/>
    <x v="1"/>
    <x v="3647"/>
    <x v="1"/>
    <x v="0"/>
  </r>
  <r>
    <x v="3724"/>
    <x v="10"/>
    <x v="1"/>
    <x v="0"/>
    <x v="1"/>
    <x v="0"/>
    <x v="7"/>
    <x v="3648"/>
    <x v="0"/>
    <x v="0"/>
  </r>
  <r>
    <x v="3725"/>
    <x v="30"/>
    <x v="0"/>
    <x v="7"/>
    <x v="9"/>
    <x v="1"/>
    <x v="9"/>
    <x v="3649"/>
    <x v="1"/>
    <x v="0"/>
  </r>
  <r>
    <x v="3726"/>
    <x v="87"/>
    <x v="1"/>
    <x v="0"/>
    <x v="8"/>
    <x v="1"/>
    <x v="1"/>
    <x v="3650"/>
    <x v="0"/>
    <x v="0"/>
  </r>
  <r>
    <x v="3727"/>
    <x v="41"/>
    <x v="1"/>
    <x v="7"/>
    <x v="4"/>
    <x v="1"/>
    <x v="12"/>
    <x v="3651"/>
    <x v="1"/>
    <x v="2"/>
  </r>
  <r>
    <x v="3728"/>
    <x v="52"/>
    <x v="0"/>
    <x v="3"/>
    <x v="4"/>
    <x v="2"/>
    <x v="11"/>
    <x v="3652"/>
    <x v="0"/>
    <x v="0"/>
  </r>
  <r>
    <x v="3729"/>
    <x v="47"/>
    <x v="1"/>
    <x v="8"/>
    <x v="3"/>
    <x v="1"/>
    <x v="5"/>
    <x v="3653"/>
    <x v="0"/>
    <x v="3"/>
  </r>
  <r>
    <x v="3730"/>
    <x v="85"/>
    <x v="1"/>
    <x v="5"/>
    <x v="5"/>
    <x v="0"/>
    <x v="8"/>
    <x v="3654"/>
    <x v="1"/>
    <x v="2"/>
  </r>
  <r>
    <x v="3731"/>
    <x v="16"/>
    <x v="0"/>
    <x v="6"/>
    <x v="5"/>
    <x v="2"/>
    <x v="1"/>
    <x v="3655"/>
    <x v="0"/>
    <x v="0"/>
  </r>
  <r>
    <x v="3732"/>
    <x v="16"/>
    <x v="0"/>
    <x v="3"/>
    <x v="5"/>
    <x v="1"/>
    <x v="2"/>
    <x v="3656"/>
    <x v="1"/>
    <x v="2"/>
  </r>
  <r>
    <x v="3733"/>
    <x v="86"/>
    <x v="1"/>
    <x v="3"/>
    <x v="7"/>
    <x v="1"/>
    <x v="9"/>
    <x v="3657"/>
    <x v="1"/>
    <x v="3"/>
  </r>
  <r>
    <x v="3734"/>
    <x v="37"/>
    <x v="0"/>
    <x v="7"/>
    <x v="9"/>
    <x v="2"/>
    <x v="2"/>
    <x v="3658"/>
    <x v="1"/>
    <x v="2"/>
  </r>
  <r>
    <x v="3735"/>
    <x v="65"/>
    <x v="1"/>
    <x v="1"/>
    <x v="2"/>
    <x v="1"/>
    <x v="1"/>
    <x v="3659"/>
    <x v="0"/>
    <x v="1"/>
  </r>
  <r>
    <x v="3736"/>
    <x v="76"/>
    <x v="0"/>
    <x v="2"/>
    <x v="7"/>
    <x v="0"/>
    <x v="2"/>
    <x v="3660"/>
    <x v="1"/>
    <x v="1"/>
  </r>
  <r>
    <x v="3737"/>
    <x v="71"/>
    <x v="0"/>
    <x v="4"/>
    <x v="7"/>
    <x v="0"/>
    <x v="14"/>
    <x v="3661"/>
    <x v="1"/>
    <x v="2"/>
  </r>
  <r>
    <x v="3738"/>
    <x v="48"/>
    <x v="1"/>
    <x v="7"/>
    <x v="5"/>
    <x v="1"/>
    <x v="5"/>
    <x v="92"/>
    <x v="1"/>
    <x v="0"/>
  </r>
  <r>
    <x v="3739"/>
    <x v="23"/>
    <x v="0"/>
    <x v="8"/>
    <x v="0"/>
    <x v="2"/>
    <x v="5"/>
    <x v="3662"/>
    <x v="0"/>
    <x v="2"/>
  </r>
  <r>
    <x v="3740"/>
    <x v="10"/>
    <x v="0"/>
    <x v="7"/>
    <x v="1"/>
    <x v="1"/>
    <x v="11"/>
    <x v="3663"/>
    <x v="1"/>
    <x v="1"/>
  </r>
  <r>
    <x v="3741"/>
    <x v="14"/>
    <x v="0"/>
    <x v="6"/>
    <x v="3"/>
    <x v="2"/>
    <x v="1"/>
    <x v="3664"/>
    <x v="1"/>
    <x v="4"/>
  </r>
  <r>
    <x v="3742"/>
    <x v="0"/>
    <x v="0"/>
    <x v="3"/>
    <x v="0"/>
    <x v="2"/>
    <x v="5"/>
    <x v="3665"/>
    <x v="1"/>
    <x v="1"/>
  </r>
  <r>
    <x v="3743"/>
    <x v="32"/>
    <x v="1"/>
    <x v="1"/>
    <x v="4"/>
    <x v="0"/>
    <x v="5"/>
    <x v="3666"/>
    <x v="0"/>
    <x v="0"/>
  </r>
  <r>
    <x v="3744"/>
    <x v="36"/>
    <x v="1"/>
    <x v="7"/>
    <x v="5"/>
    <x v="1"/>
    <x v="2"/>
    <x v="3667"/>
    <x v="1"/>
    <x v="3"/>
  </r>
  <r>
    <x v="3745"/>
    <x v="4"/>
    <x v="0"/>
    <x v="3"/>
    <x v="0"/>
    <x v="2"/>
    <x v="6"/>
    <x v="3668"/>
    <x v="0"/>
    <x v="4"/>
  </r>
  <r>
    <x v="3746"/>
    <x v="20"/>
    <x v="1"/>
    <x v="4"/>
    <x v="1"/>
    <x v="1"/>
    <x v="3"/>
    <x v="3669"/>
    <x v="1"/>
    <x v="0"/>
  </r>
  <r>
    <x v="3747"/>
    <x v="50"/>
    <x v="0"/>
    <x v="9"/>
    <x v="9"/>
    <x v="2"/>
    <x v="10"/>
    <x v="3670"/>
    <x v="1"/>
    <x v="0"/>
  </r>
  <r>
    <x v="3748"/>
    <x v="64"/>
    <x v="0"/>
    <x v="2"/>
    <x v="4"/>
    <x v="0"/>
    <x v="10"/>
    <x v="3671"/>
    <x v="0"/>
    <x v="3"/>
  </r>
  <r>
    <x v="3749"/>
    <x v="14"/>
    <x v="0"/>
    <x v="4"/>
    <x v="5"/>
    <x v="1"/>
    <x v="7"/>
    <x v="3672"/>
    <x v="1"/>
    <x v="3"/>
  </r>
  <r>
    <x v="3750"/>
    <x v="48"/>
    <x v="1"/>
    <x v="1"/>
    <x v="6"/>
    <x v="1"/>
    <x v="4"/>
    <x v="3673"/>
    <x v="0"/>
    <x v="2"/>
  </r>
  <r>
    <x v="3751"/>
    <x v="60"/>
    <x v="1"/>
    <x v="8"/>
    <x v="9"/>
    <x v="1"/>
    <x v="2"/>
    <x v="3674"/>
    <x v="1"/>
    <x v="1"/>
  </r>
  <r>
    <x v="3752"/>
    <x v="18"/>
    <x v="0"/>
    <x v="3"/>
    <x v="0"/>
    <x v="1"/>
    <x v="13"/>
    <x v="3675"/>
    <x v="1"/>
    <x v="1"/>
  </r>
  <r>
    <x v="3753"/>
    <x v="88"/>
    <x v="0"/>
    <x v="0"/>
    <x v="6"/>
    <x v="2"/>
    <x v="0"/>
    <x v="3676"/>
    <x v="1"/>
    <x v="4"/>
  </r>
  <r>
    <x v="3754"/>
    <x v="78"/>
    <x v="1"/>
    <x v="4"/>
    <x v="7"/>
    <x v="2"/>
    <x v="5"/>
    <x v="3677"/>
    <x v="1"/>
    <x v="4"/>
  </r>
  <r>
    <x v="3755"/>
    <x v="70"/>
    <x v="1"/>
    <x v="8"/>
    <x v="5"/>
    <x v="0"/>
    <x v="4"/>
    <x v="3678"/>
    <x v="0"/>
    <x v="1"/>
  </r>
  <r>
    <x v="3756"/>
    <x v="49"/>
    <x v="1"/>
    <x v="7"/>
    <x v="3"/>
    <x v="0"/>
    <x v="9"/>
    <x v="3679"/>
    <x v="1"/>
    <x v="0"/>
  </r>
  <r>
    <x v="3757"/>
    <x v="87"/>
    <x v="0"/>
    <x v="5"/>
    <x v="0"/>
    <x v="0"/>
    <x v="14"/>
    <x v="3680"/>
    <x v="1"/>
    <x v="1"/>
  </r>
  <r>
    <x v="3758"/>
    <x v="56"/>
    <x v="0"/>
    <x v="1"/>
    <x v="4"/>
    <x v="2"/>
    <x v="5"/>
    <x v="3681"/>
    <x v="1"/>
    <x v="2"/>
  </r>
  <r>
    <x v="3759"/>
    <x v="84"/>
    <x v="1"/>
    <x v="8"/>
    <x v="0"/>
    <x v="2"/>
    <x v="11"/>
    <x v="3682"/>
    <x v="0"/>
    <x v="3"/>
  </r>
  <r>
    <x v="3760"/>
    <x v="16"/>
    <x v="0"/>
    <x v="7"/>
    <x v="7"/>
    <x v="0"/>
    <x v="14"/>
    <x v="3683"/>
    <x v="1"/>
    <x v="3"/>
  </r>
  <r>
    <x v="3761"/>
    <x v="56"/>
    <x v="0"/>
    <x v="2"/>
    <x v="0"/>
    <x v="2"/>
    <x v="13"/>
    <x v="326"/>
    <x v="0"/>
    <x v="1"/>
  </r>
  <r>
    <x v="3762"/>
    <x v="15"/>
    <x v="0"/>
    <x v="3"/>
    <x v="4"/>
    <x v="2"/>
    <x v="14"/>
    <x v="3684"/>
    <x v="1"/>
    <x v="0"/>
  </r>
  <r>
    <x v="3763"/>
    <x v="9"/>
    <x v="1"/>
    <x v="5"/>
    <x v="6"/>
    <x v="2"/>
    <x v="9"/>
    <x v="3685"/>
    <x v="1"/>
    <x v="2"/>
  </r>
  <r>
    <x v="3764"/>
    <x v="57"/>
    <x v="1"/>
    <x v="0"/>
    <x v="3"/>
    <x v="1"/>
    <x v="4"/>
    <x v="3686"/>
    <x v="1"/>
    <x v="4"/>
  </r>
  <r>
    <x v="3765"/>
    <x v="72"/>
    <x v="1"/>
    <x v="1"/>
    <x v="7"/>
    <x v="0"/>
    <x v="6"/>
    <x v="3687"/>
    <x v="1"/>
    <x v="3"/>
  </r>
  <r>
    <x v="3766"/>
    <x v="76"/>
    <x v="0"/>
    <x v="4"/>
    <x v="1"/>
    <x v="2"/>
    <x v="14"/>
    <x v="3688"/>
    <x v="0"/>
    <x v="0"/>
  </r>
  <r>
    <x v="3767"/>
    <x v="71"/>
    <x v="1"/>
    <x v="0"/>
    <x v="3"/>
    <x v="0"/>
    <x v="0"/>
    <x v="3689"/>
    <x v="0"/>
    <x v="3"/>
  </r>
  <r>
    <x v="3768"/>
    <x v="22"/>
    <x v="1"/>
    <x v="9"/>
    <x v="4"/>
    <x v="0"/>
    <x v="3"/>
    <x v="3690"/>
    <x v="0"/>
    <x v="3"/>
  </r>
  <r>
    <x v="3769"/>
    <x v="30"/>
    <x v="0"/>
    <x v="7"/>
    <x v="6"/>
    <x v="0"/>
    <x v="7"/>
    <x v="3691"/>
    <x v="0"/>
    <x v="4"/>
  </r>
  <r>
    <x v="3770"/>
    <x v="67"/>
    <x v="0"/>
    <x v="1"/>
    <x v="0"/>
    <x v="2"/>
    <x v="7"/>
    <x v="3692"/>
    <x v="0"/>
    <x v="2"/>
  </r>
  <r>
    <x v="3771"/>
    <x v="26"/>
    <x v="1"/>
    <x v="6"/>
    <x v="3"/>
    <x v="0"/>
    <x v="7"/>
    <x v="3693"/>
    <x v="1"/>
    <x v="2"/>
  </r>
  <r>
    <x v="3772"/>
    <x v="2"/>
    <x v="0"/>
    <x v="2"/>
    <x v="3"/>
    <x v="1"/>
    <x v="11"/>
    <x v="3694"/>
    <x v="0"/>
    <x v="0"/>
  </r>
  <r>
    <x v="3773"/>
    <x v="74"/>
    <x v="0"/>
    <x v="8"/>
    <x v="7"/>
    <x v="0"/>
    <x v="1"/>
    <x v="3695"/>
    <x v="1"/>
    <x v="1"/>
  </r>
  <r>
    <x v="3774"/>
    <x v="56"/>
    <x v="0"/>
    <x v="2"/>
    <x v="6"/>
    <x v="2"/>
    <x v="12"/>
    <x v="3696"/>
    <x v="0"/>
    <x v="0"/>
  </r>
  <r>
    <x v="3775"/>
    <x v="49"/>
    <x v="1"/>
    <x v="2"/>
    <x v="5"/>
    <x v="1"/>
    <x v="8"/>
    <x v="3697"/>
    <x v="1"/>
    <x v="4"/>
  </r>
  <r>
    <x v="3776"/>
    <x v="53"/>
    <x v="1"/>
    <x v="6"/>
    <x v="4"/>
    <x v="1"/>
    <x v="0"/>
    <x v="3698"/>
    <x v="1"/>
    <x v="2"/>
  </r>
  <r>
    <x v="3777"/>
    <x v="66"/>
    <x v="1"/>
    <x v="6"/>
    <x v="3"/>
    <x v="1"/>
    <x v="9"/>
    <x v="3699"/>
    <x v="0"/>
    <x v="2"/>
  </r>
  <r>
    <x v="3778"/>
    <x v="46"/>
    <x v="1"/>
    <x v="1"/>
    <x v="1"/>
    <x v="2"/>
    <x v="6"/>
    <x v="3700"/>
    <x v="1"/>
    <x v="3"/>
  </r>
  <r>
    <x v="3779"/>
    <x v="42"/>
    <x v="0"/>
    <x v="8"/>
    <x v="3"/>
    <x v="0"/>
    <x v="6"/>
    <x v="3701"/>
    <x v="1"/>
    <x v="3"/>
  </r>
  <r>
    <x v="3780"/>
    <x v="29"/>
    <x v="0"/>
    <x v="7"/>
    <x v="5"/>
    <x v="2"/>
    <x v="2"/>
    <x v="3702"/>
    <x v="1"/>
    <x v="1"/>
  </r>
  <r>
    <x v="3781"/>
    <x v="72"/>
    <x v="1"/>
    <x v="1"/>
    <x v="5"/>
    <x v="0"/>
    <x v="9"/>
    <x v="3703"/>
    <x v="1"/>
    <x v="1"/>
  </r>
  <r>
    <x v="3782"/>
    <x v="66"/>
    <x v="0"/>
    <x v="0"/>
    <x v="5"/>
    <x v="0"/>
    <x v="11"/>
    <x v="3704"/>
    <x v="0"/>
    <x v="3"/>
  </r>
  <r>
    <x v="3783"/>
    <x v="0"/>
    <x v="1"/>
    <x v="3"/>
    <x v="2"/>
    <x v="0"/>
    <x v="14"/>
    <x v="3705"/>
    <x v="0"/>
    <x v="3"/>
  </r>
  <r>
    <x v="3784"/>
    <x v="45"/>
    <x v="1"/>
    <x v="3"/>
    <x v="5"/>
    <x v="0"/>
    <x v="12"/>
    <x v="3706"/>
    <x v="1"/>
    <x v="1"/>
  </r>
  <r>
    <x v="3785"/>
    <x v="82"/>
    <x v="0"/>
    <x v="3"/>
    <x v="9"/>
    <x v="2"/>
    <x v="10"/>
    <x v="3707"/>
    <x v="0"/>
    <x v="3"/>
  </r>
  <r>
    <x v="3786"/>
    <x v="74"/>
    <x v="1"/>
    <x v="9"/>
    <x v="0"/>
    <x v="0"/>
    <x v="6"/>
    <x v="3708"/>
    <x v="0"/>
    <x v="4"/>
  </r>
  <r>
    <x v="3787"/>
    <x v="89"/>
    <x v="0"/>
    <x v="1"/>
    <x v="2"/>
    <x v="0"/>
    <x v="7"/>
    <x v="3709"/>
    <x v="1"/>
    <x v="1"/>
  </r>
  <r>
    <x v="3788"/>
    <x v="70"/>
    <x v="0"/>
    <x v="8"/>
    <x v="1"/>
    <x v="2"/>
    <x v="5"/>
    <x v="3710"/>
    <x v="1"/>
    <x v="3"/>
  </r>
  <r>
    <x v="3789"/>
    <x v="36"/>
    <x v="0"/>
    <x v="4"/>
    <x v="2"/>
    <x v="1"/>
    <x v="1"/>
    <x v="3711"/>
    <x v="1"/>
    <x v="1"/>
  </r>
  <r>
    <x v="3790"/>
    <x v="88"/>
    <x v="0"/>
    <x v="4"/>
    <x v="9"/>
    <x v="2"/>
    <x v="4"/>
    <x v="3712"/>
    <x v="1"/>
    <x v="0"/>
  </r>
  <r>
    <x v="3791"/>
    <x v="2"/>
    <x v="0"/>
    <x v="2"/>
    <x v="9"/>
    <x v="0"/>
    <x v="2"/>
    <x v="3713"/>
    <x v="0"/>
    <x v="4"/>
  </r>
  <r>
    <x v="3792"/>
    <x v="73"/>
    <x v="1"/>
    <x v="7"/>
    <x v="1"/>
    <x v="2"/>
    <x v="2"/>
    <x v="3714"/>
    <x v="1"/>
    <x v="4"/>
  </r>
  <r>
    <x v="3793"/>
    <x v="18"/>
    <x v="1"/>
    <x v="0"/>
    <x v="2"/>
    <x v="2"/>
    <x v="10"/>
    <x v="3715"/>
    <x v="0"/>
    <x v="3"/>
  </r>
  <r>
    <x v="3794"/>
    <x v="33"/>
    <x v="1"/>
    <x v="3"/>
    <x v="3"/>
    <x v="1"/>
    <x v="3"/>
    <x v="3716"/>
    <x v="0"/>
    <x v="2"/>
  </r>
  <r>
    <x v="3795"/>
    <x v="24"/>
    <x v="0"/>
    <x v="9"/>
    <x v="4"/>
    <x v="1"/>
    <x v="6"/>
    <x v="3717"/>
    <x v="0"/>
    <x v="1"/>
  </r>
  <r>
    <x v="3796"/>
    <x v="37"/>
    <x v="1"/>
    <x v="8"/>
    <x v="1"/>
    <x v="1"/>
    <x v="6"/>
    <x v="3718"/>
    <x v="0"/>
    <x v="1"/>
  </r>
  <r>
    <x v="3797"/>
    <x v="8"/>
    <x v="1"/>
    <x v="3"/>
    <x v="9"/>
    <x v="0"/>
    <x v="0"/>
    <x v="3719"/>
    <x v="0"/>
    <x v="4"/>
  </r>
  <r>
    <x v="3798"/>
    <x v="1"/>
    <x v="1"/>
    <x v="8"/>
    <x v="3"/>
    <x v="2"/>
    <x v="5"/>
    <x v="3720"/>
    <x v="0"/>
    <x v="1"/>
  </r>
  <r>
    <x v="3799"/>
    <x v="85"/>
    <x v="0"/>
    <x v="6"/>
    <x v="2"/>
    <x v="0"/>
    <x v="5"/>
    <x v="3721"/>
    <x v="0"/>
    <x v="4"/>
  </r>
  <r>
    <x v="3800"/>
    <x v="78"/>
    <x v="0"/>
    <x v="5"/>
    <x v="3"/>
    <x v="2"/>
    <x v="4"/>
    <x v="3722"/>
    <x v="0"/>
    <x v="0"/>
  </r>
  <r>
    <x v="3801"/>
    <x v="42"/>
    <x v="1"/>
    <x v="0"/>
    <x v="7"/>
    <x v="0"/>
    <x v="2"/>
    <x v="3723"/>
    <x v="1"/>
    <x v="1"/>
  </r>
  <r>
    <x v="3802"/>
    <x v="60"/>
    <x v="1"/>
    <x v="0"/>
    <x v="1"/>
    <x v="1"/>
    <x v="12"/>
    <x v="3724"/>
    <x v="1"/>
    <x v="2"/>
  </r>
  <r>
    <x v="3803"/>
    <x v="83"/>
    <x v="0"/>
    <x v="3"/>
    <x v="3"/>
    <x v="0"/>
    <x v="7"/>
    <x v="3725"/>
    <x v="1"/>
    <x v="0"/>
  </r>
  <r>
    <x v="3804"/>
    <x v="44"/>
    <x v="1"/>
    <x v="6"/>
    <x v="6"/>
    <x v="2"/>
    <x v="8"/>
    <x v="3726"/>
    <x v="0"/>
    <x v="3"/>
  </r>
  <r>
    <x v="3805"/>
    <x v="64"/>
    <x v="1"/>
    <x v="9"/>
    <x v="7"/>
    <x v="0"/>
    <x v="13"/>
    <x v="3727"/>
    <x v="0"/>
    <x v="4"/>
  </r>
  <r>
    <x v="3806"/>
    <x v="84"/>
    <x v="1"/>
    <x v="1"/>
    <x v="5"/>
    <x v="2"/>
    <x v="6"/>
    <x v="3728"/>
    <x v="1"/>
    <x v="4"/>
  </r>
  <r>
    <x v="3807"/>
    <x v="67"/>
    <x v="0"/>
    <x v="1"/>
    <x v="7"/>
    <x v="0"/>
    <x v="8"/>
    <x v="3729"/>
    <x v="0"/>
    <x v="2"/>
  </r>
  <r>
    <x v="3808"/>
    <x v="3"/>
    <x v="0"/>
    <x v="0"/>
    <x v="5"/>
    <x v="1"/>
    <x v="10"/>
    <x v="3730"/>
    <x v="1"/>
    <x v="1"/>
  </r>
  <r>
    <x v="3809"/>
    <x v="89"/>
    <x v="0"/>
    <x v="3"/>
    <x v="7"/>
    <x v="0"/>
    <x v="4"/>
    <x v="3731"/>
    <x v="1"/>
    <x v="0"/>
  </r>
  <r>
    <x v="3810"/>
    <x v="10"/>
    <x v="0"/>
    <x v="5"/>
    <x v="6"/>
    <x v="0"/>
    <x v="2"/>
    <x v="3732"/>
    <x v="1"/>
    <x v="1"/>
  </r>
  <r>
    <x v="3811"/>
    <x v="49"/>
    <x v="1"/>
    <x v="1"/>
    <x v="9"/>
    <x v="0"/>
    <x v="3"/>
    <x v="3733"/>
    <x v="0"/>
    <x v="3"/>
  </r>
  <r>
    <x v="3812"/>
    <x v="49"/>
    <x v="0"/>
    <x v="8"/>
    <x v="5"/>
    <x v="2"/>
    <x v="3"/>
    <x v="3734"/>
    <x v="1"/>
    <x v="0"/>
  </r>
  <r>
    <x v="3813"/>
    <x v="29"/>
    <x v="0"/>
    <x v="1"/>
    <x v="8"/>
    <x v="2"/>
    <x v="1"/>
    <x v="3735"/>
    <x v="1"/>
    <x v="4"/>
  </r>
  <r>
    <x v="3814"/>
    <x v="54"/>
    <x v="1"/>
    <x v="3"/>
    <x v="5"/>
    <x v="2"/>
    <x v="14"/>
    <x v="3736"/>
    <x v="0"/>
    <x v="2"/>
  </r>
  <r>
    <x v="3815"/>
    <x v="81"/>
    <x v="1"/>
    <x v="1"/>
    <x v="9"/>
    <x v="2"/>
    <x v="3"/>
    <x v="3737"/>
    <x v="0"/>
    <x v="0"/>
  </r>
  <r>
    <x v="3816"/>
    <x v="83"/>
    <x v="0"/>
    <x v="2"/>
    <x v="0"/>
    <x v="0"/>
    <x v="7"/>
    <x v="3738"/>
    <x v="0"/>
    <x v="4"/>
  </r>
  <r>
    <x v="3817"/>
    <x v="19"/>
    <x v="1"/>
    <x v="2"/>
    <x v="1"/>
    <x v="0"/>
    <x v="3"/>
    <x v="3739"/>
    <x v="1"/>
    <x v="4"/>
  </r>
  <r>
    <x v="3818"/>
    <x v="49"/>
    <x v="0"/>
    <x v="0"/>
    <x v="7"/>
    <x v="1"/>
    <x v="0"/>
    <x v="3740"/>
    <x v="0"/>
    <x v="2"/>
  </r>
  <r>
    <x v="3819"/>
    <x v="26"/>
    <x v="0"/>
    <x v="9"/>
    <x v="7"/>
    <x v="1"/>
    <x v="13"/>
    <x v="3741"/>
    <x v="1"/>
    <x v="4"/>
  </r>
  <r>
    <x v="3820"/>
    <x v="14"/>
    <x v="1"/>
    <x v="5"/>
    <x v="9"/>
    <x v="0"/>
    <x v="4"/>
    <x v="3742"/>
    <x v="1"/>
    <x v="4"/>
  </r>
  <r>
    <x v="3821"/>
    <x v="34"/>
    <x v="1"/>
    <x v="9"/>
    <x v="8"/>
    <x v="1"/>
    <x v="6"/>
    <x v="3743"/>
    <x v="0"/>
    <x v="2"/>
  </r>
  <r>
    <x v="3822"/>
    <x v="71"/>
    <x v="1"/>
    <x v="6"/>
    <x v="2"/>
    <x v="2"/>
    <x v="2"/>
    <x v="3744"/>
    <x v="1"/>
    <x v="4"/>
  </r>
  <r>
    <x v="3823"/>
    <x v="73"/>
    <x v="1"/>
    <x v="0"/>
    <x v="8"/>
    <x v="0"/>
    <x v="1"/>
    <x v="3745"/>
    <x v="1"/>
    <x v="1"/>
  </r>
  <r>
    <x v="3824"/>
    <x v="52"/>
    <x v="0"/>
    <x v="8"/>
    <x v="8"/>
    <x v="2"/>
    <x v="11"/>
    <x v="3746"/>
    <x v="0"/>
    <x v="1"/>
  </r>
  <r>
    <x v="3825"/>
    <x v="8"/>
    <x v="1"/>
    <x v="9"/>
    <x v="7"/>
    <x v="0"/>
    <x v="6"/>
    <x v="3747"/>
    <x v="1"/>
    <x v="3"/>
  </r>
  <r>
    <x v="3826"/>
    <x v="39"/>
    <x v="0"/>
    <x v="8"/>
    <x v="3"/>
    <x v="0"/>
    <x v="8"/>
    <x v="3748"/>
    <x v="1"/>
    <x v="1"/>
  </r>
  <r>
    <x v="3827"/>
    <x v="56"/>
    <x v="0"/>
    <x v="1"/>
    <x v="2"/>
    <x v="0"/>
    <x v="5"/>
    <x v="3749"/>
    <x v="1"/>
    <x v="2"/>
  </r>
  <r>
    <x v="3828"/>
    <x v="50"/>
    <x v="1"/>
    <x v="2"/>
    <x v="7"/>
    <x v="2"/>
    <x v="10"/>
    <x v="3750"/>
    <x v="0"/>
    <x v="2"/>
  </r>
  <r>
    <x v="3829"/>
    <x v="43"/>
    <x v="1"/>
    <x v="8"/>
    <x v="6"/>
    <x v="2"/>
    <x v="9"/>
    <x v="3751"/>
    <x v="1"/>
    <x v="3"/>
  </r>
  <r>
    <x v="3830"/>
    <x v="22"/>
    <x v="0"/>
    <x v="0"/>
    <x v="0"/>
    <x v="0"/>
    <x v="6"/>
    <x v="3752"/>
    <x v="1"/>
    <x v="0"/>
  </r>
  <r>
    <x v="3831"/>
    <x v="18"/>
    <x v="1"/>
    <x v="7"/>
    <x v="8"/>
    <x v="0"/>
    <x v="7"/>
    <x v="3753"/>
    <x v="0"/>
    <x v="2"/>
  </r>
  <r>
    <x v="3832"/>
    <x v="35"/>
    <x v="0"/>
    <x v="6"/>
    <x v="4"/>
    <x v="2"/>
    <x v="12"/>
    <x v="3754"/>
    <x v="1"/>
    <x v="3"/>
  </r>
  <r>
    <x v="3833"/>
    <x v="64"/>
    <x v="0"/>
    <x v="4"/>
    <x v="3"/>
    <x v="0"/>
    <x v="5"/>
    <x v="3755"/>
    <x v="1"/>
    <x v="0"/>
  </r>
  <r>
    <x v="3834"/>
    <x v="0"/>
    <x v="0"/>
    <x v="1"/>
    <x v="8"/>
    <x v="0"/>
    <x v="6"/>
    <x v="3756"/>
    <x v="1"/>
    <x v="4"/>
  </r>
  <r>
    <x v="3835"/>
    <x v="58"/>
    <x v="0"/>
    <x v="2"/>
    <x v="7"/>
    <x v="0"/>
    <x v="4"/>
    <x v="3757"/>
    <x v="1"/>
    <x v="1"/>
  </r>
  <r>
    <x v="3836"/>
    <x v="3"/>
    <x v="1"/>
    <x v="1"/>
    <x v="2"/>
    <x v="1"/>
    <x v="3"/>
    <x v="3758"/>
    <x v="1"/>
    <x v="2"/>
  </r>
  <r>
    <x v="3837"/>
    <x v="88"/>
    <x v="0"/>
    <x v="0"/>
    <x v="0"/>
    <x v="2"/>
    <x v="11"/>
    <x v="3759"/>
    <x v="0"/>
    <x v="0"/>
  </r>
  <r>
    <x v="3838"/>
    <x v="89"/>
    <x v="1"/>
    <x v="9"/>
    <x v="5"/>
    <x v="1"/>
    <x v="4"/>
    <x v="3760"/>
    <x v="1"/>
    <x v="1"/>
  </r>
  <r>
    <x v="3839"/>
    <x v="35"/>
    <x v="0"/>
    <x v="1"/>
    <x v="3"/>
    <x v="0"/>
    <x v="11"/>
    <x v="3761"/>
    <x v="1"/>
    <x v="3"/>
  </r>
  <r>
    <x v="3840"/>
    <x v="42"/>
    <x v="1"/>
    <x v="4"/>
    <x v="0"/>
    <x v="2"/>
    <x v="9"/>
    <x v="3762"/>
    <x v="0"/>
    <x v="0"/>
  </r>
  <r>
    <x v="3841"/>
    <x v="18"/>
    <x v="0"/>
    <x v="3"/>
    <x v="9"/>
    <x v="0"/>
    <x v="3"/>
    <x v="3763"/>
    <x v="1"/>
    <x v="2"/>
  </r>
  <r>
    <x v="3842"/>
    <x v="30"/>
    <x v="0"/>
    <x v="8"/>
    <x v="5"/>
    <x v="1"/>
    <x v="1"/>
    <x v="3764"/>
    <x v="0"/>
    <x v="1"/>
  </r>
  <r>
    <x v="3843"/>
    <x v="34"/>
    <x v="1"/>
    <x v="0"/>
    <x v="1"/>
    <x v="1"/>
    <x v="2"/>
    <x v="3765"/>
    <x v="1"/>
    <x v="2"/>
  </r>
  <r>
    <x v="3844"/>
    <x v="42"/>
    <x v="1"/>
    <x v="1"/>
    <x v="6"/>
    <x v="0"/>
    <x v="1"/>
    <x v="3766"/>
    <x v="1"/>
    <x v="4"/>
  </r>
  <r>
    <x v="3845"/>
    <x v="68"/>
    <x v="0"/>
    <x v="2"/>
    <x v="7"/>
    <x v="0"/>
    <x v="5"/>
    <x v="3767"/>
    <x v="0"/>
    <x v="3"/>
  </r>
  <r>
    <x v="3846"/>
    <x v="40"/>
    <x v="1"/>
    <x v="2"/>
    <x v="4"/>
    <x v="0"/>
    <x v="0"/>
    <x v="3768"/>
    <x v="1"/>
    <x v="1"/>
  </r>
  <r>
    <x v="3847"/>
    <x v="10"/>
    <x v="0"/>
    <x v="1"/>
    <x v="1"/>
    <x v="1"/>
    <x v="14"/>
    <x v="3769"/>
    <x v="0"/>
    <x v="0"/>
  </r>
  <r>
    <x v="3848"/>
    <x v="0"/>
    <x v="1"/>
    <x v="6"/>
    <x v="2"/>
    <x v="1"/>
    <x v="0"/>
    <x v="3770"/>
    <x v="1"/>
    <x v="3"/>
  </r>
  <r>
    <x v="3849"/>
    <x v="68"/>
    <x v="0"/>
    <x v="8"/>
    <x v="8"/>
    <x v="1"/>
    <x v="2"/>
    <x v="3771"/>
    <x v="1"/>
    <x v="1"/>
  </r>
  <r>
    <x v="3850"/>
    <x v="50"/>
    <x v="0"/>
    <x v="2"/>
    <x v="0"/>
    <x v="2"/>
    <x v="6"/>
    <x v="3772"/>
    <x v="0"/>
    <x v="2"/>
  </r>
  <r>
    <x v="3851"/>
    <x v="60"/>
    <x v="0"/>
    <x v="1"/>
    <x v="5"/>
    <x v="1"/>
    <x v="3"/>
    <x v="3773"/>
    <x v="0"/>
    <x v="1"/>
  </r>
  <r>
    <x v="3852"/>
    <x v="28"/>
    <x v="0"/>
    <x v="6"/>
    <x v="1"/>
    <x v="2"/>
    <x v="7"/>
    <x v="3774"/>
    <x v="1"/>
    <x v="1"/>
  </r>
  <r>
    <x v="3853"/>
    <x v="47"/>
    <x v="1"/>
    <x v="2"/>
    <x v="9"/>
    <x v="1"/>
    <x v="5"/>
    <x v="3775"/>
    <x v="0"/>
    <x v="1"/>
  </r>
  <r>
    <x v="3854"/>
    <x v="13"/>
    <x v="1"/>
    <x v="6"/>
    <x v="8"/>
    <x v="2"/>
    <x v="1"/>
    <x v="3776"/>
    <x v="1"/>
    <x v="2"/>
  </r>
  <r>
    <x v="3855"/>
    <x v="16"/>
    <x v="0"/>
    <x v="9"/>
    <x v="7"/>
    <x v="0"/>
    <x v="6"/>
    <x v="3777"/>
    <x v="0"/>
    <x v="0"/>
  </r>
  <r>
    <x v="3856"/>
    <x v="41"/>
    <x v="1"/>
    <x v="0"/>
    <x v="6"/>
    <x v="2"/>
    <x v="1"/>
    <x v="3778"/>
    <x v="0"/>
    <x v="2"/>
  </r>
  <r>
    <x v="3857"/>
    <x v="65"/>
    <x v="0"/>
    <x v="6"/>
    <x v="5"/>
    <x v="0"/>
    <x v="12"/>
    <x v="3779"/>
    <x v="0"/>
    <x v="2"/>
  </r>
  <r>
    <x v="3858"/>
    <x v="21"/>
    <x v="1"/>
    <x v="1"/>
    <x v="4"/>
    <x v="1"/>
    <x v="10"/>
    <x v="513"/>
    <x v="0"/>
    <x v="3"/>
  </r>
  <r>
    <x v="3859"/>
    <x v="46"/>
    <x v="0"/>
    <x v="4"/>
    <x v="1"/>
    <x v="0"/>
    <x v="14"/>
    <x v="3780"/>
    <x v="0"/>
    <x v="2"/>
  </r>
  <r>
    <x v="3860"/>
    <x v="78"/>
    <x v="1"/>
    <x v="3"/>
    <x v="0"/>
    <x v="0"/>
    <x v="13"/>
    <x v="3781"/>
    <x v="1"/>
    <x v="4"/>
  </r>
  <r>
    <x v="3861"/>
    <x v="23"/>
    <x v="1"/>
    <x v="1"/>
    <x v="1"/>
    <x v="0"/>
    <x v="11"/>
    <x v="3782"/>
    <x v="0"/>
    <x v="3"/>
  </r>
  <r>
    <x v="3862"/>
    <x v="53"/>
    <x v="1"/>
    <x v="0"/>
    <x v="8"/>
    <x v="2"/>
    <x v="1"/>
    <x v="3783"/>
    <x v="1"/>
    <x v="1"/>
  </r>
  <r>
    <x v="3863"/>
    <x v="74"/>
    <x v="0"/>
    <x v="1"/>
    <x v="7"/>
    <x v="2"/>
    <x v="9"/>
    <x v="3784"/>
    <x v="1"/>
    <x v="0"/>
  </r>
  <r>
    <x v="3864"/>
    <x v="79"/>
    <x v="0"/>
    <x v="6"/>
    <x v="2"/>
    <x v="0"/>
    <x v="7"/>
    <x v="3785"/>
    <x v="1"/>
    <x v="3"/>
  </r>
  <r>
    <x v="3865"/>
    <x v="0"/>
    <x v="0"/>
    <x v="9"/>
    <x v="5"/>
    <x v="1"/>
    <x v="6"/>
    <x v="3786"/>
    <x v="0"/>
    <x v="3"/>
  </r>
  <r>
    <x v="3866"/>
    <x v="28"/>
    <x v="0"/>
    <x v="0"/>
    <x v="0"/>
    <x v="0"/>
    <x v="10"/>
    <x v="3787"/>
    <x v="0"/>
    <x v="0"/>
  </r>
  <r>
    <x v="3867"/>
    <x v="54"/>
    <x v="0"/>
    <x v="3"/>
    <x v="1"/>
    <x v="0"/>
    <x v="11"/>
    <x v="3788"/>
    <x v="1"/>
    <x v="3"/>
  </r>
  <r>
    <x v="3868"/>
    <x v="32"/>
    <x v="1"/>
    <x v="6"/>
    <x v="2"/>
    <x v="0"/>
    <x v="5"/>
    <x v="3789"/>
    <x v="1"/>
    <x v="3"/>
  </r>
  <r>
    <x v="3869"/>
    <x v="7"/>
    <x v="0"/>
    <x v="6"/>
    <x v="7"/>
    <x v="2"/>
    <x v="0"/>
    <x v="262"/>
    <x v="1"/>
    <x v="4"/>
  </r>
  <r>
    <x v="3870"/>
    <x v="47"/>
    <x v="1"/>
    <x v="9"/>
    <x v="2"/>
    <x v="2"/>
    <x v="8"/>
    <x v="3790"/>
    <x v="1"/>
    <x v="1"/>
  </r>
  <r>
    <x v="3871"/>
    <x v="28"/>
    <x v="0"/>
    <x v="0"/>
    <x v="9"/>
    <x v="0"/>
    <x v="14"/>
    <x v="3791"/>
    <x v="1"/>
    <x v="4"/>
  </r>
  <r>
    <x v="3872"/>
    <x v="78"/>
    <x v="1"/>
    <x v="2"/>
    <x v="0"/>
    <x v="2"/>
    <x v="4"/>
    <x v="3792"/>
    <x v="0"/>
    <x v="3"/>
  </r>
  <r>
    <x v="3873"/>
    <x v="30"/>
    <x v="0"/>
    <x v="6"/>
    <x v="0"/>
    <x v="0"/>
    <x v="1"/>
    <x v="3793"/>
    <x v="0"/>
    <x v="0"/>
  </r>
  <r>
    <x v="3874"/>
    <x v="47"/>
    <x v="1"/>
    <x v="1"/>
    <x v="8"/>
    <x v="0"/>
    <x v="11"/>
    <x v="3794"/>
    <x v="0"/>
    <x v="2"/>
  </r>
  <r>
    <x v="3875"/>
    <x v="11"/>
    <x v="0"/>
    <x v="4"/>
    <x v="4"/>
    <x v="0"/>
    <x v="14"/>
    <x v="3795"/>
    <x v="0"/>
    <x v="4"/>
  </r>
  <r>
    <x v="3876"/>
    <x v="55"/>
    <x v="1"/>
    <x v="4"/>
    <x v="7"/>
    <x v="2"/>
    <x v="10"/>
    <x v="3796"/>
    <x v="0"/>
    <x v="3"/>
  </r>
  <r>
    <x v="3877"/>
    <x v="27"/>
    <x v="0"/>
    <x v="7"/>
    <x v="4"/>
    <x v="1"/>
    <x v="2"/>
    <x v="3797"/>
    <x v="1"/>
    <x v="4"/>
  </r>
  <r>
    <x v="3878"/>
    <x v="79"/>
    <x v="0"/>
    <x v="6"/>
    <x v="9"/>
    <x v="2"/>
    <x v="7"/>
    <x v="3798"/>
    <x v="0"/>
    <x v="4"/>
  </r>
  <r>
    <x v="3879"/>
    <x v="34"/>
    <x v="1"/>
    <x v="4"/>
    <x v="9"/>
    <x v="0"/>
    <x v="7"/>
    <x v="3799"/>
    <x v="0"/>
    <x v="2"/>
  </r>
  <r>
    <x v="3880"/>
    <x v="88"/>
    <x v="1"/>
    <x v="6"/>
    <x v="9"/>
    <x v="0"/>
    <x v="0"/>
    <x v="3800"/>
    <x v="1"/>
    <x v="1"/>
  </r>
  <r>
    <x v="3881"/>
    <x v="81"/>
    <x v="1"/>
    <x v="0"/>
    <x v="6"/>
    <x v="1"/>
    <x v="11"/>
    <x v="3801"/>
    <x v="0"/>
    <x v="3"/>
  </r>
  <r>
    <x v="3882"/>
    <x v="89"/>
    <x v="1"/>
    <x v="2"/>
    <x v="0"/>
    <x v="0"/>
    <x v="10"/>
    <x v="3802"/>
    <x v="1"/>
    <x v="3"/>
  </r>
  <r>
    <x v="3883"/>
    <x v="19"/>
    <x v="0"/>
    <x v="3"/>
    <x v="7"/>
    <x v="0"/>
    <x v="7"/>
    <x v="3803"/>
    <x v="1"/>
    <x v="3"/>
  </r>
  <r>
    <x v="3884"/>
    <x v="2"/>
    <x v="0"/>
    <x v="4"/>
    <x v="9"/>
    <x v="0"/>
    <x v="7"/>
    <x v="3804"/>
    <x v="0"/>
    <x v="4"/>
  </r>
  <r>
    <x v="3885"/>
    <x v="43"/>
    <x v="0"/>
    <x v="9"/>
    <x v="9"/>
    <x v="2"/>
    <x v="6"/>
    <x v="3805"/>
    <x v="1"/>
    <x v="1"/>
  </r>
  <r>
    <x v="3886"/>
    <x v="64"/>
    <x v="1"/>
    <x v="7"/>
    <x v="3"/>
    <x v="1"/>
    <x v="10"/>
    <x v="3806"/>
    <x v="1"/>
    <x v="3"/>
  </r>
  <r>
    <x v="3887"/>
    <x v="29"/>
    <x v="1"/>
    <x v="2"/>
    <x v="7"/>
    <x v="1"/>
    <x v="4"/>
    <x v="3807"/>
    <x v="1"/>
    <x v="0"/>
  </r>
  <r>
    <x v="3888"/>
    <x v="50"/>
    <x v="0"/>
    <x v="2"/>
    <x v="7"/>
    <x v="1"/>
    <x v="5"/>
    <x v="3808"/>
    <x v="0"/>
    <x v="4"/>
  </r>
  <r>
    <x v="3889"/>
    <x v="76"/>
    <x v="0"/>
    <x v="4"/>
    <x v="8"/>
    <x v="0"/>
    <x v="5"/>
    <x v="3809"/>
    <x v="0"/>
    <x v="3"/>
  </r>
  <r>
    <x v="3890"/>
    <x v="61"/>
    <x v="1"/>
    <x v="0"/>
    <x v="4"/>
    <x v="2"/>
    <x v="9"/>
    <x v="3810"/>
    <x v="0"/>
    <x v="2"/>
  </r>
  <r>
    <x v="3891"/>
    <x v="53"/>
    <x v="1"/>
    <x v="8"/>
    <x v="1"/>
    <x v="1"/>
    <x v="7"/>
    <x v="3811"/>
    <x v="0"/>
    <x v="2"/>
  </r>
  <r>
    <x v="3892"/>
    <x v="1"/>
    <x v="0"/>
    <x v="5"/>
    <x v="2"/>
    <x v="1"/>
    <x v="8"/>
    <x v="3812"/>
    <x v="0"/>
    <x v="0"/>
  </r>
  <r>
    <x v="3893"/>
    <x v="67"/>
    <x v="1"/>
    <x v="1"/>
    <x v="0"/>
    <x v="0"/>
    <x v="0"/>
    <x v="3813"/>
    <x v="0"/>
    <x v="1"/>
  </r>
  <r>
    <x v="3894"/>
    <x v="62"/>
    <x v="0"/>
    <x v="9"/>
    <x v="2"/>
    <x v="1"/>
    <x v="6"/>
    <x v="3814"/>
    <x v="0"/>
    <x v="2"/>
  </r>
  <r>
    <x v="3895"/>
    <x v="40"/>
    <x v="0"/>
    <x v="9"/>
    <x v="5"/>
    <x v="0"/>
    <x v="0"/>
    <x v="3815"/>
    <x v="0"/>
    <x v="3"/>
  </r>
  <r>
    <x v="3896"/>
    <x v="43"/>
    <x v="1"/>
    <x v="5"/>
    <x v="1"/>
    <x v="0"/>
    <x v="2"/>
    <x v="3816"/>
    <x v="1"/>
    <x v="3"/>
  </r>
  <r>
    <x v="3897"/>
    <x v="33"/>
    <x v="0"/>
    <x v="2"/>
    <x v="5"/>
    <x v="0"/>
    <x v="14"/>
    <x v="3817"/>
    <x v="1"/>
    <x v="1"/>
  </r>
  <r>
    <x v="3898"/>
    <x v="41"/>
    <x v="0"/>
    <x v="9"/>
    <x v="6"/>
    <x v="1"/>
    <x v="0"/>
    <x v="3818"/>
    <x v="0"/>
    <x v="0"/>
  </r>
  <r>
    <x v="3899"/>
    <x v="40"/>
    <x v="0"/>
    <x v="0"/>
    <x v="9"/>
    <x v="0"/>
    <x v="9"/>
    <x v="3819"/>
    <x v="0"/>
    <x v="0"/>
  </r>
  <r>
    <x v="3900"/>
    <x v="58"/>
    <x v="1"/>
    <x v="1"/>
    <x v="3"/>
    <x v="0"/>
    <x v="2"/>
    <x v="3820"/>
    <x v="1"/>
    <x v="2"/>
  </r>
  <r>
    <x v="3901"/>
    <x v="74"/>
    <x v="1"/>
    <x v="4"/>
    <x v="7"/>
    <x v="0"/>
    <x v="1"/>
    <x v="3821"/>
    <x v="1"/>
    <x v="2"/>
  </r>
  <r>
    <x v="3902"/>
    <x v="26"/>
    <x v="1"/>
    <x v="3"/>
    <x v="6"/>
    <x v="2"/>
    <x v="13"/>
    <x v="3822"/>
    <x v="0"/>
    <x v="1"/>
  </r>
  <r>
    <x v="3903"/>
    <x v="79"/>
    <x v="1"/>
    <x v="9"/>
    <x v="9"/>
    <x v="1"/>
    <x v="13"/>
    <x v="3823"/>
    <x v="0"/>
    <x v="0"/>
  </r>
  <r>
    <x v="3904"/>
    <x v="73"/>
    <x v="0"/>
    <x v="4"/>
    <x v="7"/>
    <x v="1"/>
    <x v="9"/>
    <x v="3824"/>
    <x v="0"/>
    <x v="1"/>
  </r>
  <r>
    <x v="3905"/>
    <x v="24"/>
    <x v="0"/>
    <x v="8"/>
    <x v="2"/>
    <x v="0"/>
    <x v="1"/>
    <x v="3825"/>
    <x v="1"/>
    <x v="0"/>
  </r>
  <r>
    <x v="3906"/>
    <x v="28"/>
    <x v="1"/>
    <x v="1"/>
    <x v="1"/>
    <x v="1"/>
    <x v="12"/>
    <x v="3826"/>
    <x v="0"/>
    <x v="3"/>
  </r>
  <r>
    <x v="3907"/>
    <x v="55"/>
    <x v="1"/>
    <x v="6"/>
    <x v="2"/>
    <x v="2"/>
    <x v="0"/>
    <x v="3827"/>
    <x v="1"/>
    <x v="2"/>
  </r>
  <r>
    <x v="3908"/>
    <x v="64"/>
    <x v="0"/>
    <x v="6"/>
    <x v="5"/>
    <x v="1"/>
    <x v="13"/>
    <x v="3828"/>
    <x v="0"/>
    <x v="4"/>
  </r>
  <r>
    <x v="3909"/>
    <x v="5"/>
    <x v="1"/>
    <x v="7"/>
    <x v="1"/>
    <x v="2"/>
    <x v="9"/>
    <x v="2799"/>
    <x v="1"/>
    <x v="3"/>
  </r>
  <r>
    <x v="3910"/>
    <x v="41"/>
    <x v="1"/>
    <x v="9"/>
    <x v="2"/>
    <x v="1"/>
    <x v="5"/>
    <x v="3829"/>
    <x v="1"/>
    <x v="3"/>
  </r>
  <r>
    <x v="3911"/>
    <x v="52"/>
    <x v="1"/>
    <x v="8"/>
    <x v="6"/>
    <x v="2"/>
    <x v="0"/>
    <x v="3830"/>
    <x v="1"/>
    <x v="1"/>
  </r>
  <r>
    <x v="3912"/>
    <x v="74"/>
    <x v="1"/>
    <x v="1"/>
    <x v="3"/>
    <x v="1"/>
    <x v="14"/>
    <x v="3831"/>
    <x v="1"/>
    <x v="2"/>
  </r>
  <r>
    <x v="3913"/>
    <x v="66"/>
    <x v="0"/>
    <x v="0"/>
    <x v="7"/>
    <x v="1"/>
    <x v="2"/>
    <x v="3832"/>
    <x v="0"/>
    <x v="3"/>
  </r>
  <r>
    <x v="3914"/>
    <x v="53"/>
    <x v="0"/>
    <x v="9"/>
    <x v="8"/>
    <x v="0"/>
    <x v="3"/>
    <x v="3833"/>
    <x v="0"/>
    <x v="3"/>
  </r>
  <r>
    <x v="3915"/>
    <x v="61"/>
    <x v="0"/>
    <x v="9"/>
    <x v="4"/>
    <x v="0"/>
    <x v="2"/>
    <x v="3834"/>
    <x v="1"/>
    <x v="4"/>
  </r>
  <r>
    <x v="3916"/>
    <x v="54"/>
    <x v="0"/>
    <x v="6"/>
    <x v="7"/>
    <x v="2"/>
    <x v="13"/>
    <x v="3835"/>
    <x v="0"/>
    <x v="0"/>
  </r>
  <r>
    <x v="3917"/>
    <x v="5"/>
    <x v="1"/>
    <x v="3"/>
    <x v="6"/>
    <x v="1"/>
    <x v="4"/>
    <x v="3836"/>
    <x v="0"/>
    <x v="3"/>
  </r>
  <r>
    <x v="3918"/>
    <x v="43"/>
    <x v="0"/>
    <x v="3"/>
    <x v="1"/>
    <x v="1"/>
    <x v="3"/>
    <x v="3837"/>
    <x v="1"/>
    <x v="0"/>
  </r>
  <r>
    <x v="3919"/>
    <x v="39"/>
    <x v="1"/>
    <x v="9"/>
    <x v="2"/>
    <x v="0"/>
    <x v="3"/>
    <x v="3838"/>
    <x v="1"/>
    <x v="0"/>
  </r>
  <r>
    <x v="3920"/>
    <x v="34"/>
    <x v="0"/>
    <x v="3"/>
    <x v="6"/>
    <x v="0"/>
    <x v="9"/>
    <x v="3839"/>
    <x v="0"/>
    <x v="0"/>
  </r>
  <r>
    <x v="3921"/>
    <x v="78"/>
    <x v="1"/>
    <x v="7"/>
    <x v="7"/>
    <x v="0"/>
    <x v="11"/>
    <x v="3840"/>
    <x v="0"/>
    <x v="4"/>
  </r>
  <r>
    <x v="3922"/>
    <x v="77"/>
    <x v="1"/>
    <x v="7"/>
    <x v="3"/>
    <x v="0"/>
    <x v="5"/>
    <x v="3841"/>
    <x v="1"/>
    <x v="3"/>
  </r>
  <r>
    <x v="3923"/>
    <x v="69"/>
    <x v="1"/>
    <x v="1"/>
    <x v="0"/>
    <x v="2"/>
    <x v="9"/>
    <x v="3842"/>
    <x v="1"/>
    <x v="2"/>
  </r>
  <r>
    <x v="3924"/>
    <x v="39"/>
    <x v="0"/>
    <x v="2"/>
    <x v="0"/>
    <x v="0"/>
    <x v="5"/>
    <x v="3843"/>
    <x v="1"/>
    <x v="2"/>
  </r>
  <r>
    <x v="3925"/>
    <x v="26"/>
    <x v="1"/>
    <x v="6"/>
    <x v="4"/>
    <x v="1"/>
    <x v="2"/>
    <x v="3844"/>
    <x v="1"/>
    <x v="0"/>
  </r>
  <r>
    <x v="3926"/>
    <x v="29"/>
    <x v="0"/>
    <x v="1"/>
    <x v="1"/>
    <x v="0"/>
    <x v="5"/>
    <x v="3845"/>
    <x v="0"/>
    <x v="2"/>
  </r>
  <r>
    <x v="3927"/>
    <x v="85"/>
    <x v="1"/>
    <x v="1"/>
    <x v="4"/>
    <x v="1"/>
    <x v="2"/>
    <x v="3846"/>
    <x v="0"/>
    <x v="4"/>
  </r>
  <r>
    <x v="3928"/>
    <x v="49"/>
    <x v="1"/>
    <x v="4"/>
    <x v="6"/>
    <x v="1"/>
    <x v="11"/>
    <x v="3847"/>
    <x v="0"/>
    <x v="0"/>
  </r>
  <r>
    <x v="3929"/>
    <x v="86"/>
    <x v="1"/>
    <x v="5"/>
    <x v="3"/>
    <x v="0"/>
    <x v="9"/>
    <x v="3848"/>
    <x v="1"/>
    <x v="4"/>
  </r>
  <r>
    <x v="3930"/>
    <x v="17"/>
    <x v="0"/>
    <x v="4"/>
    <x v="4"/>
    <x v="0"/>
    <x v="6"/>
    <x v="3849"/>
    <x v="0"/>
    <x v="1"/>
  </r>
  <r>
    <x v="3931"/>
    <x v="21"/>
    <x v="0"/>
    <x v="9"/>
    <x v="6"/>
    <x v="0"/>
    <x v="5"/>
    <x v="3850"/>
    <x v="0"/>
    <x v="4"/>
  </r>
  <r>
    <x v="3932"/>
    <x v="16"/>
    <x v="1"/>
    <x v="5"/>
    <x v="8"/>
    <x v="1"/>
    <x v="12"/>
    <x v="3851"/>
    <x v="0"/>
    <x v="2"/>
  </r>
  <r>
    <x v="3933"/>
    <x v="39"/>
    <x v="0"/>
    <x v="7"/>
    <x v="9"/>
    <x v="1"/>
    <x v="1"/>
    <x v="3852"/>
    <x v="1"/>
    <x v="0"/>
  </r>
  <r>
    <x v="3934"/>
    <x v="85"/>
    <x v="0"/>
    <x v="6"/>
    <x v="9"/>
    <x v="1"/>
    <x v="2"/>
    <x v="3853"/>
    <x v="0"/>
    <x v="1"/>
  </r>
  <r>
    <x v="3935"/>
    <x v="13"/>
    <x v="1"/>
    <x v="7"/>
    <x v="1"/>
    <x v="1"/>
    <x v="3"/>
    <x v="3854"/>
    <x v="1"/>
    <x v="4"/>
  </r>
  <r>
    <x v="3936"/>
    <x v="70"/>
    <x v="0"/>
    <x v="6"/>
    <x v="3"/>
    <x v="2"/>
    <x v="12"/>
    <x v="3855"/>
    <x v="1"/>
    <x v="4"/>
  </r>
  <r>
    <x v="3937"/>
    <x v="78"/>
    <x v="1"/>
    <x v="7"/>
    <x v="4"/>
    <x v="2"/>
    <x v="13"/>
    <x v="3856"/>
    <x v="1"/>
    <x v="1"/>
  </r>
  <r>
    <x v="3938"/>
    <x v="10"/>
    <x v="1"/>
    <x v="3"/>
    <x v="4"/>
    <x v="1"/>
    <x v="14"/>
    <x v="2122"/>
    <x v="0"/>
    <x v="3"/>
  </r>
  <r>
    <x v="3939"/>
    <x v="44"/>
    <x v="1"/>
    <x v="2"/>
    <x v="5"/>
    <x v="2"/>
    <x v="12"/>
    <x v="3857"/>
    <x v="0"/>
    <x v="3"/>
  </r>
  <r>
    <x v="3940"/>
    <x v="35"/>
    <x v="0"/>
    <x v="5"/>
    <x v="7"/>
    <x v="2"/>
    <x v="4"/>
    <x v="3858"/>
    <x v="1"/>
    <x v="0"/>
  </r>
  <r>
    <x v="3941"/>
    <x v="20"/>
    <x v="1"/>
    <x v="5"/>
    <x v="6"/>
    <x v="2"/>
    <x v="7"/>
    <x v="3859"/>
    <x v="1"/>
    <x v="4"/>
  </r>
  <r>
    <x v="3942"/>
    <x v="67"/>
    <x v="0"/>
    <x v="1"/>
    <x v="6"/>
    <x v="2"/>
    <x v="13"/>
    <x v="3860"/>
    <x v="1"/>
    <x v="0"/>
  </r>
  <r>
    <x v="3943"/>
    <x v="29"/>
    <x v="0"/>
    <x v="2"/>
    <x v="8"/>
    <x v="2"/>
    <x v="10"/>
    <x v="3861"/>
    <x v="0"/>
    <x v="0"/>
  </r>
  <r>
    <x v="3944"/>
    <x v="35"/>
    <x v="1"/>
    <x v="4"/>
    <x v="3"/>
    <x v="2"/>
    <x v="13"/>
    <x v="3862"/>
    <x v="1"/>
    <x v="3"/>
  </r>
  <r>
    <x v="3945"/>
    <x v="15"/>
    <x v="0"/>
    <x v="8"/>
    <x v="8"/>
    <x v="0"/>
    <x v="5"/>
    <x v="3863"/>
    <x v="1"/>
    <x v="1"/>
  </r>
  <r>
    <x v="3946"/>
    <x v="55"/>
    <x v="1"/>
    <x v="6"/>
    <x v="1"/>
    <x v="1"/>
    <x v="7"/>
    <x v="3864"/>
    <x v="1"/>
    <x v="1"/>
  </r>
  <r>
    <x v="3947"/>
    <x v="17"/>
    <x v="0"/>
    <x v="7"/>
    <x v="0"/>
    <x v="1"/>
    <x v="0"/>
    <x v="3865"/>
    <x v="0"/>
    <x v="1"/>
  </r>
  <r>
    <x v="3948"/>
    <x v="37"/>
    <x v="0"/>
    <x v="2"/>
    <x v="2"/>
    <x v="2"/>
    <x v="11"/>
    <x v="3866"/>
    <x v="0"/>
    <x v="4"/>
  </r>
  <r>
    <x v="3949"/>
    <x v="65"/>
    <x v="1"/>
    <x v="9"/>
    <x v="8"/>
    <x v="1"/>
    <x v="8"/>
    <x v="3867"/>
    <x v="1"/>
    <x v="2"/>
  </r>
  <r>
    <x v="3950"/>
    <x v="49"/>
    <x v="0"/>
    <x v="5"/>
    <x v="2"/>
    <x v="0"/>
    <x v="11"/>
    <x v="3868"/>
    <x v="1"/>
    <x v="0"/>
  </r>
  <r>
    <x v="3951"/>
    <x v="17"/>
    <x v="0"/>
    <x v="9"/>
    <x v="3"/>
    <x v="2"/>
    <x v="13"/>
    <x v="3869"/>
    <x v="0"/>
    <x v="1"/>
  </r>
  <r>
    <x v="3952"/>
    <x v="36"/>
    <x v="1"/>
    <x v="1"/>
    <x v="8"/>
    <x v="0"/>
    <x v="2"/>
    <x v="3870"/>
    <x v="1"/>
    <x v="0"/>
  </r>
  <r>
    <x v="3953"/>
    <x v="37"/>
    <x v="1"/>
    <x v="1"/>
    <x v="2"/>
    <x v="1"/>
    <x v="8"/>
    <x v="3871"/>
    <x v="1"/>
    <x v="2"/>
  </r>
  <r>
    <x v="3954"/>
    <x v="38"/>
    <x v="0"/>
    <x v="6"/>
    <x v="2"/>
    <x v="0"/>
    <x v="0"/>
    <x v="3872"/>
    <x v="0"/>
    <x v="0"/>
  </r>
  <r>
    <x v="3955"/>
    <x v="52"/>
    <x v="0"/>
    <x v="0"/>
    <x v="2"/>
    <x v="2"/>
    <x v="1"/>
    <x v="3873"/>
    <x v="0"/>
    <x v="0"/>
  </r>
  <r>
    <x v="3956"/>
    <x v="15"/>
    <x v="0"/>
    <x v="5"/>
    <x v="4"/>
    <x v="2"/>
    <x v="10"/>
    <x v="3874"/>
    <x v="0"/>
    <x v="2"/>
  </r>
  <r>
    <x v="3957"/>
    <x v="89"/>
    <x v="1"/>
    <x v="5"/>
    <x v="8"/>
    <x v="1"/>
    <x v="7"/>
    <x v="3875"/>
    <x v="0"/>
    <x v="1"/>
  </r>
  <r>
    <x v="3958"/>
    <x v="65"/>
    <x v="1"/>
    <x v="4"/>
    <x v="9"/>
    <x v="2"/>
    <x v="3"/>
    <x v="3876"/>
    <x v="1"/>
    <x v="0"/>
  </r>
  <r>
    <x v="3959"/>
    <x v="37"/>
    <x v="0"/>
    <x v="7"/>
    <x v="2"/>
    <x v="1"/>
    <x v="12"/>
    <x v="3877"/>
    <x v="0"/>
    <x v="3"/>
  </r>
  <r>
    <x v="3960"/>
    <x v="64"/>
    <x v="1"/>
    <x v="4"/>
    <x v="3"/>
    <x v="0"/>
    <x v="12"/>
    <x v="3878"/>
    <x v="1"/>
    <x v="1"/>
  </r>
  <r>
    <x v="3961"/>
    <x v="75"/>
    <x v="0"/>
    <x v="7"/>
    <x v="6"/>
    <x v="1"/>
    <x v="14"/>
    <x v="3879"/>
    <x v="0"/>
    <x v="3"/>
  </r>
  <r>
    <x v="3962"/>
    <x v="71"/>
    <x v="0"/>
    <x v="1"/>
    <x v="5"/>
    <x v="1"/>
    <x v="3"/>
    <x v="3880"/>
    <x v="0"/>
    <x v="1"/>
  </r>
  <r>
    <x v="3963"/>
    <x v="9"/>
    <x v="0"/>
    <x v="6"/>
    <x v="6"/>
    <x v="1"/>
    <x v="7"/>
    <x v="3881"/>
    <x v="0"/>
    <x v="1"/>
  </r>
  <r>
    <x v="3964"/>
    <x v="53"/>
    <x v="1"/>
    <x v="0"/>
    <x v="4"/>
    <x v="1"/>
    <x v="6"/>
    <x v="3882"/>
    <x v="0"/>
    <x v="1"/>
  </r>
  <r>
    <x v="3965"/>
    <x v="20"/>
    <x v="1"/>
    <x v="9"/>
    <x v="2"/>
    <x v="0"/>
    <x v="4"/>
    <x v="3883"/>
    <x v="1"/>
    <x v="4"/>
  </r>
  <r>
    <x v="3966"/>
    <x v="10"/>
    <x v="1"/>
    <x v="1"/>
    <x v="5"/>
    <x v="1"/>
    <x v="13"/>
    <x v="3884"/>
    <x v="1"/>
    <x v="0"/>
  </r>
  <r>
    <x v="3967"/>
    <x v="86"/>
    <x v="0"/>
    <x v="9"/>
    <x v="4"/>
    <x v="0"/>
    <x v="3"/>
    <x v="3885"/>
    <x v="1"/>
    <x v="1"/>
  </r>
  <r>
    <x v="3968"/>
    <x v="20"/>
    <x v="1"/>
    <x v="2"/>
    <x v="2"/>
    <x v="0"/>
    <x v="14"/>
    <x v="3886"/>
    <x v="0"/>
    <x v="0"/>
  </r>
  <r>
    <x v="3969"/>
    <x v="76"/>
    <x v="1"/>
    <x v="2"/>
    <x v="1"/>
    <x v="2"/>
    <x v="5"/>
    <x v="3887"/>
    <x v="0"/>
    <x v="4"/>
  </r>
  <r>
    <x v="3970"/>
    <x v="61"/>
    <x v="1"/>
    <x v="4"/>
    <x v="8"/>
    <x v="1"/>
    <x v="3"/>
    <x v="3888"/>
    <x v="0"/>
    <x v="0"/>
  </r>
  <r>
    <x v="3971"/>
    <x v="80"/>
    <x v="0"/>
    <x v="8"/>
    <x v="7"/>
    <x v="2"/>
    <x v="11"/>
    <x v="3889"/>
    <x v="0"/>
    <x v="3"/>
  </r>
  <r>
    <x v="3972"/>
    <x v="33"/>
    <x v="1"/>
    <x v="1"/>
    <x v="7"/>
    <x v="2"/>
    <x v="9"/>
    <x v="3890"/>
    <x v="1"/>
    <x v="2"/>
  </r>
  <r>
    <x v="3973"/>
    <x v="23"/>
    <x v="1"/>
    <x v="4"/>
    <x v="5"/>
    <x v="0"/>
    <x v="5"/>
    <x v="3891"/>
    <x v="0"/>
    <x v="1"/>
  </r>
  <r>
    <x v="3974"/>
    <x v="65"/>
    <x v="1"/>
    <x v="6"/>
    <x v="8"/>
    <x v="1"/>
    <x v="10"/>
    <x v="3892"/>
    <x v="0"/>
    <x v="4"/>
  </r>
  <r>
    <x v="3975"/>
    <x v="76"/>
    <x v="1"/>
    <x v="7"/>
    <x v="5"/>
    <x v="1"/>
    <x v="10"/>
    <x v="3893"/>
    <x v="1"/>
    <x v="4"/>
  </r>
  <r>
    <x v="3976"/>
    <x v="80"/>
    <x v="1"/>
    <x v="6"/>
    <x v="2"/>
    <x v="0"/>
    <x v="10"/>
    <x v="3894"/>
    <x v="1"/>
    <x v="3"/>
  </r>
  <r>
    <x v="3977"/>
    <x v="74"/>
    <x v="0"/>
    <x v="3"/>
    <x v="3"/>
    <x v="2"/>
    <x v="2"/>
    <x v="3895"/>
    <x v="0"/>
    <x v="3"/>
  </r>
  <r>
    <x v="3978"/>
    <x v="73"/>
    <x v="1"/>
    <x v="7"/>
    <x v="2"/>
    <x v="0"/>
    <x v="7"/>
    <x v="3896"/>
    <x v="1"/>
    <x v="0"/>
  </r>
  <r>
    <x v="3979"/>
    <x v="49"/>
    <x v="0"/>
    <x v="7"/>
    <x v="8"/>
    <x v="1"/>
    <x v="0"/>
    <x v="3897"/>
    <x v="1"/>
    <x v="0"/>
  </r>
  <r>
    <x v="3980"/>
    <x v="71"/>
    <x v="0"/>
    <x v="3"/>
    <x v="6"/>
    <x v="2"/>
    <x v="11"/>
    <x v="3898"/>
    <x v="0"/>
    <x v="4"/>
  </r>
  <r>
    <x v="3981"/>
    <x v="13"/>
    <x v="0"/>
    <x v="1"/>
    <x v="5"/>
    <x v="0"/>
    <x v="13"/>
    <x v="3899"/>
    <x v="1"/>
    <x v="2"/>
  </r>
  <r>
    <x v="3982"/>
    <x v="28"/>
    <x v="1"/>
    <x v="0"/>
    <x v="1"/>
    <x v="2"/>
    <x v="1"/>
    <x v="3900"/>
    <x v="1"/>
    <x v="1"/>
  </r>
  <r>
    <x v="3983"/>
    <x v="45"/>
    <x v="1"/>
    <x v="8"/>
    <x v="2"/>
    <x v="2"/>
    <x v="3"/>
    <x v="3901"/>
    <x v="0"/>
    <x v="2"/>
  </r>
  <r>
    <x v="3984"/>
    <x v="60"/>
    <x v="0"/>
    <x v="4"/>
    <x v="7"/>
    <x v="2"/>
    <x v="11"/>
    <x v="3902"/>
    <x v="1"/>
    <x v="2"/>
  </r>
  <r>
    <x v="3985"/>
    <x v="44"/>
    <x v="0"/>
    <x v="4"/>
    <x v="7"/>
    <x v="0"/>
    <x v="8"/>
    <x v="3903"/>
    <x v="0"/>
    <x v="2"/>
  </r>
  <r>
    <x v="3986"/>
    <x v="11"/>
    <x v="0"/>
    <x v="9"/>
    <x v="6"/>
    <x v="2"/>
    <x v="11"/>
    <x v="3904"/>
    <x v="0"/>
    <x v="2"/>
  </r>
  <r>
    <x v="3987"/>
    <x v="55"/>
    <x v="1"/>
    <x v="7"/>
    <x v="6"/>
    <x v="2"/>
    <x v="5"/>
    <x v="3905"/>
    <x v="0"/>
    <x v="1"/>
  </r>
  <r>
    <x v="3988"/>
    <x v="34"/>
    <x v="0"/>
    <x v="4"/>
    <x v="3"/>
    <x v="0"/>
    <x v="0"/>
    <x v="3906"/>
    <x v="1"/>
    <x v="3"/>
  </r>
  <r>
    <x v="3989"/>
    <x v="47"/>
    <x v="0"/>
    <x v="6"/>
    <x v="6"/>
    <x v="1"/>
    <x v="12"/>
    <x v="3907"/>
    <x v="0"/>
    <x v="4"/>
  </r>
  <r>
    <x v="3990"/>
    <x v="71"/>
    <x v="1"/>
    <x v="9"/>
    <x v="9"/>
    <x v="0"/>
    <x v="14"/>
    <x v="3908"/>
    <x v="0"/>
    <x v="2"/>
  </r>
  <r>
    <x v="3991"/>
    <x v="56"/>
    <x v="0"/>
    <x v="6"/>
    <x v="6"/>
    <x v="1"/>
    <x v="0"/>
    <x v="3909"/>
    <x v="0"/>
    <x v="0"/>
  </r>
  <r>
    <x v="3992"/>
    <x v="50"/>
    <x v="1"/>
    <x v="4"/>
    <x v="5"/>
    <x v="1"/>
    <x v="3"/>
    <x v="3910"/>
    <x v="1"/>
    <x v="4"/>
  </r>
  <r>
    <x v="3993"/>
    <x v="15"/>
    <x v="0"/>
    <x v="5"/>
    <x v="3"/>
    <x v="2"/>
    <x v="7"/>
    <x v="3911"/>
    <x v="1"/>
    <x v="2"/>
  </r>
  <r>
    <x v="3994"/>
    <x v="52"/>
    <x v="1"/>
    <x v="0"/>
    <x v="5"/>
    <x v="1"/>
    <x v="6"/>
    <x v="3912"/>
    <x v="0"/>
    <x v="0"/>
  </r>
  <r>
    <x v="3995"/>
    <x v="18"/>
    <x v="0"/>
    <x v="2"/>
    <x v="9"/>
    <x v="2"/>
    <x v="11"/>
    <x v="3913"/>
    <x v="1"/>
    <x v="0"/>
  </r>
  <r>
    <x v="3996"/>
    <x v="54"/>
    <x v="0"/>
    <x v="4"/>
    <x v="0"/>
    <x v="2"/>
    <x v="14"/>
    <x v="3914"/>
    <x v="1"/>
    <x v="4"/>
  </r>
  <r>
    <x v="3997"/>
    <x v="87"/>
    <x v="1"/>
    <x v="0"/>
    <x v="1"/>
    <x v="0"/>
    <x v="2"/>
    <x v="3915"/>
    <x v="1"/>
    <x v="2"/>
  </r>
  <r>
    <x v="3998"/>
    <x v="55"/>
    <x v="0"/>
    <x v="8"/>
    <x v="2"/>
    <x v="1"/>
    <x v="0"/>
    <x v="3916"/>
    <x v="1"/>
    <x v="2"/>
  </r>
  <r>
    <x v="3999"/>
    <x v="67"/>
    <x v="0"/>
    <x v="0"/>
    <x v="4"/>
    <x v="0"/>
    <x v="11"/>
    <x v="3917"/>
    <x v="1"/>
    <x v="4"/>
  </r>
  <r>
    <x v="4000"/>
    <x v="79"/>
    <x v="0"/>
    <x v="2"/>
    <x v="6"/>
    <x v="0"/>
    <x v="2"/>
    <x v="3918"/>
    <x v="0"/>
    <x v="1"/>
  </r>
  <r>
    <x v="4001"/>
    <x v="73"/>
    <x v="0"/>
    <x v="3"/>
    <x v="1"/>
    <x v="0"/>
    <x v="11"/>
    <x v="3919"/>
    <x v="0"/>
    <x v="0"/>
  </r>
  <r>
    <x v="4002"/>
    <x v="71"/>
    <x v="0"/>
    <x v="4"/>
    <x v="9"/>
    <x v="2"/>
    <x v="2"/>
    <x v="3920"/>
    <x v="1"/>
    <x v="1"/>
  </r>
  <r>
    <x v="4003"/>
    <x v="10"/>
    <x v="0"/>
    <x v="3"/>
    <x v="4"/>
    <x v="1"/>
    <x v="5"/>
    <x v="3921"/>
    <x v="0"/>
    <x v="2"/>
  </r>
  <r>
    <x v="4004"/>
    <x v="87"/>
    <x v="0"/>
    <x v="7"/>
    <x v="9"/>
    <x v="2"/>
    <x v="2"/>
    <x v="3922"/>
    <x v="0"/>
    <x v="3"/>
  </r>
  <r>
    <x v="4005"/>
    <x v="74"/>
    <x v="0"/>
    <x v="7"/>
    <x v="3"/>
    <x v="1"/>
    <x v="11"/>
    <x v="3923"/>
    <x v="0"/>
    <x v="3"/>
  </r>
  <r>
    <x v="4006"/>
    <x v="8"/>
    <x v="0"/>
    <x v="7"/>
    <x v="7"/>
    <x v="0"/>
    <x v="9"/>
    <x v="3924"/>
    <x v="0"/>
    <x v="2"/>
  </r>
  <r>
    <x v="4007"/>
    <x v="62"/>
    <x v="1"/>
    <x v="1"/>
    <x v="8"/>
    <x v="1"/>
    <x v="4"/>
    <x v="3925"/>
    <x v="0"/>
    <x v="3"/>
  </r>
  <r>
    <x v="4008"/>
    <x v="19"/>
    <x v="0"/>
    <x v="9"/>
    <x v="4"/>
    <x v="1"/>
    <x v="0"/>
    <x v="3926"/>
    <x v="1"/>
    <x v="4"/>
  </r>
  <r>
    <x v="4009"/>
    <x v="65"/>
    <x v="0"/>
    <x v="3"/>
    <x v="4"/>
    <x v="2"/>
    <x v="7"/>
    <x v="3927"/>
    <x v="1"/>
    <x v="1"/>
  </r>
  <r>
    <x v="4010"/>
    <x v="61"/>
    <x v="1"/>
    <x v="3"/>
    <x v="2"/>
    <x v="1"/>
    <x v="1"/>
    <x v="3928"/>
    <x v="1"/>
    <x v="3"/>
  </r>
  <r>
    <x v="4011"/>
    <x v="51"/>
    <x v="1"/>
    <x v="1"/>
    <x v="9"/>
    <x v="2"/>
    <x v="1"/>
    <x v="3929"/>
    <x v="1"/>
    <x v="3"/>
  </r>
  <r>
    <x v="4012"/>
    <x v="51"/>
    <x v="0"/>
    <x v="6"/>
    <x v="8"/>
    <x v="2"/>
    <x v="4"/>
    <x v="3930"/>
    <x v="0"/>
    <x v="1"/>
  </r>
  <r>
    <x v="4013"/>
    <x v="74"/>
    <x v="0"/>
    <x v="3"/>
    <x v="9"/>
    <x v="2"/>
    <x v="2"/>
    <x v="3931"/>
    <x v="1"/>
    <x v="0"/>
  </r>
  <r>
    <x v="4014"/>
    <x v="19"/>
    <x v="0"/>
    <x v="6"/>
    <x v="0"/>
    <x v="1"/>
    <x v="8"/>
    <x v="3932"/>
    <x v="1"/>
    <x v="3"/>
  </r>
  <r>
    <x v="4015"/>
    <x v="62"/>
    <x v="1"/>
    <x v="0"/>
    <x v="0"/>
    <x v="2"/>
    <x v="0"/>
    <x v="3933"/>
    <x v="1"/>
    <x v="2"/>
  </r>
  <r>
    <x v="4016"/>
    <x v="38"/>
    <x v="0"/>
    <x v="5"/>
    <x v="4"/>
    <x v="2"/>
    <x v="2"/>
    <x v="3934"/>
    <x v="0"/>
    <x v="0"/>
  </r>
  <r>
    <x v="4017"/>
    <x v="60"/>
    <x v="0"/>
    <x v="9"/>
    <x v="8"/>
    <x v="2"/>
    <x v="6"/>
    <x v="3935"/>
    <x v="0"/>
    <x v="2"/>
  </r>
  <r>
    <x v="4018"/>
    <x v="88"/>
    <x v="1"/>
    <x v="6"/>
    <x v="4"/>
    <x v="0"/>
    <x v="12"/>
    <x v="3936"/>
    <x v="0"/>
    <x v="0"/>
  </r>
  <r>
    <x v="4019"/>
    <x v="52"/>
    <x v="0"/>
    <x v="8"/>
    <x v="9"/>
    <x v="2"/>
    <x v="11"/>
    <x v="3937"/>
    <x v="1"/>
    <x v="4"/>
  </r>
  <r>
    <x v="4020"/>
    <x v="34"/>
    <x v="1"/>
    <x v="6"/>
    <x v="9"/>
    <x v="0"/>
    <x v="7"/>
    <x v="3938"/>
    <x v="1"/>
    <x v="0"/>
  </r>
  <r>
    <x v="4021"/>
    <x v="25"/>
    <x v="1"/>
    <x v="9"/>
    <x v="4"/>
    <x v="1"/>
    <x v="7"/>
    <x v="3939"/>
    <x v="1"/>
    <x v="2"/>
  </r>
  <r>
    <x v="4022"/>
    <x v="55"/>
    <x v="1"/>
    <x v="1"/>
    <x v="6"/>
    <x v="0"/>
    <x v="7"/>
    <x v="3940"/>
    <x v="1"/>
    <x v="1"/>
  </r>
  <r>
    <x v="4023"/>
    <x v="52"/>
    <x v="1"/>
    <x v="4"/>
    <x v="9"/>
    <x v="2"/>
    <x v="1"/>
    <x v="3941"/>
    <x v="1"/>
    <x v="1"/>
  </r>
  <r>
    <x v="4024"/>
    <x v="63"/>
    <x v="0"/>
    <x v="6"/>
    <x v="5"/>
    <x v="0"/>
    <x v="7"/>
    <x v="3942"/>
    <x v="1"/>
    <x v="1"/>
  </r>
  <r>
    <x v="4025"/>
    <x v="22"/>
    <x v="0"/>
    <x v="8"/>
    <x v="0"/>
    <x v="2"/>
    <x v="0"/>
    <x v="3943"/>
    <x v="1"/>
    <x v="1"/>
  </r>
  <r>
    <x v="4026"/>
    <x v="38"/>
    <x v="1"/>
    <x v="6"/>
    <x v="8"/>
    <x v="1"/>
    <x v="4"/>
    <x v="3944"/>
    <x v="0"/>
    <x v="1"/>
  </r>
  <r>
    <x v="4027"/>
    <x v="58"/>
    <x v="0"/>
    <x v="8"/>
    <x v="2"/>
    <x v="1"/>
    <x v="7"/>
    <x v="3945"/>
    <x v="1"/>
    <x v="4"/>
  </r>
  <r>
    <x v="4028"/>
    <x v="65"/>
    <x v="0"/>
    <x v="1"/>
    <x v="9"/>
    <x v="1"/>
    <x v="4"/>
    <x v="3946"/>
    <x v="1"/>
    <x v="3"/>
  </r>
  <r>
    <x v="4029"/>
    <x v="22"/>
    <x v="1"/>
    <x v="3"/>
    <x v="2"/>
    <x v="0"/>
    <x v="4"/>
    <x v="3947"/>
    <x v="0"/>
    <x v="1"/>
  </r>
  <r>
    <x v="4030"/>
    <x v="86"/>
    <x v="0"/>
    <x v="0"/>
    <x v="0"/>
    <x v="1"/>
    <x v="5"/>
    <x v="3907"/>
    <x v="1"/>
    <x v="3"/>
  </r>
  <r>
    <x v="4031"/>
    <x v="1"/>
    <x v="1"/>
    <x v="0"/>
    <x v="4"/>
    <x v="2"/>
    <x v="10"/>
    <x v="3948"/>
    <x v="0"/>
    <x v="4"/>
  </r>
  <r>
    <x v="4032"/>
    <x v="0"/>
    <x v="1"/>
    <x v="8"/>
    <x v="6"/>
    <x v="2"/>
    <x v="5"/>
    <x v="3949"/>
    <x v="1"/>
    <x v="1"/>
  </r>
  <r>
    <x v="4033"/>
    <x v="16"/>
    <x v="0"/>
    <x v="9"/>
    <x v="1"/>
    <x v="0"/>
    <x v="2"/>
    <x v="3950"/>
    <x v="1"/>
    <x v="3"/>
  </r>
  <r>
    <x v="4034"/>
    <x v="43"/>
    <x v="0"/>
    <x v="1"/>
    <x v="0"/>
    <x v="0"/>
    <x v="14"/>
    <x v="3951"/>
    <x v="0"/>
    <x v="2"/>
  </r>
  <r>
    <x v="4035"/>
    <x v="84"/>
    <x v="0"/>
    <x v="8"/>
    <x v="2"/>
    <x v="0"/>
    <x v="0"/>
    <x v="3952"/>
    <x v="0"/>
    <x v="1"/>
  </r>
  <r>
    <x v="4036"/>
    <x v="73"/>
    <x v="0"/>
    <x v="1"/>
    <x v="8"/>
    <x v="2"/>
    <x v="0"/>
    <x v="3953"/>
    <x v="0"/>
    <x v="3"/>
  </r>
  <r>
    <x v="4037"/>
    <x v="66"/>
    <x v="0"/>
    <x v="8"/>
    <x v="6"/>
    <x v="2"/>
    <x v="10"/>
    <x v="3954"/>
    <x v="1"/>
    <x v="1"/>
  </r>
  <r>
    <x v="4038"/>
    <x v="3"/>
    <x v="1"/>
    <x v="3"/>
    <x v="2"/>
    <x v="0"/>
    <x v="7"/>
    <x v="3955"/>
    <x v="1"/>
    <x v="4"/>
  </r>
  <r>
    <x v="4039"/>
    <x v="81"/>
    <x v="0"/>
    <x v="7"/>
    <x v="1"/>
    <x v="2"/>
    <x v="12"/>
    <x v="3956"/>
    <x v="1"/>
    <x v="1"/>
  </r>
  <r>
    <x v="4040"/>
    <x v="2"/>
    <x v="1"/>
    <x v="2"/>
    <x v="2"/>
    <x v="0"/>
    <x v="11"/>
    <x v="3957"/>
    <x v="0"/>
    <x v="2"/>
  </r>
  <r>
    <x v="4041"/>
    <x v="23"/>
    <x v="0"/>
    <x v="5"/>
    <x v="2"/>
    <x v="1"/>
    <x v="5"/>
    <x v="3958"/>
    <x v="1"/>
    <x v="4"/>
  </r>
  <r>
    <x v="4042"/>
    <x v="28"/>
    <x v="0"/>
    <x v="6"/>
    <x v="1"/>
    <x v="0"/>
    <x v="13"/>
    <x v="3959"/>
    <x v="1"/>
    <x v="1"/>
  </r>
  <r>
    <x v="4043"/>
    <x v="3"/>
    <x v="0"/>
    <x v="1"/>
    <x v="0"/>
    <x v="2"/>
    <x v="0"/>
    <x v="3960"/>
    <x v="0"/>
    <x v="3"/>
  </r>
  <r>
    <x v="4044"/>
    <x v="65"/>
    <x v="0"/>
    <x v="0"/>
    <x v="8"/>
    <x v="0"/>
    <x v="0"/>
    <x v="3961"/>
    <x v="0"/>
    <x v="4"/>
  </r>
  <r>
    <x v="4045"/>
    <x v="85"/>
    <x v="1"/>
    <x v="2"/>
    <x v="6"/>
    <x v="0"/>
    <x v="2"/>
    <x v="3962"/>
    <x v="0"/>
    <x v="4"/>
  </r>
  <r>
    <x v="4046"/>
    <x v="11"/>
    <x v="0"/>
    <x v="8"/>
    <x v="3"/>
    <x v="0"/>
    <x v="14"/>
    <x v="3963"/>
    <x v="1"/>
    <x v="0"/>
  </r>
  <r>
    <x v="4047"/>
    <x v="18"/>
    <x v="1"/>
    <x v="9"/>
    <x v="3"/>
    <x v="2"/>
    <x v="8"/>
    <x v="3964"/>
    <x v="0"/>
    <x v="0"/>
  </r>
  <r>
    <x v="4048"/>
    <x v="48"/>
    <x v="1"/>
    <x v="3"/>
    <x v="8"/>
    <x v="0"/>
    <x v="5"/>
    <x v="3965"/>
    <x v="0"/>
    <x v="1"/>
  </r>
  <r>
    <x v="4049"/>
    <x v="11"/>
    <x v="0"/>
    <x v="1"/>
    <x v="8"/>
    <x v="1"/>
    <x v="0"/>
    <x v="3966"/>
    <x v="0"/>
    <x v="1"/>
  </r>
  <r>
    <x v="4050"/>
    <x v="17"/>
    <x v="0"/>
    <x v="7"/>
    <x v="1"/>
    <x v="0"/>
    <x v="13"/>
    <x v="3967"/>
    <x v="1"/>
    <x v="3"/>
  </r>
  <r>
    <x v="4051"/>
    <x v="72"/>
    <x v="0"/>
    <x v="2"/>
    <x v="7"/>
    <x v="0"/>
    <x v="10"/>
    <x v="3968"/>
    <x v="1"/>
    <x v="2"/>
  </r>
  <r>
    <x v="4052"/>
    <x v="0"/>
    <x v="0"/>
    <x v="5"/>
    <x v="9"/>
    <x v="2"/>
    <x v="4"/>
    <x v="3969"/>
    <x v="0"/>
    <x v="0"/>
  </r>
  <r>
    <x v="4053"/>
    <x v="4"/>
    <x v="1"/>
    <x v="1"/>
    <x v="6"/>
    <x v="1"/>
    <x v="1"/>
    <x v="3970"/>
    <x v="0"/>
    <x v="1"/>
  </r>
  <r>
    <x v="4054"/>
    <x v="10"/>
    <x v="1"/>
    <x v="3"/>
    <x v="2"/>
    <x v="1"/>
    <x v="4"/>
    <x v="3971"/>
    <x v="0"/>
    <x v="4"/>
  </r>
  <r>
    <x v="4055"/>
    <x v="68"/>
    <x v="1"/>
    <x v="9"/>
    <x v="1"/>
    <x v="0"/>
    <x v="11"/>
    <x v="3972"/>
    <x v="0"/>
    <x v="4"/>
  </r>
  <r>
    <x v="4056"/>
    <x v="28"/>
    <x v="1"/>
    <x v="0"/>
    <x v="7"/>
    <x v="0"/>
    <x v="9"/>
    <x v="3973"/>
    <x v="1"/>
    <x v="0"/>
  </r>
  <r>
    <x v="4057"/>
    <x v="57"/>
    <x v="1"/>
    <x v="3"/>
    <x v="2"/>
    <x v="0"/>
    <x v="1"/>
    <x v="3974"/>
    <x v="1"/>
    <x v="1"/>
  </r>
  <r>
    <x v="4058"/>
    <x v="15"/>
    <x v="0"/>
    <x v="7"/>
    <x v="9"/>
    <x v="0"/>
    <x v="3"/>
    <x v="3975"/>
    <x v="0"/>
    <x v="4"/>
  </r>
  <r>
    <x v="4059"/>
    <x v="27"/>
    <x v="1"/>
    <x v="7"/>
    <x v="8"/>
    <x v="2"/>
    <x v="13"/>
    <x v="630"/>
    <x v="0"/>
    <x v="0"/>
  </r>
  <r>
    <x v="4060"/>
    <x v="49"/>
    <x v="0"/>
    <x v="3"/>
    <x v="0"/>
    <x v="2"/>
    <x v="3"/>
    <x v="3976"/>
    <x v="1"/>
    <x v="4"/>
  </r>
  <r>
    <x v="4061"/>
    <x v="17"/>
    <x v="1"/>
    <x v="5"/>
    <x v="6"/>
    <x v="2"/>
    <x v="7"/>
    <x v="3977"/>
    <x v="1"/>
    <x v="3"/>
  </r>
  <r>
    <x v="4062"/>
    <x v="52"/>
    <x v="0"/>
    <x v="2"/>
    <x v="1"/>
    <x v="2"/>
    <x v="1"/>
    <x v="3978"/>
    <x v="1"/>
    <x v="0"/>
  </r>
  <r>
    <x v="4063"/>
    <x v="10"/>
    <x v="0"/>
    <x v="1"/>
    <x v="5"/>
    <x v="1"/>
    <x v="7"/>
    <x v="3979"/>
    <x v="0"/>
    <x v="1"/>
  </r>
  <r>
    <x v="4064"/>
    <x v="0"/>
    <x v="1"/>
    <x v="3"/>
    <x v="2"/>
    <x v="2"/>
    <x v="5"/>
    <x v="3980"/>
    <x v="1"/>
    <x v="3"/>
  </r>
  <r>
    <x v="4065"/>
    <x v="76"/>
    <x v="0"/>
    <x v="3"/>
    <x v="9"/>
    <x v="2"/>
    <x v="1"/>
    <x v="3981"/>
    <x v="0"/>
    <x v="4"/>
  </r>
  <r>
    <x v="4066"/>
    <x v="27"/>
    <x v="1"/>
    <x v="0"/>
    <x v="5"/>
    <x v="2"/>
    <x v="6"/>
    <x v="3982"/>
    <x v="1"/>
    <x v="0"/>
  </r>
  <r>
    <x v="4067"/>
    <x v="65"/>
    <x v="0"/>
    <x v="2"/>
    <x v="4"/>
    <x v="0"/>
    <x v="12"/>
    <x v="3983"/>
    <x v="1"/>
    <x v="2"/>
  </r>
  <r>
    <x v="4068"/>
    <x v="10"/>
    <x v="1"/>
    <x v="2"/>
    <x v="6"/>
    <x v="2"/>
    <x v="1"/>
    <x v="3984"/>
    <x v="0"/>
    <x v="1"/>
  </r>
  <r>
    <x v="4069"/>
    <x v="49"/>
    <x v="0"/>
    <x v="5"/>
    <x v="9"/>
    <x v="0"/>
    <x v="9"/>
    <x v="3985"/>
    <x v="0"/>
    <x v="4"/>
  </r>
  <r>
    <x v="4070"/>
    <x v="54"/>
    <x v="0"/>
    <x v="0"/>
    <x v="5"/>
    <x v="0"/>
    <x v="3"/>
    <x v="3986"/>
    <x v="0"/>
    <x v="2"/>
  </r>
  <r>
    <x v="4071"/>
    <x v="53"/>
    <x v="0"/>
    <x v="5"/>
    <x v="0"/>
    <x v="1"/>
    <x v="7"/>
    <x v="3987"/>
    <x v="1"/>
    <x v="1"/>
  </r>
  <r>
    <x v="4072"/>
    <x v="68"/>
    <x v="1"/>
    <x v="3"/>
    <x v="6"/>
    <x v="1"/>
    <x v="6"/>
    <x v="3988"/>
    <x v="0"/>
    <x v="4"/>
  </r>
  <r>
    <x v="4073"/>
    <x v="72"/>
    <x v="0"/>
    <x v="7"/>
    <x v="6"/>
    <x v="2"/>
    <x v="7"/>
    <x v="3989"/>
    <x v="0"/>
    <x v="2"/>
  </r>
  <r>
    <x v="4074"/>
    <x v="23"/>
    <x v="0"/>
    <x v="4"/>
    <x v="8"/>
    <x v="1"/>
    <x v="0"/>
    <x v="3990"/>
    <x v="0"/>
    <x v="3"/>
  </r>
  <r>
    <x v="4075"/>
    <x v="72"/>
    <x v="0"/>
    <x v="4"/>
    <x v="9"/>
    <x v="2"/>
    <x v="13"/>
    <x v="3991"/>
    <x v="1"/>
    <x v="2"/>
  </r>
  <r>
    <x v="4076"/>
    <x v="49"/>
    <x v="1"/>
    <x v="8"/>
    <x v="1"/>
    <x v="0"/>
    <x v="12"/>
    <x v="3992"/>
    <x v="1"/>
    <x v="0"/>
  </r>
  <r>
    <x v="4077"/>
    <x v="38"/>
    <x v="1"/>
    <x v="5"/>
    <x v="1"/>
    <x v="1"/>
    <x v="4"/>
    <x v="3993"/>
    <x v="1"/>
    <x v="1"/>
  </r>
  <r>
    <x v="4078"/>
    <x v="83"/>
    <x v="0"/>
    <x v="7"/>
    <x v="4"/>
    <x v="2"/>
    <x v="2"/>
    <x v="3994"/>
    <x v="0"/>
    <x v="2"/>
  </r>
  <r>
    <x v="4079"/>
    <x v="2"/>
    <x v="1"/>
    <x v="1"/>
    <x v="2"/>
    <x v="2"/>
    <x v="10"/>
    <x v="3995"/>
    <x v="1"/>
    <x v="1"/>
  </r>
  <r>
    <x v="4080"/>
    <x v="79"/>
    <x v="0"/>
    <x v="9"/>
    <x v="1"/>
    <x v="2"/>
    <x v="9"/>
    <x v="3996"/>
    <x v="1"/>
    <x v="1"/>
  </r>
  <r>
    <x v="4081"/>
    <x v="14"/>
    <x v="0"/>
    <x v="5"/>
    <x v="6"/>
    <x v="1"/>
    <x v="5"/>
    <x v="3997"/>
    <x v="0"/>
    <x v="4"/>
  </r>
  <r>
    <x v="4082"/>
    <x v="84"/>
    <x v="0"/>
    <x v="4"/>
    <x v="5"/>
    <x v="0"/>
    <x v="12"/>
    <x v="3998"/>
    <x v="0"/>
    <x v="1"/>
  </r>
  <r>
    <x v="4083"/>
    <x v="39"/>
    <x v="1"/>
    <x v="3"/>
    <x v="3"/>
    <x v="1"/>
    <x v="9"/>
    <x v="3999"/>
    <x v="1"/>
    <x v="3"/>
  </r>
  <r>
    <x v="4084"/>
    <x v="88"/>
    <x v="1"/>
    <x v="5"/>
    <x v="2"/>
    <x v="0"/>
    <x v="14"/>
    <x v="2422"/>
    <x v="0"/>
    <x v="2"/>
  </r>
  <r>
    <x v="4085"/>
    <x v="65"/>
    <x v="0"/>
    <x v="4"/>
    <x v="1"/>
    <x v="2"/>
    <x v="7"/>
    <x v="4000"/>
    <x v="1"/>
    <x v="4"/>
  </r>
  <r>
    <x v="4086"/>
    <x v="43"/>
    <x v="1"/>
    <x v="5"/>
    <x v="5"/>
    <x v="2"/>
    <x v="14"/>
    <x v="4001"/>
    <x v="0"/>
    <x v="3"/>
  </r>
  <r>
    <x v="4087"/>
    <x v="39"/>
    <x v="0"/>
    <x v="3"/>
    <x v="4"/>
    <x v="2"/>
    <x v="4"/>
    <x v="4002"/>
    <x v="1"/>
    <x v="4"/>
  </r>
  <r>
    <x v="4088"/>
    <x v="72"/>
    <x v="1"/>
    <x v="3"/>
    <x v="7"/>
    <x v="1"/>
    <x v="4"/>
    <x v="4003"/>
    <x v="1"/>
    <x v="2"/>
  </r>
  <r>
    <x v="4089"/>
    <x v="10"/>
    <x v="1"/>
    <x v="4"/>
    <x v="9"/>
    <x v="1"/>
    <x v="6"/>
    <x v="4004"/>
    <x v="0"/>
    <x v="3"/>
  </r>
  <r>
    <x v="4090"/>
    <x v="52"/>
    <x v="1"/>
    <x v="9"/>
    <x v="6"/>
    <x v="1"/>
    <x v="7"/>
    <x v="4005"/>
    <x v="0"/>
    <x v="3"/>
  </r>
  <r>
    <x v="4091"/>
    <x v="41"/>
    <x v="0"/>
    <x v="5"/>
    <x v="2"/>
    <x v="1"/>
    <x v="3"/>
    <x v="4006"/>
    <x v="0"/>
    <x v="3"/>
  </r>
  <r>
    <x v="4092"/>
    <x v="75"/>
    <x v="0"/>
    <x v="7"/>
    <x v="7"/>
    <x v="1"/>
    <x v="5"/>
    <x v="4007"/>
    <x v="1"/>
    <x v="3"/>
  </r>
  <r>
    <x v="4093"/>
    <x v="46"/>
    <x v="1"/>
    <x v="5"/>
    <x v="2"/>
    <x v="2"/>
    <x v="11"/>
    <x v="4008"/>
    <x v="0"/>
    <x v="2"/>
  </r>
  <r>
    <x v="4094"/>
    <x v="45"/>
    <x v="1"/>
    <x v="5"/>
    <x v="4"/>
    <x v="2"/>
    <x v="6"/>
    <x v="4009"/>
    <x v="1"/>
    <x v="3"/>
  </r>
  <r>
    <x v="4095"/>
    <x v="21"/>
    <x v="0"/>
    <x v="4"/>
    <x v="6"/>
    <x v="2"/>
    <x v="8"/>
    <x v="4010"/>
    <x v="0"/>
    <x v="1"/>
  </r>
  <r>
    <x v="4096"/>
    <x v="14"/>
    <x v="0"/>
    <x v="6"/>
    <x v="0"/>
    <x v="1"/>
    <x v="0"/>
    <x v="4011"/>
    <x v="1"/>
    <x v="4"/>
  </r>
  <r>
    <x v="4097"/>
    <x v="15"/>
    <x v="0"/>
    <x v="1"/>
    <x v="3"/>
    <x v="2"/>
    <x v="7"/>
    <x v="4012"/>
    <x v="1"/>
    <x v="2"/>
  </r>
  <r>
    <x v="4098"/>
    <x v="62"/>
    <x v="0"/>
    <x v="1"/>
    <x v="8"/>
    <x v="0"/>
    <x v="5"/>
    <x v="4013"/>
    <x v="1"/>
    <x v="0"/>
  </r>
  <r>
    <x v="4099"/>
    <x v="29"/>
    <x v="0"/>
    <x v="1"/>
    <x v="4"/>
    <x v="0"/>
    <x v="7"/>
    <x v="4014"/>
    <x v="0"/>
    <x v="0"/>
  </r>
  <r>
    <x v="4100"/>
    <x v="9"/>
    <x v="0"/>
    <x v="4"/>
    <x v="0"/>
    <x v="1"/>
    <x v="11"/>
    <x v="4015"/>
    <x v="1"/>
    <x v="3"/>
  </r>
  <r>
    <x v="4101"/>
    <x v="40"/>
    <x v="0"/>
    <x v="1"/>
    <x v="1"/>
    <x v="0"/>
    <x v="9"/>
    <x v="4016"/>
    <x v="1"/>
    <x v="3"/>
  </r>
  <r>
    <x v="4102"/>
    <x v="42"/>
    <x v="0"/>
    <x v="2"/>
    <x v="3"/>
    <x v="2"/>
    <x v="4"/>
    <x v="4017"/>
    <x v="0"/>
    <x v="4"/>
  </r>
  <r>
    <x v="4103"/>
    <x v="31"/>
    <x v="0"/>
    <x v="8"/>
    <x v="0"/>
    <x v="2"/>
    <x v="2"/>
    <x v="4018"/>
    <x v="0"/>
    <x v="0"/>
  </r>
  <r>
    <x v="4104"/>
    <x v="42"/>
    <x v="1"/>
    <x v="8"/>
    <x v="8"/>
    <x v="1"/>
    <x v="13"/>
    <x v="4019"/>
    <x v="1"/>
    <x v="4"/>
  </r>
  <r>
    <x v="4105"/>
    <x v="10"/>
    <x v="0"/>
    <x v="2"/>
    <x v="4"/>
    <x v="2"/>
    <x v="7"/>
    <x v="4020"/>
    <x v="1"/>
    <x v="3"/>
  </r>
  <r>
    <x v="4106"/>
    <x v="30"/>
    <x v="0"/>
    <x v="6"/>
    <x v="1"/>
    <x v="0"/>
    <x v="14"/>
    <x v="4021"/>
    <x v="0"/>
    <x v="0"/>
  </r>
  <r>
    <x v="4107"/>
    <x v="15"/>
    <x v="0"/>
    <x v="9"/>
    <x v="5"/>
    <x v="1"/>
    <x v="3"/>
    <x v="4022"/>
    <x v="1"/>
    <x v="4"/>
  </r>
  <r>
    <x v="4108"/>
    <x v="25"/>
    <x v="1"/>
    <x v="7"/>
    <x v="0"/>
    <x v="0"/>
    <x v="11"/>
    <x v="4023"/>
    <x v="0"/>
    <x v="4"/>
  </r>
  <r>
    <x v="4109"/>
    <x v="37"/>
    <x v="1"/>
    <x v="7"/>
    <x v="9"/>
    <x v="0"/>
    <x v="14"/>
    <x v="4024"/>
    <x v="0"/>
    <x v="2"/>
  </r>
  <r>
    <x v="4110"/>
    <x v="2"/>
    <x v="0"/>
    <x v="4"/>
    <x v="2"/>
    <x v="0"/>
    <x v="8"/>
    <x v="4025"/>
    <x v="0"/>
    <x v="0"/>
  </r>
  <r>
    <x v="4111"/>
    <x v="27"/>
    <x v="1"/>
    <x v="6"/>
    <x v="7"/>
    <x v="0"/>
    <x v="12"/>
    <x v="4026"/>
    <x v="1"/>
    <x v="4"/>
  </r>
  <r>
    <x v="4112"/>
    <x v="46"/>
    <x v="1"/>
    <x v="1"/>
    <x v="1"/>
    <x v="2"/>
    <x v="13"/>
    <x v="4027"/>
    <x v="1"/>
    <x v="1"/>
  </r>
  <r>
    <x v="4113"/>
    <x v="4"/>
    <x v="0"/>
    <x v="4"/>
    <x v="2"/>
    <x v="0"/>
    <x v="5"/>
    <x v="4028"/>
    <x v="0"/>
    <x v="4"/>
  </r>
  <r>
    <x v="4114"/>
    <x v="15"/>
    <x v="0"/>
    <x v="6"/>
    <x v="4"/>
    <x v="1"/>
    <x v="8"/>
    <x v="4029"/>
    <x v="1"/>
    <x v="2"/>
  </r>
  <r>
    <x v="4115"/>
    <x v="74"/>
    <x v="1"/>
    <x v="1"/>
    <x v="2"/>
    <x v="0"/>
    <x v="5"/>
    <x v="4030"/>
    <x v="1"/>
    <x v="1"/>
  </r>
  <r>
    <x v="4116"/>
    <x v="80"/>
    <x v="1"/>
    <x v="1"/>
    <x v="5"/>
    <x v="2"/>
    <x v="6"/>
    <x v="4031"/>
    <x v="1"/>
    <x v="4"/>
  </r>
  <r>
    <x v="4117"/>
    <x v="71"/>
    <x v="1"/>
    <x v="1"/>
    <x v="4"/>
    <x v="0"/>
    <x v="6"/>
    <x v="4032"/>
    <x v="0"/>
    <x v="3"/>
  </r>
  <r>
    <x v="4118"/>
    <x v="88"/>
    <x v="1"/>
    <x v="0"/>
    <x v="6"/>
    <x v="1"/>
    <x v="5"/>
    <x v="2181"/>
    <x v="1"/>
    <x v="1"/>
  </r>
  <r>
    <x v="4119"/>
    <x v="15"/>
    <x v="0"/>
    <x v="2"/>
    <x v="8"/>
    <x v="1"/>
    <x v="13"/>
    <x v="4033"/>
    <x v="0"/>
    <x v="4"/>
  </r>
  <r>
    <x v="4120"/>
    <x v="26"/>
    <x v="1"/>
    <x v="7"/>
    <x v="9"/>
    <x v="1"/>
    <x v="6"/>
    <x v="4034"/>
    <x v="0"/>
    <x v="1"/>
  </r>
  <r>
    <x v="4121"/>
    <x v="37"/>
    <x v="1"/>
    <x v="1"/>
    <x v="4"/>
    <x v="2"/>
    <x v="13"/>
    <x v="4035"/>
    <x v="0"/>
    <x v="4"/>
  </r>
  <r>
    <x v="4122"/>
    <x v="54"/>
    <x v="1"/>
    <x v="9"/>
    <x v="0"/>
    <x v="2"/>
    <x v="3"/>
    <x v="4036"/>
    <x v="1"/>
    <x v="2"/>
  </r>
  <r>
    <x v="4123"/>
    <x v="79"/>
    <x v="0"/>
    <x v="4"/>
    <x v="8"/>
    <x v="0"/>
    <x v="13"/>
    <x v="4037"/>
    <x v="1"/>
    <x v="4"/>
  </r>
  <r>
    <x v="4124"/>
    <x v="17"/>
    <x v="0"/>
    <x v="8"/>
    <x v="6"/>
    <x v="1"/>
    <x v="14"/>
    <x v="4038"/>
    <x v="0"/>
    <x v="1"/>
  </r>
  <r>
    <x v="4125"/>
    <x v="18"/>
    <x v="0"/>
    <x v="9"/>
    <x v="8"/>
    <x v="1"/>
    <x v="7"/>
    <x v="4039"/>
    <x v="1"/>
    <x v="2"/>
  </r>
  <r>
    <x v="4126"/>
    <x v="37"/>
    <x v="1"/>
    <x v="7"/>
    <x v="9"/>
    <x v="1"/>
    <x v="4"/>
    <x v="4040"/>
    <x v="1"/>
    <x v="1"/>
  </r>
  <r>
    <x v="4127"/>
    <x v="30"/>
    <x v="0"/>
    <x v="5"/>
    <x v="6"/>
    <x v="1"/>
    <x v="6"/>
    <x v="4041"/>
    <x v="1"/>
    <x v="2"/>
  </r>
  <r>
    <x v="4128"/>
    <x v="64"/>
    <x v="0"/>
    <x v="2"/>
    <x v="6"/>
    <x v="1"/>
    <x v="13"/>
    <x v="4042"/>
    <x v="0"/>
    <x v="0"/>
  </r>
  <r>
    <x v="4129"/>
    <x v="43"/>
    <x v="0"/>
    <x v="5"/>
    <x v="4"/>
    <x v="1"/>
    <x v="6"/>
    <x v="4043"/>
    <x v="0"/>
    <x v="0"/>
  </r>
  <r>
    <x v="4130"/>
    <x v="88"/>
    <x v="1"/>
    <x v="2"/>
    <x v="0"/>
    <x v="2"/>
    <x v="9"/>
    <x v="4044"/>
    <x v="0"/>
    <x v="2"/>
  </r>
  <r>
    <x v="4131"/>
    <x v="15"/>
    <x v="1"/>
    <x v="5"/>
    <x v="1"/>
    <x v="0"/>
    <x v="5"/>
    <x v="4045"/>
    <x v="0"/>
    <x v="0"/>
  </r>
  <r>
    <x v="4132"/>
    <x v="7"/>
    <x v="1"/>
    <x v="0"/>
    <x v="3"/>
    <x v="0"/>
    <x v="7"/>
    <x v="4046"/>
    <x v="0"/>
    <x v="0"/>
  </r>
  <r>
    <x v="4133"/>
    <x v="3"/>
    <x v="0"/>
    <x v="3"/>
    <x v="3"/>
    <x v="1"/>
    <x v="10"/>
    <x v="1918"/>
    <x v="1"/>
    <x v="3"/>
  </r>
  <r>
    <x v="4134"/>
    <x v="20"/>
    <x v="1"/>
    <x v="0"/>
    <x v="3"/>
    <x v="1"/>
    <x v="13"/>
    <x v="4047"/>
    <x v="1"/>
    <x v="0"/>
  </r>
  <r>
    <x v="4135"/>
    <x v="27"/>
    <x v="0"/>
    <x v="9"/>
    <x v="7"/>
    <x v="2"/>
    <x v="11"/>
    <x v="4048"/>
    <x v="0"/>
    <x v="4"/>
  </r>
  <r>
    <x v="4136"/>
    <x v="51"/>
    <x v="0"/>
    <x v="3"/>
    <x v="1"/>
    <x v="0"/>
    <x v="9"/>
    <x v="4049"/>
    <x v="0"/>
    <x v="4"/>
  </r>
  <r>
    <x v="4137"/>
    <x v="2"/>
    <x v="1"/>
    <x v="6"/>
    <x v="8"/>
    <x v="0"/>
    <x v="10"/>
    <x v="4050"/>
    <x v="1"/>
    <x v="1"/>
  </r>
  <r>
    <x v="4138"/>
    <x v="67"/>
    <x v="1"/>
    <x v="7"/>
    <x v="4"/>
    <x v="1"/>
    <x v="5"/>
    <x v="4051"/>
    <x v="1"/>
    <x v="4"/>
  </r>
  <r>
    <x v="4139"/>
    <x v="34"/>
    <x v="0"/>
    <x v="0"/>
    <x v="8"/>
    <x v="1"/>
    <x v="9"/>
    <x v="4052"/>
    <x v="1"/>
    <x v="3"/>
  </r>
  <r>
    <x v="4140"/>
    <x v="73"/>
    <x v="0"/>
    <x v="6"/>
    <x v="9"/>
    <x v="0"/>
    <x v="12"/>
    <x v="4053"/>
    <x v="0"/>
    <x v="2"/>
  </r>
  <r>
    <x v="4141"/>
    <x v="44"/>
    <x v="1"/>
    <x v="7"/>
    <x v="2"/>
    <x v="0"/>
    <x v="13"/>
    <x v="4054"/>
    <x v="1"/>
    <x v="4"/>
  </r>
  <r>
    <x v="4142"/>
    <x v="30"/>
    <x v="0"/>
    <x v="5"/>
    <x v="2"/>
    <x v="0"/>
    <x v="8"/>
    <x v="4055"/>
    <x v="0"/>
    <x v="4"/>
  </r>
  <r>
    <x v="4143"/>
    <x v="58"/>
    <x v="1"/>
    <x v="5"/>
    <x v="9"/>
    <x v="0"/>
    <x v="1"/>
    <x v="4056"/>
    <x v="0"/>
    <x v="3"/>
  </r>
  <r>
    <x v="4144"/>
    <x v="33"/>
    <x v="1"/>
    <x v="6"/>
    <x v="8"/>
    <x v="0"/>
    <x v="0"/>
    <x v="4057"/>
    <x v="1"/>
    <x v="3"/>
  </r>
  <r>
    <x v="4145"/>
    <x v="70"/>
    <x v="1"/>
    <x v="0"/>
    <x v="6"/>
    <x v="0"/>
    <x v="4"/>
    <x v="4058"/>
    <x v="0"/>
    <x v="2"/>
  </r>
  <r>
    <x v="4146"/>
    <x v="4"/>
    <x v="1"/>
    <x v="3"/>
    <x v="9"/>
    <x v="2"/>
    <x v="8"/>
    <x v="4059"/>
    <x v="1"/>
    <x v="3"/>
  </r>
  <r>
    <x v="4147"/>
    <x v="33"/>
    <x v="1"/>
    <x v="7"/>
    <x v="3"/>
    <x v="0"/>
    <x v="12"/>
    <x v="4060"/>
    <x v="1"/>
    <x v="3"/>
  </r>
  <r>
    <x v="4148"/>
    <x v="18"/>
    <x v="0"/>
    <x v="5"/>
    <x v="2"/>
    <x v="0"/>
    <x v="7"/>
    <x v="4061"/>
    <x v="0"/>
    <x v="2"/>
  </r>
  <r>
    <x v="4149"/>
    <x v="67"/>
    <x v="0"/>
    <x v="1"/>
    <x v="2"/>
    <x v="0"/>
    <x v="3"/>
    <x v="4062"/>
    <x v="1"/>
    <x v="0"/>
  </r>
  <r>
    <x v="4150"/>
    <x v="7"/>
    <x v="1"/>
    <x v="7"/>
    <x v="5"/>
    <x v="0"/>
    <x v="10"/>
    <x v="4063"/>
    <x v="1"/>
    <x v="3"/>
  </r>
  <r>
    <x v="4151"/>
    <x v="79"/>
    <x v="0"/>
    <x v="0"/>
    <x v="1"/>
    <x v="0"/>
    <x v="3"/>
    <x v="4064"/>
    <x v="1"/>
    <x v="1"/>
  </r>
  <r>
    <x v="4152"/>
    <x v="17"/>
    <x v="1"/>
    <x v="6"/>
    <x v="4"/>
    <x v="2"/>
    <x v="14"/>
    <x v="4065"/>
    <x v="1"/>
    <x v="4"/>
  </r>
  <r>
    <x v="4153"/>
    <x v="7"/>
    <x v="0"/>
    <x v="3"/>
    <x v="0"/>
    <x v="1"/>
    <x v="0"/>
    <x v="4066"/>
    <x v="0"/>
    <x v="4"/>
  </r>
  <r>
    <x v="4154"/>
    <x v="34"/>
    <x v="0"/>
    <x v="9"/>
    <x v="7"/>
    <x v="0"/>
    <x v="14"/>
    <x v="4067"/>
    <x v="0"/>
    <x v="0"/>
  </r>
  <r>
    <x v="4155"/>
    <x v="21"/>
    <x v="1"/>
    <x v="9"/>
    <x v="6"/>
    <x v="2"/>
    <x v="9"/>
    <x v="4068"/>
    <x v="1"/>
    <x v="3"/>
  </r>
  <r>
    <x v="4156"/>
    <x v="11"/>
    <x v="1"/>
    <x v="6"/>
    <x v="1"/>
    <x v="0"/>
    <x v="11"/>
    <x v="4069"/>
    <x v="1"/>
    <x v="1"/>
  </r>
  <r>
    <x v="4157"/>
    <x v="83"/>
    <x v="1"/>
    <x v="9"/>
    <x v="3"/>
    <x v="2"/>
    <x v="10"/>
    <x v="4070"/>
    <x v="0"/>
    <x v="2"/>
  </r>
  <r>
    <x v="4158"/>
    <x v="50"/>
    <x v="0"/>
    <x v="3"/>
    <x v="0"/>
    <x v="0"/>
    <x v="6"/>
    <x v="4071"/>
    <x v="1"/>
    <x v="2"/>
  </r>
  <r>
    <x v="4159"/>
    <x v="61"/>
    <x v="0"/>
    <x v="6"/>
    <x v="9"/>
    <x v="0"/>
    <x v="12"/>
    <x v="4072"/>
    <x v="0"/>
    <x v="2"/>
  </r>
  <r>
    <x v="4160"/>
    <x v="18"/>
    <x v="1"/>
    <x v="8"/>
    <x v="0"/>
    <x v="0"/>
    <x v="12"/>
    <x v="4073"/>
    <x v="0"/>
    <x v="0"/>
  </r>
  <r>
    <x v="4161"/>
    <x v="83"/>
    <x v="1"/>
    <x v="3"/>
    <x v="8"/>
    <x v="0"/>
    <x v="11"/>
    <x v="4074"/>
    <x v="1"/>
    <x v="0"/>
  </r>
  <r>
    <x v="4162"/>
    <x v="21"/>
    <x v="1"/>
    <x v="4"/>
    <x v="4"/>
    <x v="2"/>
    <x v="9"/>
    <x v="4075"/>
    <x v="0"/>
    <x v="4"/>
  </r>
  <r>
    <x v="4163"/>
    <x v="22"/>
    <x v="0"/>
    <x v="5"/>
    <x v="0"/>
    <x v="0"/>
    <x v="3"/>
    <x v="4076"/>
    <x v="1"/>
    <x v="0"/>
  </r>
  <r>
    <x v="4164"/>
    <x v="40"/>
    <x v="0"/>
    <x v="5"/>
    <x v="5"/>
    <x v="2"/>
    <x v="12"/>
    <x v="4077"/>
    <x v="1"/>
    <x v="0"/>
  </r>
  <r>
    <x v="4165"/>
    <x v="60"/>
    <x v="0"/>
    <x v="0"/>
    <x v="8"/>
    <x v="0"/>
    <x v="7"/>
    <x v="4078"/>
    <x v="1"/>
    <x v="1"/>
  </r>
  <r>
    <x v="4166"/>
    <x v="71"/>
    <x v="0"/>
    <x v="0"/>
    <x v="8"/>
    <x v="1"/>
    <x v="7"/>
    <x v="4079"/>
    <x v="0"/>
    <x v="2"/>
  </r>
  <r>
    <x v="4167"/>
    <x v="13"/>
    <x v="0"/>
    <x v="4"/>
    <x v="0"/>
    <x v="1"/>
    <x v="0"/>
    <x v="4080"/>
    <x v="1"/>
    <x v="1"/>
  </r>
  <r>
    <x v="4168"/>
    <x v="4"/>
    <x v="1"/>
    <x v="4"/>
    <x v="9"/>
    <x v="1"/>
    <x v="10"/>
    <x v="4081"/>
    <x v="0"/>
    <x v="3"/>
  </r>
  <r>
    <x v="4169"/>
    <x v="85"/>
    <x v="1"/>
    <x v="6"/>
    <x v="0"/>
    <x v="1"/>
    <x v="2"/>
    <x v="4082"/>
    <x v="1"/>
    <x v="4"/>
  </r>
  <r>
    <x v="4170"/>
    <x v="81"/>
    <x v="1"/>
    <x v="6"/>
    <x v="4"/>
    <x v="1"/>
    <x v="1"/>
    <x v="4083"/>
    <x v="1"/>
    <x v="0"/>
  </r>
  <r>
    <x v="4171"/>
    <x v="75"/>
    <x v="0"/>
    <x v="8"/>
    <x v="6"/>
    <x v="1"/>
    <x v="3"/>
    <x v="4084"/>
    <x v="0"/>
    <x v="3"/>
  </r>
  <r>
    <x v="4172"/>
    <x v="1"/>
    <x v="1"/>
    <x v="3"/>
    <x v="9"/>
    <x v="0"/>
    <x v="10"/>
    <x v="4085"/>
    <x v="0"/>
    <x v="1"/>
  </r>
  <r>
    <x v="4173"/>
    <x v="22"/>
    <x v="0"/>
    <x v="3"/>
    <x v="2"/>
    <x v="0"/>
    <x v="5"/>
    <x v="4086"/>
    <x v="1"/>
    <x v="4"/>
  </r>
  <r>
    <x v="4174"/>
    <x v="49"/>
    <x v="1"/>
    <x v="0"/>
    <x v="5"/>
    <x v="1"/>
    <x v="7"/>
    <x v="4087"/>
    <x v="1"/>
    <x v="3"/>
  </r>
  <r>
    <x v="4175"/>
    <x v="89"/>
    <x v="1"/>
    <x v="9"/>
    <x v="6"/>
    <x v="1"/>
    <x v="2"/>
    <x v="4088"/>
    <x v="0"/>
    <x v="0"/>
  </r>
  <r>
    <x v="4176"/>
    <x v="33"/>
    <x v="1"/>
    <x v="8"/>
    <x v="5"/>
    <x v="2"/>
    <x v="10"/>
    <x v="4089"/>
    <x v="0"/>
    <x v="4"/>
  </r>
  <r>
    <x v="4177"/>
    <x v="1"/>
    <x v="1"/>
    <x v="4"/>
    <x v="1"/>
    <x v="1"/>
    <x v="14"/>
    <x v="4090"/>
    <x v="0"/>
    <x v="2"/>
  </r>
  <r>
    <x v="4178"/>
    <x v="59"/>
    <x v="0"/>
    <x v="0"/>
    <x v="6"/>
    <x v="0"/>
    <x v="6"/>
    <x v="4091"/>
    <x v="0"/>
    <x v="2"/>
  </r>
  <r>
    <x v="4179"/>
    <x v="3"/>
    <x v="0"/>
    <x v="6"/>
    <x v="6"/>
    <x v="0"/>
    <x v="5"/>
    <x v="4092"/>
    <x v="1"/>
    <x v="4"/>
  </r>
  <r>
    <x v="4180"/>
    <x v="43"/>
    <x v="0"/>
    <x v="4"/>
    <x v="9"/>
    <x v="1"/>
    <x v="9"/>
    <x v="4093"/>
    <x v="0"/>
    <x v="0"/>
  </r>
  <r>
    <x v="4181"/>
    <x v="18"/>
    <x v="0"/>
    <x v="0"/>
    <x v="8"/>
    <x v="0"/>
    <x v="11"/>
    <x v="4094"/>
    <x v="1"/>
    <x v="3"/>
  </r>
  <r>
    <x v="4182"/>
    <x v="40"/>
    <x v="1"/>
    <x v="8"/>
    <x v="5"/>
    <x v="0"/>
    <x v="7"/>
    <x v="4095"/>
    <x v="1"/>
    <x v="2"/>
  </r>
  <r>
    <x v="4183"/>
    <x v="24"/>
    <x v="0"/>
    <x v="9"/>
    <x v="2"/>
    <x v="0"/>
    <x v="10"/>
    <x v="4096"/>
    <x v="0"/>
    <x v="3"/>
  </r>
  <r>
    <x v="4184"/>
    <x v="39"/>
    <x v="1"/>
    <x v="4"/>
    <x v="3"/>
    <x v="1"/>
    <x v="8"/>
    <x v="4097"/>
    <x v="1"/>
    <x v="4"/>
  </r>
  <r>
    <x v="4185"/>
    <x v="29"/>
    <x v="1"/>
    <x v="7"/>
    <x v="7"/>
    <x v="0"/>
    <x v="13"/>
    <x v="4098"/>
    <x v="1"/>
    <x v="3"/>
  </r>
  <r>
    <x v="4186"/>
    <x v="29"/>
    <x v="1"/>
    <x v="4"/>
    <x v="2"/>
    <x v="1"/>
    <x v="14"/>
    <x v="4099"/>
    <x v="1"/>
    <x v="0"/>
  </r>
  <r>
    <x v="4187"/>
    <x v="72"/>
    <x v="0"/>
    <x v="3"/>
    <x v="7"/>
    <x v="2"/>
    <x v="7"/>
    <x v="4100"/>
    <x v="1"/>
    <x v="1"/>
  </r>
  <r>
    <x v="4188"/>
    <x v="17"/>
    <x v="1"/>
    <x v="4"/>
    <x v="2"/>
    <x v="2"/>
    <x v="10"/>
    <x v="4101"/>
    <x v="1"/>
    <x v="3"/>
  </r>
  <r>
    <x v="4189"/>
    <x v="25"/>
    <x v="0"/>
    <x v="9"/>
    <x v="3"/>
    <x v="0"/>
    <x v="10"/>
    <x v="4102"/>
    <x v="1"/>
    <x v="2"/>
  </r>
  <r>
    <x v="4190"/>
    <x v="44"/>
    <x v="1"/>
    <x v="1"/>
    <x v="8"/>
    <x v="2"/>
    <x v="12"/>
    <x v="4103"/>
    <x v="0"/>
    <x v="2"/>
  </r>
  <r>
    <x v="4191"/>
    <x v="74"/>
    <x v="0"/>
    <x v="0"/>
    <x v="2"/>
    <x v="2"/>
    <x v="4"/>
    <x v="4104"/>
    <x v="1"/>
    <x v="1"/>
  </r>
  <r>
    <x v="4192"/>
    <x v="44"/>
    <x v="0"/>
    <x v="7"/>
    <x v="7"/>
    <x v="1"/>
    <x v="2"/>
    <x v="4105"/>
    <x v="1"/>
    <x v="0"/>
  </r>
  <r>
    <x v="4193"/>
    <x v="12"/>
    <x v="1"/>
    <x v="5"/>
    <x v="9"/>
    <x v="0"/>
    <x v="14"/>
    <x v="4106"/>
    <x v="1"/>
    <x v="3"/>
  </r>
  <r>
    <x v="4194"/>
    <x v="5"/>
    <x v="1"/>
    <x v="1"/>
    <x v="5"/>
    <x v="1"/>
    <x v="2"/>
    <x v="4107"/>
    <x v="1"/>
    <x v="1"/>
  </r>
  <r>
    <x v="4195"/>
    <x v="45"/>
    <x v="1"/>
    <x v="7"/>
    <x v="1"/>
    <x v="1"/>
    <x v="10"/>
    <x v="4108"/>
    <x v="1"/>
    <x v="1"/>
  </r>
  <r>
    <x v="4196"/>
    <x v="66"/>
    <x v="0"/>
    <x v="7"/>
    <x v="9"/>
    <x v="1"/>
    <x v="13"/>
    <x v="4109"/>
    <x v="1"/>
    <x v="0"/>
  </r>
  <r>
    <x v="4197"/>
    <x v="68"/>
    <x v="0"/>
    <x v="0"/>
    <x v="6"/>
    <x v="0"/>
    <x v="6"/>
    <x v="4110"/>
    <x v="0"/>
    <x v="3"/>
  </r>
  <r>
    <x v="4198"/>
    <x v="87"/>
    <x v="0"/>
    <x v="8"/>
    <x v="7"/>
    <x v="0"/>
    <x v="1"/>
    <x v="4111"/>
    <x v="0"/>
    <x v="4"/>
  </r>
  <r>
    <x v="4199"/>
    <x v="34"/>
    <x v="1"/>
    <x v="8"/>
    <x v="8"/>
    <x v="2"/>
    <x v="8"/>
    <x v="4112"/>
    <x v="0"/>
    <x v="3"/>
  </r>
  <r>
    <x v="4200"/>
    <x v="89"/>
    <x v="0"/>
    <x v="5"/>
    <x v="7"/>
    <x v="2"/>
    <x v="6"/>
    <x v="4113"/>
    <x v="0"/>
    <x v="4"/>
  </r>
  <r>
    <x v="4201"/>
    <x v="65"/>
    <x v="0"/>
    <x v="0"/>
    <x v="9"/>
    <x v="1"/>
    <x v="6"/>
    <x v="4114"/>
    <x v="1"/>
    <x v="2"/>
  </r>
  <r>
    <x v="4202"/>
    <x v="0"/>
    <x v="0"/>
    <x v="0"/>
    <x v="2"/>
    <x v="2"/>
    <x v="6"/>
    <x v="4115"/>
    <x v="1"/>
    <x v="3"/>
  </r>
  <r>
    <x v="4203"/>
    <x v="23"/>
    <x v="0"/>
    <x v="2"/>
    <x v="7"/>
    <x v="2"/>
    <x v="14"/>
    <x v="4116"/>
    <x v="1"/>
    <x v="3"/>
  </r>
  <r>
    <x v="4204"/>
    <x v="80"/>
    <x v="0"/>
    <x v="7"/>
    <x v="8"/>
    <x v="1"/>
    <x v="3"/>
    <x v="4117"/>
    <x v="1"/>
    <x v="1"/>
  </r>
  <r>
    <x v="4205"/>
    <x v="22"/>
    <x v="1"/>
    <x v="2"/>
    <x v="3"/>
    <x v="0"/>
    <x v="1"/>
    <x v="4118"/>
    <x v="1"/>
    <x v="1"/>
  </r>
  <r>
    <x v="4206"/>
    <x v="59"/>
    <x v="0"/>
    <x v="8"/>
    <x v="6"/>
    <x v="1"/>
    <x v="2"/>
    <x v="4119"/>
    <x v="0"/>
    <x v="1"/>
  </r>
  <r>
    <x v="4207"/>
    <x v="21"/>
    <x v="0"/>
    <x v="7"/>
    <x v="4"/>
    <x v="2"/>
    <x v="6"/>
    <x v="4120"/>
    <x v="0"/>
    <x v="4"/>
  </r>
  <r>
    <x v="4208"/>
    <x v="6"/>
    <x v="1"/>
    <x v="4"/>
    <x v="4"/>
    <x v="1"/>
    <x v="9"/>
    <x v="4121"/>
    <x v="0"/>
    <x v="0"/>
  </r>
  <r>
    <x v="4209"/>
    <x v="20"/>
    <x v="1"/>
    <x v="2"/>
    <x v="1"/>
    <x v="0"/>
    <x v="9"/>
    <x v="4122"/>
    <x v="0"/>
    <x v="4"/>
  </r>
  <r>
    <x v="4210"/>
    <x v="2"/>
    <x v="0"/>
    <x v="1"/>
    <x v="3"/>
    <x v="1"/>
    <x v="12"/>
    <x v="4123"/>
    <x v="1"/>
    <x v="0"/>
  </r>
  <r>
    <x v="4211"/>
    <x v="63"/>
    <x v="1"/>
    <x v="2"/>
    <x v="6"/>
    <x v="2"/>
    <x v="10"/>
    <x v="4124"/>
    <x v="0"/>
    <x v="3"/>
  </r>
  <r>
    <x v="4212"/>
    <x v="84"/>
    <x v="0"/>
    <x v="7"/>
    <x v="6"/>
    <x v="1"/>
    <x v="3"/>
    <x v="4125"/>
    <x v="0"/>
    <x v="4"/>
  </r>
  <r>
    <x v="4213"/>
    <x v="36"/>
    <x v="0"/>
    <x v="2"/>
    <x v="7"/>
    <x v="1"/>
    <x v="12"/>
    <x v="3654"/>
    <x v="0"/>
    <x v="4"/>
  </r>
  <r>
    <x v="4214"/>
    <x v="79"/>
    <x v="1"/>
    <x v="6"/>
    <x v="6"/>
    <x v="2"/>
    <x v="6"/>
    <x v="4126"/>
    <x v="0"/>
    <x v="4"/>
  </r>
  <r>
    <x v="4215"/>
    <x v="65"/>
    <x v="1"/>
    <x v="6"/>
    <x v="1"/>
    <x v="2"/>
    <x v="2"/>
    <x v="4127"/>
    <x v="1"/>
    <x v="3"/>
  </r>
  <r>
    <x v="4216"/>
    <x v="63"/>
    <x v="1"/>
    <x v="8"/>
    <x v="2"/>
    <x v="2"/>
    <x v="5"/>
    <x v="4128"/>
    <x v="1"/>
    <x v="4"/>
  </r>
  <r>
    <x v="4217"/>
    <x v="13"/>
    <x v="0"/>
    <x v="2"/>
    <x v="7"/>
    <x v="0"/>
    <x v="8"/>
    <x v="4129"/>
    <x v="1"/>
    <x v="3"/>
  </r>
  <r>
    <x v="4218"/>
    <x v="58"/>
    <x v="1"/>
    <x v="8"/>
    <x v="7"/>
    <x v="1"/>
    <x v="13"/>
    <x v="4130"/>
    <x v="1"/>
    <x v="0"/>
  </r>
  <r>
    <x v="4219"/>
    <x v="20"/>
    <x v="0"/>
    <x v="2"/>
    <x v="2"/>
    <x v="0"/>
    <x v="6"/>
    <x v="4131"/>
    <x v="0"/>
    <x v="4"/>
  </r>
  <r>
    <x v="4220"/>
    <x v="68"/>
    <x v="1"/>
    <x v="3"/>
    <x v="2"/>
    <x v="2"/>
    <x v="4"/>
    <x v="4132"/>
    <x v="0"/>
    <x v="0"/>
  </r>
  <r>
    <x v="4221"/>
    <x v="40"/>
    <x v="1"/>
    <x v="1"/>
    <x v="7"/>
    <x v="2"/>
    <x v="2"/>
    <x v="4133"/>
    <x v="0"/>
    <x v="4"/>
  </r>
  <r>
    <x v="4222"/>
    <x v="62"/>
    <x v="0"/>
    <x v="8"/>
    <x v="0"/>
    <x v="2"/>
    <x v="14"/>
    <x v="4134"/>
    <x v="0"/>
    <x v="4"/>
  </r>
  <r>
    <x v="4223"/>
    <x v="84"/>
    <x v="0"/>
    <x v="9"/>
    <x v="2"/>
    <x v="2"/>
    <x v="5"/>
    <x v="4135"/>
    <x v="1"/>
    <x v="2"/>
  </r>
  <r>
    <x v="4224"/>
    <x v="55"/>
    <x v="1"/>
    <x v="9"/>
    <x v="3"/>
    <x v="2"/>
    <x v="10"/>
    <x v="4136"/>
    <x v="0"/>
    <x v="0"/>
  </r>
  <r>
    <x v="4225"/>
    <x v="58"/>
    <x v="0"/>
    <x v="1"/>
    <x v="0"/>
    <x v="2"/>
    <x v="10"/>
    <x v="4137"/>
    <x v="1"/>
    <x v="1"/>
  </r>
  <r>
    <x v="4226"/>
    <x v="88"/>
    <x v="1"/>
    <x v="5"/>
    <x v="1"/>
    <x v="1"/>
    <x v="5"/>
    <x v="4138"/>
    <x v="1"/>
    <x v="3"/>
  </r>
  <r>
    <x v="4227"/>
    <x v="28"/>
    <x v="1"/>
    <x v="9"/>
    <x v="5"/>
    <x v="2"/>
    <x v="11"/>
    <x v="4139"/>
    <x v="1"/>
    <x v="0"/>
  </r>
  <r>
    <x v="4228"/>
    <x v="7"/>
    <x v="1"/>
    <x v="9"/>
    <x v="2"/>
    <x v="0"/>
    <x v="8"/>
    <x v="4140"/>
    <x v="0"/>
    <x v="2"/>
  </r>
  <r>
    <x v="4229"/>
    <x v="2"/>
    <x v="1"/>
    <x v="9"/>
    <x v="8"/>
    <x v="0"/>
    <x v="12"/>
    <x v="4141"/>
    <x v="0"/>
    <x v="0"/>
  </r>
  <r>
    <x v="4230"/>
    <x v="26"/>
    <x v="1"/>
    <x v="3"/>
    <x v="2"/>
    <x v="2"/>
    <x v="14"/>
    <x v="4142"/>
    <x v="0"/>
    <x v="2"/>
  </r>
  <r>
    <x v="4231"/>
    <x v="16"/>
    <x v="1"/>
    <x v="7"/>
    <x v="1"/>
    <x v="1"/>
    <x v="0"/>
    <x v="4143"/>
    <x v="1"/>
    <x v="1"/>
  </r>
  <r>
    <x v="4232"/>
    <x v="81"/>
    <x v="1"/>
    <x v="7"/>
    <x v="1"/>
    <x v="0"/>
    <x v="11"/>
    <x v="4144"/>
    <x v="0"/>
    <x v="0"/>
  </r>
  <r>
    <x v="4233"/>
    <x v="28"/>
    <x v="0"/>
    <x v="4"/>
    <x v="6"/>
    <x v="0"/>
    <x v="11"/>
    <x v="4145"/>
    <x v="1"/>
    <x v="1"/>
  </r>
  <r>
    <x v="4234"/>
    <x v="54"/>
    <x v="0"/>
    <x v="2"/>
    <x v="8"/>
    <x v="1"/>
    <x v="5"/>
    <x v="4146"/>
    <x v="0"/>
    <x v="2"/>
  </r>
  <r>
    <x v="4235"/>
    <x v="24"/>
    <x v="0"/>
    <x v="0"/>
    <x v="4"/>
    <x v="0"/>
    <x v="1"/>
    <x v="787"/>
    <x v="0"/>
    <x v="1"/>
  </r>
  <r>
    <x v="4236"/>
    <x v="39"/>
    <x v="0"/>
    <x v="5"/>
    <x v="6"/>
    <x v="2"/>
    <x v="11"/>
    <x v="4147"/>
    <x v="0"/>
    <x v="2"/>
  </r>
  <r>
    <x v="4237"/>
    <x v="4"/>
    <x v="0"/>
    <x v="3"/>
    <x v="0"/>
    <x v="0"/>
    <x v="10"/>
    <x v="4148"/>
    <x v="1"/>
    <x v="1"/>
  </r>
  <r>
    <x v="4238"/>
    <x v="1"/>
    <x v="0"/>
    <x v="8"/>
    <x v="8"/>
    <x v="0"/>
    <x v="7"/>
    <x v="4149"/>
    <x v="0"/>
    <x v="0"/>
  </r>
  <r>
    <x v="4239"/>
    <x v="88"/>
    <x v="1"/>
    <x v="7"/>
    <x v="1"/>
    <x v="0"/>
    <x v="7"/>
    <x v="4150"/>
    <x v="1"/>
    <x v="2"/>
  </r>
  <r>
    <x v="4240"/>
    <x v="42"/>
    <x v="0"/>
    <x v="1"/>
    <x v="5"/>
    <x v="0"/>
    <x v="10"/>
    <x v="4151"/>
    <x v="1"/>
    <x v="1"/>
  </r>
  <r>
    <x v="4241"/>
    <x v="14"/>
    <x v="1"/>
    <x v="0"/>
    <x v="5"/>
    <x v="0"/>
    <x v="6"/>
    <x v="4152"/>
    <x v="1"/>
    <x v="1"/>
  </r>
  <r>
    <x v="4242"/>
    <x v="59"/>
    <x v="0"/>
    <x v="1"/>
    <x v="1"/>
    <x v="0"/>
    <x v="14"/>
    <x v="4153"/>
    <x v="1"/>
    <x v="1"/>
  </r>
  <r>
    <x v="4243"/>
    <x v="83"/>
    <x v="1"/>
    <x v="8"/>
    <x v="8"/>
    <x v="0"/>
    <x v="14"/>
    <x v="4154"/>
    <x v="0"/>
    <x v="2"/>
  </r>
  <r>
    <x v="4244"/>
    <x v="32"/>
    <x v="1"/>
    <x v="7"/>
    <x v="6"/>
    <x v="0"/>
    <x v="14"/>
    <x v="4155"/>
    <x v="0"/>
    <x v="0"/>
  </r>
  <r>
    <x v="4245"/>
    <x v="5"/>
    <x v="0"/>
    <x v="8"/>
    <x v="8"/>
    <x v="1"/>
    <x v="10"/>
    <x v="4156"/>
    <x v="1"/>
    <x v="0"/>
  </r>
  <r>
    <x v="4246"/>
    <x v="56"/>
    <x v="0"/>
    <x v="8"/>
    <x v="7"/>
    <x v="0"/>
    <x v="5"/>
    <x v="4157"/>
    <x v="0"/>
    <x v="2"/>
  </r>
  <r>
    <x v="4247"/>
    <x v="44"/>
    <x v="0"/>
    <x v="7"/>
    <x v="8"/>
    <x v="2"/>
    <x v="3"/>
    <x v="4158"/>
    <x v="0"/>
    <x v="4"/>
  </r>
  <r>
    <x v="4248"/>
    <x v="25"/>
    <x v="0"/>
    <x v="4"/>
    <x v="7"/>
    <x v="0"/>
    <x v="6"/>
    <x v="4159"/>
    <x v="0"/>
    <x v="1"/>
  </r>
  <r>
    <x v="4249"/>
    <x v="83"/>
    <x v="0"/>
    <x v="8"/>
    <x v="6"/>
    <x v="1"/>
    <x v="5"/>
    <x v="4160"/>
    <x v="0"/>
    <x v="0"/>
  </r>
  <r>
    <x v="4250"/>
    <x v="0"/>
    <x v="0"/>
    <x v="0"/>
    <x v="6"/>
    <x v="0"/>
    <x v="3"/>
    <x v="4161"/>
    <x v="1"/>
    <x v="4"/>
  </r>
  <r>
    <x v="4251"/>
    <x v="65"/>
    <x v="1"/>
    <x v="5"/>
    <x v="3"/>
    <x v="0"/>
    <x v="14"/>
    <x v="4162"/>
    <x v="0"/>
    <x v="2"/>
  </r>
  <r>
    <x v="4252"/>
    <x v="83"/>
    <x v="0"/>
    <x v="3"/>
    <x v="9"/>
    <x v="1"/>
    <x v="3"/>
    <x v="4163"/>
    <x v="0"/>
    <x v="4"/>
  </r>
  <r>
    <x v="4253"/>
    <x v="44"/>
    <x v="1"/>
    <x v="2"/>
    <x v="9"/>
    <x v="0"/>
    <x v="0"/>
    <x v="4164"/>
    <x v="0"/>
    <x v="4"/>
  </r>
  <r>
    <x v="4254"/>
    <x v="9"/>
    <x v="1"/>
    <x v="9"/>
    <x v="5"/>
    <x v="2"/>
    <x v="6"/>
    <x v="4165"/>
    <x v="1"/>
    <x v="1"/>
  </r>
  <r>
    <x v="4255"/>
    <x v="67"/>
    <x v="1"/>
    <x v="8"/>
    <x v="4"/>
    <x v="1"/>
    <x v="6"/>
    <x v="4166"/>
    <x v="0"/>
    <x v="1"/>
  </r>
  <r>
    <x v="4256"/>
    <x v="23"/>
    <x v="0"/>
    <x v="7"/>
    <x v="8"/>
    <x v="0"/>
    <x v="5"/>
    <x v="4167"/>
    <x v="1"/>
    <x v="4"/>
  </r>
  <r>
    <x v="4257"/>
    <x v="75"/>
    <x v="1"/>
    <x v="4"/>
    <x v="2"/>
    <x v="2"/>
    <x v="5"/>
    <x v="4168"/>
    <x v="1"/>
    <x v="0"/>
  </r>
  <r>
    <x v="4258"/>
    <x v="79"/>
    <x v="0"/>
    <x v="4"/>
    <x v="9"/>
    <x v="0"/>
    <x v="2"/>
    <x v="4169"/>
    <x v="1"/>
    <x v="4"/>
  </r>
  <r>
    <x v="4259"/>
    <x v="30"/>
    <x v="0"/>
    <x v="2"/>
    <x v="8"/>
    <x v="0"/>
    <x v="14"/>
    <x v="4170"/>
    <x v="1"/>
    <x v="4"/>
  </r>
  <r>
    <x v="4260"/>
    <x v="22"/>
    <x v="1"/>
    <x v="5"/>
    <x v="1"/>
    <x v="2"/>
    <x v="1"/>
    <x v="3275"/>
    <x v="1"/>
    <x v="1"/>
  </r>
  <r>
    <x v="4261"/>
    <x v="44"/>
    <x v="1"/>
    <x v="8"/>
    <x v="9"/>
    <x v="2"/>
    <x v="10"/>
    <x v="4171"/>
    <x v="0"/>
    <x v="1"/>
  </r>
  <r>
    <x v="4262"/>
    <x v="79"/>
    <x v="0"/>
    <x v="4"/>
    <x v="4"/>
    <x v="1"/>
    <x v="2"/>
    <x v="4172"/>
    <x v="0"/>
    <x v="1"/>
  </r>
  <r>
    <x v="4263"/>
    <x v="79"/>
    <x v="1"/>
    <x v="5"/>
    <x v="5"/>
    <x v="2"/>
    <x v="8"/>
    <x v="4173"/>
    <x v="0"/>
    <x v="0"/>
  </r>
  <r>
    <x v="4264"/>
    <x v="1"/>
    <x v="0"/>
    <x v="9"/>
    <x v="6"/>
    <x v="0"/>
    <x v="13"/>
    <x v="4174"/>
    <x v="0"/>
    <x v="1"/>
  </r>
  <r>
    <x v="4265"/>
    <x v="49"/>
    <x v="0"/>
    <x v="2"/>
    <x v="3"/>
    <x v="1"/>
    <x v="6"/>
    <x v="4175"/>
    <x v="1"/>
    <x v="4"/>
  </r>
  <r>
    <x v="4266"/>
    <x v="86"/>
    <x v="0"/>
    <x v="8"/>
    <x v="9"/>
    <x v="1"/>
    <x v="1"/>
    <x v="4176"/>
    <x v="0"/>
    <x v="1"/>
  </r>
  <r>
    <x v="4267"/>
    <x v="78"/>
    <x v="0"/>
    <x v="8"/>
    <x v="3"/>
    <x v="0"/>
    <x v="1"/>
    <x v="4177"/>
    <x v="0"/>
    <x v="2"/>
  </r>
  <r>
    <x v="4268"/>
    <x v="24"/>
    <x v="1"/>
    <x v="2"/>
    <x v="4"/>
    <x v="0"/>
    <x v="6"/>
    <x v="4178"/>
    <x v="1"/>
    <x v="0"/>
  </r>
  <r>
    <x v="4269"/>
    <x v="4"/>
    <x v="0"/>
    <x v="6"/>
    <x v="8"/>
    <x v="0"/>
    <x v="7"/>
    <x v="4179"/>
    <x v="1"/>
    <x v="4"/>
  </r>
  <r>
    <x v="4270"/>
    <x v="58"/>
    <x v="0"/>
    <x v="5"/>
    <x v="0"/>
    <x v="0"/>
    <x v="5"/>
    <x v="4180"/>
    <x v="1"/>
    <x v="1"/>
  </r>
  <r>
    <x v="4271"/>
    <x v="70"/>
    <x v="0"/>
    <x v="2"/>
    <x v="2"/>
    <x v="1"/>
    <x v="12"/>
    <x v="4181"/>
    <x v="0"/>
    <x v="3"/>
  </r>
  <r>
    <x v="4272"/>
    <x v="67"/>
    <x v="1"/>
    <x v="3"/>
    <x v="2"/>
    <x v="0"/>
    <x v="4"/>
    <x v="4182"/>
    <x v="0"/>
    <x v="0"/>
  </r>
  <r>
    <x v="4273"/>
    <x v="80"/>
    <x v="1"/>
    <x v="3"/>
    <x v="9"/>
    <x v="1"/>
    <x v="14"/>
    <x v="4183"/>
    <x v="0"/>
    <x v="0"/>
  </r>
  <r>
    <x v="4274"/>
    <x v="73"/>
    <x v="0"/>
    <x v="0"/>
    <x v="2"/>
    <x v="2"/>
    <x v="6"/>
    <x v="4184"/>
    <x v="1"/>
    <x v="1"/>
  </r>
  <r>
    <x v="4275"/>
    <x v="43"/>
    <x v="1"/>
    <x v="6"/>
    <x v="6"/>
    <x v="1"/>
    <x v="7"/>
    <x v="4185"/>
    <x v="0"/>
    <x v="2"/>
  </r>
  <r>
    <x v="4276"/>
    <x v="12"/>
    <x v="0"/>
    <x v="6"/>
    <x v="3"/>
    <x v="0"/>
    <x v="4"/>
    <x v="4186"/>
    <x v="1"/>
    <x v="3"/>
  </r>
  <r>
    <x v="4277"/>
    <x v="51"/>
    <x v="0"/>
    <x v="5"/>
    <x v="5"/>
    <x v="2"/>
    <x v="9"/>
    <x v="4187"/>
    <x v="1"/>
    <x v="0"/>
  </r>
  <r>
    <x v="4278"/>
    <x v="36"/>
    <x v="1"/>
    <x v="1"/>
    <x v="8"/>
    <x v="0"/>
    <x v="8"/>
    <x v="4188"/>
    <x v="0"/>
    <x v="3"/>
  </r>
  <r>
    <x v="4279"/>
    <x v="11"/>
    <x v="0"/>
    <x v="0"/>
    <x v="2"/>
    <x v="0"/>
    <x v="5"/>
    <x v="4189"/>
    <x v="0"/>
    <x v="2"/>
  </r>
  <r>
    <x v="4280"/>
    <x v="3"/>
    <x v="1"/>
    <x v="7"/>
    <x v="4"/>
    <x v="2"/>
    <x v="2"/>
    <x v="4190"/>
    <x v="1"/>
    <x v="3"/>
  </r>
  <r>
    <x v="4281"/>
    <x v="83"/>
    <x v="0"/>
    <x v="9"/>
    <x v="0"/>
    <x v="0"/>
    <x v="13"/>
    <x v="4191"/>
    <x v="0"/>
    <x v="4"/>
  </r>
  <r>
    <x v="4282"/>
    <x v="43"/>
    <x v="0"/>
    <x v="2"/>
    <x v="4"/>
    <x v="1"/>
    <x v="12"/>
    <x v="4192"/>
    <x v="1"/>
    <x v="2"/>
  </r>
  <r>
    <x v="4283"/>
    <x v="26"/>
    <x v="0"/>
    <x v="1"/>
    <x v="8"/>
    <x v="2"/>
    <x v="6"/>
    <x v="4193"/>
    <x v="1"/>
    <x v="1"/>
  </r>
  <r>
    <x v="4284"/>
    <x v="8"/>
    <x v="0"/>
    <x v="7"/>
    <x v="4"/>
    <x v="1"/>
    <x v="6"/>
    <x v="4194"/>
    <x v="1"/>
    <x v="0"/>
  </r>
  <r>
    <x v="4285"/>
    <x v="83"/>
    <x v="1"/>
    <x v="2"/>
    <x v="9"/>
    <x v="2"/>
    <x v="5"/>
    <x v="4195"/>
    <x v="0"/>
    <x v="0"/>
  </r>
  <r>
    <x v="4286"/>
    <x v="7"/>
    <x v="1"/>
    <x v="1"/>
    <x v="9"/>
    <x v="0"/>
    <x v="13"/>
    <x v="4196"/>
    <x v="0"/>
    <x v="1"/>
  </r>
  <r>
    <x v="4287"/>
    <x v="30"/>
    <x v="1"/>
    <x v="0"/>
    <x v="7"/>
    <x v="0"/>
    <x v="2"/>
    <x v="4197"/>
    <x v="0"/>
    <x v="1"/>
  </r>
  <r>
    <x v="4288"/>
    <x v="37"/>
    <x v="1"/>
    <x v="9"/>
    <x v="7"/>
    <x v="0"/>
    <x v="0"/>
    <x v="4198"/>
    <x v="1"/>
    <x v="1"/>
  </r>
  <r>
    <x v="4289"/>
    <x v="37"/>
    <x v="1"/>
    <x v="7"/>
    <x v="3"/>
    <x v="1"/>
    <x v="14"/>
    <x v="4199"/>
    <x v="0"/>
    <x v="2"/>
  </r>
  <r>
    <x v="4290"/>
    <x v="16"/>
    <x v="1"/>
    <x v="0"/>
    <x v="8"/>
    <x v="0"/>
    <x v="0"/>
    <x v="4200"/>
    <x v="1"/>
    <x v="0"/>
  </r>
  <r>
    <x v="4291"/>
    <x v="60"/>
    <x v="0"/>
    <x v="7"/>
    <x v="6"/>
    <x v="1"/>
    <x v="11"/>
    <x v="4201"/>
    <x v="1"/>
    <x v="4"/>
  </r>
  <r>
    <x v="4292"/>
    <x v="54"/>
    <x v="1"/>
    <x v="9"/>
    <x v="9"/>
    <x v="2"/>
    <x v="5"/>
    <x v="4202"/>
    <x v="0"/>
    <x v="0"/>
  </r>
  <r>
    <x v="4293"/>
    <x v="37"/>
    <x v="0"/>
    <x v="3"/>
    <x v="5"/>
    <x v="2"/>
    <x v="2"/>
    <x v="4203"/>
    <x v="0"/>
    <x v="3"/>
  </r>
  <r>
    <x v="4294"/>
    <x v="55"/>
    <x v="0"/>
    <x v="4"/>
    <x v="6"/>
    <x v="2"/>
    <x v="13"/>
    <x v="4204"/>
    <x v="0"/>
    <x v="1"/>
  </r>
  <r>
    <x v="4295"/>
    <x v="82"/>
    <x v="0"/>
    <x v="4"/>
    <x v="0"/>
    <x v="2"/>
    <x v="12"/>
    <x v="4205"/>
    <x v="1"/>
    <x v="1"/>
  </r>
  <r>
    <x v="4296"/>
    <x v="57"/>
    <x v="1"/>
    <x v="0"/>
    <x v="7"/>
    <x v="2"/>
    <x v="12"/>
    <x v="4206"/>
    <x v="0"/>
    <x v="0"/>
  </r>
  <r>
    <x v="4297"/>
    <x v="62"/>
    <x v="0"/>
    <x v="9"/>
    <x v="8"/>
    <x v="2"/>
    <x v="2"/>
    <x v="4207"/>
    <x v="0"/>
    <x v="3"/>
  </r>
  <r>
    <x v="4298"/>
    <x v="72"/>
    <x v="0"/>
    <x v="0"/>
    <x v="9"/>
    <x v="1"/>
    <x v="12"/>
    <x v="4208"/>
    <x v="1"/>
    <x v="2"/>
  </r>
  <r>
    <x v="4299"/>
    <x v="53"/>
    <x v="0"/>
    <x v="7"/>
    <x v="5"/>
    <x v="2"/>
    <x v="8"/>
    <x v="4209"/>
    <x v="1"/>
    <x v="3"/>
  </r>
  <r>
    <x v="4300"/>
    <x v="55"/>
    <x v="0"/>
    <x v="9"/>
    <x v="6"/>
    <x v="0"/>
    <x v="13"/>
    <x v="4210"/>
    <x v="0"/>
    <x v="2"/>
  </r>
  <r>
    <x v="4301"/>
    <x v="45"/>
    <x v="1"/>
    <x v="4"/>
    <x v="8"/>
    <x v="1"/>
    <x v="5"/>
    <x v="1410"/>
    <x v="1"/>
    <x v="2"/>
  </r>
  <r>
    <x v="4302"/>
    <x v="41"/>
    <x v="0"/>
    <x v="9"/>
    <x v="0"/>
    <x v="2"/>
    <x v="7"/>
    <x v="4211"/>
    <x v="1"/>
    <x v="0"/>
  </r>
  <r>
    <x v="4303"/>
    <x v="68"/>
    <x v="0"/>
    <x v="7"/>
    <x v="1"/>
    <x v="1"/>
    <x v="8"/>
    <x v="4212"/>
    <x v="0"/>
    <x v="4"/>
  </r>
  <r>
    <x v="4304"/>
    <x v="53"/>
    <x v="1"/>
    <x v="4"/>
    <x v="1"/>
    <x v="0"/>
    <x v="2"/>
    <x v="4213"/>
    <x v="0"/>
    <x v="3"/>
  </r>
  <r>
    <x v="4305"/>
    <x v="63"/>
    <x v="1"/>
    <x v="9"/>
    <x v="1"/>
    <x v="1"/>
    <x v="1"/>
    <x v="4214"/>
    <x v="1"/>
    <x v="3"/>
  </r>
  <r>
    <x v="4306"/>
    <x v="60"/>
    <x v="1"/>
    <x v="4"/>
    <x v="3"/>
    <x v="1"/>
    <x v="0"/>
    <x v="4215"/>
    <x v="0"/>
    <x v="0"/>
  </r>
  <r>
    <x v="4307"/>
    <x v="19"/>
    <x v="1"/>
    <x v="0"/>
    <x v="7"/>
    <x v="2"/>
    <x v="11"/>
    <x v="4216"/>
    <x v="0"/>
    <x v="4"/>
  </r>
  <r>
    <x v="4308"/>
    <x v="75"/>
    <x v="1"/>
    <x v="5"/>
    <x v="5"/>
    <x v="2"/>
    <x v="12"/>
    <x v="4217"/>
    <x v="1"/>
    <x v="3"/>
  </r>
  <r>
    <x v="4309"/>
    <x v="75"/>
    <x v="1"/>
    <x v="0"/>
    <x v="3"/>
    <x v="2"/>
    <x v="7"/>
    <x v="4218"/>
    <x v="1"/>
    <x v="2"/>
  </r>
  <r>
    <x v="4310"/>
    <x v="5"/>
    <x v="1"/>
    <x v="9"/>
    <x v="9"/>
    <x v="2"/>
    <x v="12"/>
    <x v="4219"/>
    <x v="1"/>
    <x v="3"/>
  </r>
  <r>
    <x v="4311"/>
    <x v="26"/>
    <x v="1"/>
    <x v="2"/>
    <x v="9"/>
    <x v="2"/>
    <x v="11"/>
    <x v="4220"/>
    <x v="0"/>
    <x v="3"/>
  </r>
  <r>
    <x v="4312"/>
    <x v="80"/>
    <x v="0"/>
    <x v="6"/>
    <x v="8"/>
    <x v="1"/>
    <x v="8"/>
    <x v="4221"/>
    <x v="1"/>
    <x v="2"/>
  </r>
  <r>
    <x v="4313"/>
    <x v="37"/>
    <x v="0"/>
    <x v="2"/>
    <x v="0"/>
    <x v="1"/>
    <x v="1"/>
    <x v="4222"/>
    <x v="0"/>
    <x v="2"/>
  </r>
  <r>
    <x v="4314"/>
    <x v="28"/>
    <x v="1"/>
    <x v="6"/>
    <x v="5"/>
    <x v="0"/>
    <x v="9"/>
    <x v="4223"/>
    <x v="0"/>
    <x v="0"/>
  </r>
  <r>
    <x v="4315"/>
    <x v="23"/>
    <x v="0"/>
    <x v="8"/>
    <x v="7"/>
    <x v="2"/>
    <x v="9"/>
    <x v="4224"/>
    <x v="0"/>
    <x v="1"/>
  </r>
  <r>
    <x v="4316"/>
    <x v="57"/>
    <x v="0"/>
    <x v="5"/>
    <x v="2"/>
    <x v="1"/>
    <x v="5"/>
    <x v="4225"/>
    <x v="0"/>
    <x v="2"/>
  </r>
  <r>
    <x v="4317"/>
    <x v="35"/>
    <x v="0"/>
    <x v="5"/>
    <x v="5"/>
    <x v="1"/>
    <x v="0"/>
    <x v="4226"/>
    <x v="0"/>
    <x v="3"/>
  </r>
  <r>
    <x v="4318"/>
    <x v="77"/>
    <x v="1"/>
    <x v="0"/>
    <x v="0"/>
    <x v="0"/>
    <x v="14"/>
    <x v="4227"/>
    <x v="0"/>
    <x v="1"/>
  </r>
  <r>
    <x v="4319"/>
    <x v="2"/>
    <x v="0"/>
    <x v="1"/>
    <x v="7"/>
    <x v="1"/>
    <x v="4"/>
    <x v="4228"/>
    <x v="0"/>
    <x v="4"/>
  </r>
  <r>
    <x v="4320"/>
    <x v="0"/>
    <x v="0"/>
    <x v="9"/>
    <x v="5"/>
    <x v="1"/>
    <x v="10"/>
    <x v="4229"/>
    <x v="1"/>
    <x v="3"/>
  </r>
  <r>
    <x v="4321"/>
    <x v="67"/>
    <x v="1"/>
    <x v="0"/>
    <x v="3"/>
    <x v="2"/>
    <x v="5"/>
    <x v="4230"/>
    <x v="0"/>
    <x v="1"/>
  </r>
  <r>
    <x v="4322"/>
    <x v="60"/>
    <x v="1"/>
    <x v="8"/>
    <x v="5"/>
    <x v="0"/>
    <x v="11"/>
    <x v="4231"/>
    <x v="1"/>
    <x v="3"/>
  </r>
  <r>
    <x v="4323"/>
    <x v="55"/>
    <x v="0"/>
    <x v="7"/>
    <x v="6"/>
    <x v="0"/>
    <x v="5"/>
    <x v="4232"/>
    <x v="0"/>
    <x v="0"/>
  </r>
  <r>
    <x v="4324"/>
    <x v="65"/>
    <x v="0"/>
    <x v="7"/>
    <x v="7"/>
    <x v="1"/>
    <x v="3"/>
    <x v="4233"/>
    <x v="0"/>
    <x v="4"/>
  </r>
  <r>
    <x v="4325"/>
    <x v="16"/>
    <x v="0"/>
    <x v="3"/>
    <x v="6"/>
    <x v="0"/>
    <x v="14"/>
    <x v="4234"/>
    <x v="1"/>
    <x v="4"/>
  </r>
  <r>
    <x v="4326"/>
    <x v="25"/>
    <x v="0"/>
    <x v="7"/>
    <x v="0"/>
    <x v="1"/>
    <x v="11"/>
    <x v="4235"/>
    <x v="0"/>
    <x v="0"/>
  </r>
  <r>
    <x v="4327"/>
    <x v="74"/>
    <x v="1"/>
    <x v="2"/>
    <x v="3"/>
    <x v="1"/>
    <x v="6"/>
    <x v="4236"/>
    <x v="1"/>
    <x v="1"/>
  </r>
  <r>
    <x v="4328"/>
    <x v="36"/>
    <x v="1"/>
    <x v="2"/>
    <x v="2"/>
    <x v="1"/>
    <x v="13"/>
    <x v="4237"/>
    <x v="1"/>
    <x v="3"/>
  </r>
  <r>
    <x v="4329"/>
    <x v="7"/>
    <x v="0"/>
    <x v="8"/>
    <x v="2"/>
    <x v="1"/>
    <x v="7"/>
    <x v="1"/>
    <x v="0"/>
    <x v="1"/>
  </r>
  <r>
    <x v="4330"/>
    <x v="85"/>
    <x v="1"/>
    <x v="9"/>
    <x v="7"/>
    <x v="1"/>
    <x v="11"/>
    <x v="4238"/>
    <x v="0"/>
    <x v="1"/>
  </r>
  <r>
    <x v="4331"/>
    <x v="38"/>
    <x v="1"/>
    <x v="6"/>
    <x v="4"/>
    <x v="2"/>
    <x v="4"/>
    <x v="4239"/>
    <x v="1"/>
    <x v="3"/>
  </r>
  <r>
    <x v="4332"/>
    <x v="50"/>
    <x v="0"/>
    <x v="2"/>
    <x v="5"/>
    <x v="0"/>
    <x v="13"/>
    <x v="4240"/>
    <x v="0"/>
    <x v="2"/>
  </r>
  <r>
    <x v="4333"/>
    <x v="43"/>
    <x v="0"/>
    <x v="8"/>
    <x v="5"/>
    <x v="1"/>
    <x v="2"/>
    <x v="4241"/>
    <x v="1"/>
    <x v="2"/>
  </r>
  <r>
    <x v="4334"/>
    <x v="59"/>
    <x v="0"/>
    <x v="9"/>
    <x v="8"/>
    <x v="0"/>
    <x v="5"/>
    <x v="4242"/>
    <x v="0"/>
    <x v="3"/>
  </r>
  <r>
    <x v="4335"/>
    <x v="80"/>
    <x v="0"/>
    <x v="8"/>
    <x v="4"/>
    <x v="2"/>
    <x v="3"/>
    <x v="4243"/>
    <x v="0"/>
    <x v="4"/>
  </r>
  <r>
    <x v="4336"/>
    <x v="56"/>
    <x v="1"/>
    <x v="1"/>
    <x v="3"/>
    <x v="0"/>
    <x v="5"/>
    <x v="2123"/>
    <x v="1"/>
    <x v="0"/>
  </r>
  <r>
    <x v="4337"/>
    <x v="61"/>
    <x v="1"/>
    <x v="2"/>
    <x v="4"/>
    <x v="0"/>
    <x v="12"/>
    <x v="4244"/>
    <x v="0"/>
    <x v="0"/>
  </r>
  <r>
    <x v="4338"/>
    <x v="69"/>
    <x v="0"/>
    <x v="4"/>
    <x v="7"/>
    <x v="2"/>
    <x v="4"/>
    <x v="4245"/>
    <x v="0"/>
    <x v="1"/>
  </r>
  <r>
    <x v="4339"/>
    <x v="69"/>
    <x v="1"/>
    <x v="2"/>
    <x v="4"/>
    <x v="1"/>
    <x v="11"/>
    <x v="4246"/>
    <x v="1"/>
    <x v="1"/>
  </r>
  <r>
    <x v="4340"/>
    <x v="82"/>
    <x v="0"/>
    <x v="5"/>
    <x v="6"/>
    <x v="0"/>
    <x v="6"/>
    <x v="4247"/>
    <x v="1"/>
    <x v="4"/>
  </r>
  <r>
    <x v="4341"/>
    <x v="8"/>
    <x v="1"/>
    <x v="0"/>
    <x v="1"/>
    <x v="2"/>
    <x v="0"/>
    <x v="4248"/>
    <x v="1"/>
    <x v="3"/>
  </r>
  <r>
    <x v="4342"/>
    <x v="47"/>
    <x v="1"/>
    <x v="1"/>
    <x v="8"/>
    <x v="0"/>
    <x v="13"/>
    <x v="4249"/>
    <x v="0"/>
    <x v="4"/>
  </r>
  <r>
    <x v="4343"/>
    <x v="84"/>
    <x v="0"/>
    <x v="4"/>
    <x v="0"/>
    <x v="0"/>
    <x v="11"/>
    <x v="4250"/>
    <x v="0"/>
    <x v="2"/>
  </r>
  <r>
    <x v="4344"/>
    <x v="68"/>
    <x v="1"/>
    <x v="1"/>
    <x v="8"/>
    <x v="2"/>
    <x v="10"/>
    <x v="4251"/>
    <x v="0"/>
    <x v="0"/>
  </r>
  <r>
    <x v="4345"/>
    <x v="4"/>
    <x v="0"/>
    <x v="3"/>
    <x v="0"/>
    <x v="1"/>
    <x v="14"/>
    <x v="4252"/>
    <x v="0"/>
    <x v="0"/>
  </r>
  <r>
    <x v="4346"/>
    <x v="20"/>
    <x v="1"/>
    <x v="6"/>
    <x v="2"/>
    <x v="0"/>
    <x v="4"/>
    <x v="4253"/>
    <x v="0"/>
    <x v="3"/>
  </r>
  <r>
    <x v="4347"/>
    <x v="77"/>
    <x v="0"/>
    <x v="3"/>
    <x v="8"/>
    <x v="0"/>
    <x v="11"/>
    <x v="4254"/>
    <x v="0"/>
    <x v="1"/>
  </r>
  <r>
    <x v="4348"/>
    <x v="27"/>
    <x v="1"/>
    <x v="1"/>
    <x v="3"/>
    <x v="0"/>
    <x v="3"/>
    <x v="4255"/>
    <x v="0"/>
    <x v="2"/>
  </r>
  <r>
    <x v="4349"/>
    <x v="20"/>
    <x v="0"/>
    <x v="6"/>
    <x v="0"/>
    <x v="0"/>
    <x v="5"/>
    <x v="4256"/>
    <x v="1"/>
    <x v="0"/>
  </r>
  <r>
    <x v="4350"/>
    <x v="67"/>
    <x v="1"/>
    <x v="4"/>
    <x v="6"/>
    <x v="0"/>
    <x v="12"/>
    <x v="4257"/>
    <x v="0"/>
    <x v="0"/>
  </r>
  <r>
    <x v="4351"/>
    <x v="28"/>
    <x v="0"/>
    <x v="9"/>
    <x v="3"/>
    <x v="1"/>
    <x v="14"/>
    <x v="4258"/>
    <x v="0"/>
    <x v="2"/>
  </r>
  <r>
    <x v="4352"/>
    <x v="15"/>
    <x v="1"/>
    <x v="3"/>
    <x v="2"/>
    <x v="1"/>
    <x v="8"/>
    <x v="4259"/>
    <x v="1"/>
    <x v="0"/>
  </r>
  <r>
    <x v="4353"/>
    <x v="88"/>
    <x v="1"/>
    <x v="4"/>
    <x v="8"/>
    <x v="0"/>
    <x v="8"/>
    <x v="4260"/>
    <x v="0"/>
    <x v="0"/>
  </r>
  <r>
    <x v="4354"/>
    <x v="82"/>
    <x v="1"/>
    <x v="3"/>
    <x v="8"/>
    <x v="1"/>
    <x v="12"/>
    <x v="4261"/>
    <x v="0"/>
    <x v="4"/>
  </r>
  <r>
    <x v="4355"/>
    <x v="63"/>
    <x v="1"/>
    <x v="1"/>
    <x v="6"/>
    <x v="2"/>
    <x v="13"/>
    <x v="4262"/>
    <x v="1"/>
    <x v="0"/>
  </r>
  <r>
    <x v="4356"/>
    <x v="57"/>
    <x v="0"/>
    <x v="9"/>
    <x v="4"/>
    <x v="1"/>
    <x v="2"/>
    <x v="4263"/>
    <x v="0"/>
    <x v="3"/>
  </r>
  <r>
    <x v="4357"/>
    <x v="88"/>
    <x v="0"/>
    <x v="7"/>
    <x v="2"/>
    <x v="1"/>
    <x v="4"/>
    <x v="4264"/>
    <x v="0"/>
    <x v="3"/>
  </r>
  <r>
    <x v="4358"/>
    <x v="34"/>
    <x v="1"/>
    <x v="5"/>
    <x v="1"/>
    <x v="1"/>
    <x v="13"/>
    <x v="4265"/>
    <x v="0"/>
    <x v="1"/>
  </r>
  <r>
    <x v="4359"/>
    <x v="51"/>
    <x v="0"/>
    <x v="2"/>
    <x v="6"/>
    <x v="1"/>
    <x v="0"/>
    <x v="4266"/>
    <x v="1"/>
    <x v="4"/>
  </r>
  <r>
    <x v="4360"/>
    <x v="36"/>
    <x v="0"/>
    <x v="0"/>
    <x v="8"/>
    <x v="2"/>
    <x v="2"/>
    <x v="4267"/>
    <x v="0"/>
    <x v="0"/>
  </r>
  <r>
    <x v="4361"/>
    <x v="4"/>
    <x v="0"/>
    <x v="7"/>
    <x v="7"/>
    <x v="0"/>
    <x v="5"/>
    <x v="4268"/>
    <x v="0"/>
    <x v="2"/>
  </r>
  <r>
    <x v="4362"/>
    <x v="65"/>
    <x v="0"/>
    <x v="6"/>
    <x v="4"/>
    <x v="0"/>
    <x v="3"/>
    <x v="4269"/>
    <x v="0"/>
    <x v="2"/>
  </r>
  <r>
    <x v="4363"/>
    <x v="55"/>
    <x v="0"/>
    <x v="9"/>
    <x v="7"/>
    <x v="1"/>
    <x v="10"/>
    <x v="4270"/>
    <x v="1"/>
    <x v="4"/>
  </r>
  <r>
    <x v="4364"/>
    <x v="16"/>
    <x v="1"/>
    <x v="1"/>
    <x v="9"/>
    <x v="2"/>
    <x v="0"/>
    <x v="4271"/>
    <x v="0"/>
    <x v="3"/>
  </r>
  <r>
    <x v="4365"/>
    <x v="36"/>
    <x v="0"/>
    <x v="6"/>
    <x v="2"/>
    <x v="1"/>
    <x v="10"/>
    <x v="4272"/>
    <x v="0"/>
    <x v="3"/>
  </r>
  <r>
    <x v="4366"/>
    <x v="1"/>
    <x v="1"/>
    <x v="5"/>
    <x v="7"/>
    <x v="1"/>
    <x v="3"/>
    <x v="4273"/>
    <x v="0"/>
    <x v="3"/>
  </r>
  <r>
    <x v="4367"/>
    <x v="59"/>
    <x v="0"/>
    <x v="7"/>
    <x v="1"/>
    <x v="2"/>
    <x v="4"/>
    <x v="4274"/>
    <x v="1"/>
    <x v="2"/>
  </r>
  <r>
    <x v="4368"/>
    <x v="0"/>
    <x v="1"/>
    <x v="3"/>
    <x v="5"/>
    <x v="1"/>
    <x v="8"/>
    <x v="4275"/>
    <x v="1"/>
    <x v="0"/>
  </r>
  <r>
    <x v="4369"/>
    <x v="14"/>
    <x v="0"/>
    <x v="9"/>
    <x v="5"/>
    <x v="1"/>
    <x v="2"/>
    <x v="4276"/>
    <x v="1"/>
    <x v="0"/>
  </r>
  <r>
    <x v="4370"/>
    <x v="68"/>
    <x v="1"/>
    <x v="0"/>
    <x v="8"/>
    <x v="0"/>
    <x v="3"/>
    <x v="4277"/>
    <x v="1"/>
    <x v="0"/>
  </r>
  <r>
    <x v="4371"/>
    <x v="4"/>
    <x v="1"/>
    <x v="8"/>
    <x v="0"/>
    <x v="2"/>
    <x v="14"/>
    <x v="4278"/>
    <x v="1"/>
    <x v="1"/>
  </r>
  <r>
    <x v="4372"/>
    <x v="46"/>
    <x v="0"/>
    <x v="7"/>
    <x v="3"/>
    <x v="0"/>
    <x v="2"/>
    <x v="4279"/>
    <x v="1"/>
    <x v="1"/>
  </r>
  <r>
    <x v="4373"/>
    <x v="4"/>
    <x v="0"/>
    <x v="7"/>
    <x v="8"/>
    <x v="2"/>
    <x v="6"/>
    <x v="4280"/>
    <x v="0"/>
    <x v="2"/>
  </r>
  <r>
    <x v="4374"/>
    <x v="72"/>
    <x v="1"/>
    <x v="3"/>
    <x v="6"/>
    <x v="2"/>
    <x v="7"/>
    <x v="4281"/>
    <x v="0"/>
    <x v="1"/>
  </r>
  <r>
    <x v="4375"/>
    <x v="31"/>
    <x v="1"/>
    <x v="5"/>
    <x v="5"/>
    <x v="0"/>
    <x v="4"/>
    <x v="4282"/>
    <x v="0"/>
    <x v="4"/>
  </r>
  <r>
    <x v="4376"/>
    <x v="42"/>
    <x v="0"/>
    <x v="4"/>
    <x v="1"/>
    <x v="0"/>
    <x v="13"/>
    <x v="4283"/>
    <x v="0"/>
    <x v="3"/>
  </r>
  <r>
    <x v="4377"/>
    <x v="49"/>
    <x v="0"/>
    <x v="3"/>
    <x v="1"/>
    <x v="0"/>
    <x v="3"/>
    <x v="4284"/>
    <x v="1"/>
    <x v="4"/>
  </r>
  <r>
    <x v="4378"/>
    <x v="64"/>
    <x v="1"/>
    <x v="5"/>
    <x v="2"/>
    <x v="1"/>
    <x v="2"/>
    <x v="4285"/>
    <x v="0"/>
    <x v="0"/>
  </r>
  <r>
    <x v="4379"/>
    <x v="7"/>
    <x v="1"/>
    <x v="9"/>
    <x v="1"/>
    <x v="2"/>
    <x v="8"/>
    <x v="4286"/>
    <x v="0"/>
    <x v="2"/>
  </r>
  <r>
    <x v="4380"/>
    <x v="73"/>
    <x v="1"/>
    <x v="2"/>
    <x v="7"/>
    <x v="1"/>
    <x v="11"/>
    <x v="4287"/>
    <x v="1"/>
    <x v="2"/>
  </r>
  <r>
    <x v="4381"/>
    <x v="37"/>
    <x v="1"/>
    <x v="1"/>
    <x v="7"/>
    <x v="1"/>
    <x v="13"/>
    <x v="4288"/>
    <x v="1"/>
    <x v="3"/>
  </r>
  <r>
    <x v="4382"/>
    <x v="2"/>
    <x v="0"/>
    <x v="4"/>
    <x v="8"/>
    <x v="2"/>
    <x v="7"/>
    <x v="4289"/>
    <x v="0"/>
    <x v="2"/>
  </r>
  <r>
    <x v="4383"/>
    <x v="7"/>
    <x v="1"/>
    <x v="8"/>
    <x v="8"/>
    <x v="1"/>
    <x v="8"/>
    <x v="4290"/>
    <x v="1"/>
    <x v="0"/>
  </r>
  <r>
    <x v="4384"/>
    <x v="78"/>
    <x v="1"/>
    <x v="0"/>
    <x v="4"/>
    <x v="0"/>
    <x v="3"/>
    <x v="4291"/>
    <x v="1"/>
    <x v="2"/>
  </r>
  <r>
    <x v="4385"/>
    <x v="84"/>
    <x v="0"/>
    <x v="3"/>
    <x v="8"/>
    <x v="2"/>
    <x v="2"/>
    <x v="4292"/>
    <x v="0"/>
    <x v="2"/>
  </r>
  <r>
    <x v="4386"/>
    <x v="58"/>
    <x v="0"/>
    <x v="5"/>
    <x v="7"/>
    <x v="0"/>
    <x v="7"/>
    <x v="4293"/>
    <x v="1"/>
    <x v="4"/>
  </r>
  <r>
    <x v="4387"/>
    <x v="6"/>
    <x v="0"/>
    <x v="1"/>
    <x v="4"/>
    <x v="2"/>
    <x v="6"/>
    <x v="4294"/>
    <x v="0"/>
    <x v="4"/>
  </r>
  <r>
    <x v="4388"/>
    <x v="51"/>
    <x v="0"/>
    <x v="1"/>
    <x v="1"/>
    <x v="2"/>
    <x v="5"/>
    <x v="4295"/>
    <x v="0"/>
    <x v="1"/>
  </r>
  <r>
    <x v="4389"/>
    <x v="32"/>
    <x v="0"/>
    <x v="1"/>
    <x v="9"/>
    <x v="1"/>
    <x v="9"/>
    <x v="4296"/>
    <x v="0"/>
    <x v="2"/>
  </r>
  <r>
    <x v="4390"/>
    <x v="88"/>
    <x v="1"/>
    <x v="2"/>
    <x v="0"/>
    <x v="2"/>
    <x v="0"/>
    <x v="4297"/>
    <x v="0"/>
    <x v="1"/>
  </r>
  <r>
    <x v="4391"/>
    <x v="36"/>
    <x v="0"/>
    <x v="3"/>
    <x v="8"/>
    <x v="0"/>
    <x v="2"/>
    <x v="4298"/>
    <x v="0"/>
    <x v="2"/>
  </r>
  <r>
    <x v="4392"/>
    <x v="58"/>
    <x v="1"/>
    <x v="9"/>
    <x v="6"/>
    <x v="0"/>
    <x v="9"/>
    <x v="4299"/>
    <x v="0"/>
    <x v="1"/>
  </r>
  <r>
    <x v="4393"/>
    <x v="3"/>
    <x v="0"/>
    <x v="9"/>
    <x v="8"/>
    <x v="2"/>
    <x v="0"/>
    <x v="4300"/>
    <x v="1"/>
    <x v="1"/>
  </r>
  <r>
    <x v="4394"/>
    <x v="17"/>
    <x v="1"/>
    <x v="7"/>
    <x v="9"/>
    <x v="0"/>
    <x v="1"/>
    <x v="4301"/>
    <x v="0"/>
    <x v="4"/>
  </r>
  <r>
    <x v="4395"/>
    <x v="3"/>
    <x v="1"/>
    <x v="3"/>
    <x v="1"/>
    <x v="2"/>
    <x v="10"/>
    <x v="4302"/>
    <x v="1"/>
    <x v="3"/>
  </r>
  <r>
    <x v="4396"/>
    <x v="32"/>
    <x v="0"/>
    <x v="1"/>
    <x v="3"/>
    <x v="0"/>
    <x v="1"/>
    <x v="4303"/>
    <x v="0"/>
    <x v="2"/>
  </r>
  <r>
    <x v="4397"/>
    <x v="63"/>
    <x v="1"/>
    <x v="7"/>
    <x v="4"/>
    <x v="2"/>
    <x v="10"/>
    <x v="4304"/>
    <x v="0"/>
    <x v="0"/>
  </r>
  <r>
    <x v="4398"/>
    <x v="29"/>
    <x v="0"/>
    <x v="8"/>
    <x v="0"/>
    <x v="0"/>
    <x v="1"/>
    <x v="4305"/>
    <x v="1"/>
    <x v="1"/>
  </r>
  <r>
    <x v="4399"/>
    <x v="79"/>
    <x v="1"/>
    <x v="2"/>
    <x v="1"/>
    <x v="0"/>
    <x v="11"/>
    <x v="4306"/>
    <x v="0"/>
    <x v="4"/>
  </r>
  <r>
    <x v="4400"/>
    <x v="40"/>
    <x v="0"/>
    <x v="8"/>
    <x v="8"/>
    <x v="2"/>
    <x v="9"/>
    <x v="4307"/>
    <x v="1"/>
    <x v="3"/>
  </r>
  <r>
    <x v="4401"/>
    <x v="88"/>
    <x v="0"/>
    <x v="3"/>
    <x v="4"/>
    <x v="2"/>
    <x v="2"/>
    <x v="4308"/>
    <x v="0"/>
    <x v="1"/>
  </r>
  <r>
    <x v="4402"/>
    <x v="70"/>
    <x v="1"/>
    <x v="6"/>
    <x v="7"/>
    <x v="1"/>
    <x v="3"/>
    <x v="4309"/>
    <x v="0"/>
    <x v="3"/>
  </r>
  <r>
    <x v="4403"/>
    <x v="14"/>
    <x v="0"/>
    <x v="3"/>
    <x v="9"/>
    <x v="2"/>
    <x v="13"/>
    <x v="4310"/>
    <x v="0"/>
    <x v="0"/>
  </r>
  <r>
    <x v="4404"/>
    <x v="72"/>
    <x v="0"/>
    <x v="6"/>
    <x v="5"/>
    <x v="0"/>
    <x v="10"/>
    <x v="4311"/>
    <x v="1"/>
    <x v="0"/>
  </r>
  <r>
    <x v="4405"/>
    <x v="50"/>
    <x v="0"/>
    <x v="3"/>
    <x v="6"/>
    <x v="1"/>
    <x v="12"/>
    <x v="4312"/>
    <x v="0"/>
    <x v="0"/>
  </r>
  <r>
    <x v="4406"/>
    <x v="40"/>
    <x v="0"/>
    <x v="5"/>
    <x v="7"/>
    <x v="2"/>
    <x v="2"/>
    <x v="4313"/>
    <x v="0"/>
    <x v="3"/>
  </r>
  <r>
    <x v="4407"/>
    <x v="23"/>
    <x v="1"/>
    <x v="9"/>
    <x v="8"/>
    <x v="0"/>
    <x v="6"/>
    <x v="4314"/>
    <x v="0"/>
    <x v="0"/>
  </r>
  <r>
    <x v="4408"/>
    <x v="38"/>
    <x v="0"/>
    <x v="2"/>
    <x v="9"/>
    <x v="1"/>
    <x v="12"/>
    <x v="4315"/>
    <x v="1"/>
    <x v="3"/>
  </r>
  <r>
    <x v="4409"/>
    <x v="35"/>
    <x v="0"/>
    <x v="2"/>
    <x v="7"/>
    <x v="2"/>
    <x v="13"/>
    <x v="4316"/>
    <x v="1"/>
    <x v="1"/>
  </r>
  <r>
    <x v="4410"/>
    <x v="41"/>
    <x v="1"/>
    <x v="8"/>
    <x v="0"/>
    <x v="0"/>
    <x v="13"/>
    <x v="4317"/>
    <x v="1"/>
    <x v="4"/>
  </r>
  <r>
    <x v="4411"/>
    <x v="32"/>
    <x v="1"/>
    <x v="7"/>
    <x v="7"/>
    <x v="2"/>
    <x v="7"/>
    <x v="4318"/>
    <x v="1"/>
    <x v="2"/>
  </r>
  <r>
    <x v="4412"/>
    <x v="73"/>
    <x v="0"/>
    <x v="1"/>
    <x v="9"/>
    <x v="2"/>
    <x v="2"/>
    <x v="4319"/>
    <x v="0"/>
    <x v="3"/>
  </r>
  <r>
    <x v="4413"/>
    <x v="16"/>
    <x v="1"/>
    <x v="9"/>
    <x v="6"/>
    <x v="0"/>
    <x v="1"/>
    <x v="4320"/>
    <x v="0"/>
    <x v="2"/>
  </r>
  <r>
    <x v="4414"/>
    <x v="66"/>
    <x v="0"/>
    <x v="4"/>
    <x v="7"/>
    <x v="1"/>
    <x v="8"/>
    <x v="4321"/>
    <x v="1"/>
    <x v="4"/>
  </r>
  <r>
    <x v="4415"/>
    <x v="84"/>
    <x v="1"/>
    <x v="3"/>
    <x v="1"/>
    <x v="2"/>
    <x v="3"/>
    <x v="4322"/>
    <x v="0"/>
    <x v="0"/>
  </r>
  <r>
    <x v="4416"/>
    <x v="28"/>
    <x v="0"/>
    <x v="4"/>
    <x v="7"/>
    <x v="1"/>
    <x v="7"/>
    <x v="4323"/>
    <x v="0"/>
    <x v="0"/>
  </r>
  <r>
    <x v="4417"/>
    <x v="34"/>
    <x v="1"/>
    <x v="6"/>
    <x v="3"/>
    <x v="1"/>
    <x v="8"/>
    <x v="4324"/>
    <x v="1"/>
    <x v="4"/>
  </r>
  <r>
    <x v="4418"/>
    <x v="46"/>
    <x v="1"/>
    <x v="4"/>
    <x v="4"/>
    <x v="0"/>
    <x v="2"/>
    <x v="4325"/>
    <x v="1"/>
    <x v="0"/>
  </r>
  <r>
    <x v="4419"/>
    <x v="61"/>
    <x v="0"/>
    <x v="1"/>
    <x v="8"/>
    <x v="2"/>
    <x v="14"/>
    <x v="4326"/>
    <x v="0"/>
    <x v="4"/>
  </r>
  <r>
    <x v="4420"/>
    <x v="44"/>
    <x v="0"/>
    <x v="7"/>
    <x v="9"/>
    <x v="0"/>
    <x v="11"/>
    <x v="4327"/>
    <x v="0"/>
    <x v="1"/>
  </r>
  <r>
    <x v="4421"/>
    <x v="50"/>
    <x v="0"/>
    <x v="0"/>
    <x v="9"/>
    <x v="0"/>
    <x v="9"/>
    <x v="4328"/>
    <x v="1"/>
    <x v="0"/>
  </r>
  <r>
    <x v="4422"/>
    <x v="60"/>
    <x v="0"/>
    <x v="0"/>
    <x v="5"/>
    <x v="1"/>
    <x v="0"/>
    <x v="4329"/>
    <x v="0"/>
    <x v="1"/>
  </r>
  <r>
    <x v="4423"/>
    <x v="3"/>
    <x v="0"/>
    <x v="1"/>
    <x v="6"/>
    <x v="2"/>
    <x v="13"/>
    <x v="4330"/>
    <x v="0"/>
    <x v="4"/>
  </r>
  <r>
    <x v="4424"/>
    <x v="37"/>
    <x v="1"/>
    <x v="2"/>
    <x v="8"/>
    <x v="2"/>
    <x v="5"/>
    <x v="4331"/>
    <x v="0"/>
    <x v="1"/>
  </r>
  <r>
    <x v="4425"/>
    <x v="15"/>
    <x v="1"/>
    <x v="2"/>
    <x v="3"/>
    <x v="2"/>
    <x v="10"/>
    <x v="4332"/>
    <x v="0"/>
    <x v="1"/>
  </r>
  <r>
    <x v="4426"/>
    <x v="25"/>
    <x v="0"/>
    <x v="2"/>
    <x v="0"/>
    <x v="1"/>
    <x v="2"/>
    <x v="4333"/>
    <x v="0"/>
    <x v="1"/>
  </r>
  <r>
    <x v="4427"/>
    <x v="68"/>
    <x v="1"/>
    <x v="4"/>
    <x v="5"/>
    <x v="2"/>
    <x v="8"/>
    <x v="4334"/>
    <x v="1"/>
    <x v="3"/>
  </r>
  <r>
    <x v="4428"/>
    <x v="82"/>
    <x v="1"/>
    <x v="3"/>
    <x v="7"/>
    <x v="0"/>
    <x v="12"/>
    <x v="4335"/>
    <x v="0"/>
    <x v="2"/>
  </r>
  <r>
    <x v="4429"/>
    <x v="14"/>
    <x v="0"/>
    <x v="4"/>
    <x v="8"/>
    <x v="2"/>
    <x v="1"/>
    <x v="4336"/>
    <x v="1"/>
    <x v="2"/>
  </r>
  <r>
    <x v="4430"/>
    <x v="10"/>
    <x v="0"/>
    <x v="2"/>
    <x v="5"/>
    <x v="1"/>
    <x v="4"/>
    <x v="4337"/>
    <x v="1"/>
    <x v="4"/>
  </r>
  <r>
    <x v="4431"/>
    <x v="89"/>
    <x v="1"/>
    <x v="9"/>
    <x v="8"/>
    <x v="2"/>
    <x v="0"/>
    <x v="4338"/>
    <x v="0"/>
    <x v="1"/>
  </r>
  <r>
    <x v="4432"/>
    <x v="2"/>
    <x v="1"/>
    <x v="0"/>
    <x v="9"/>
    <x v="2"/>
    <x v="14"/>
    <x v="4339"/>
    <x v="1"/>
    <x v="1"/>
  </r>
  <r>
    <x v="4433"/>
    <x v="47"/>
    <x v="0"/>
    <x v="8"/>
    <x v="3"/>
    <x v="0"/>
    <x v="6"/>
    <x v="4340"/>
    <x v="0"/>
    <x v="4"/>
  </r>
  <r>
    <x v="4434"/>
    <x v="23"/>
    <x v="0"/>
    <x v="4"/>
    <x v="2"/>
    <x v="2"/>
    <x v="9"/>
    <x v="4341"/>
    <x v="1"/>
    <x v="3"/>
  </r>
  <r>
    <x v="4435"/>
    <x v="77"/>
    <x v="1"/>
    <x v="1"/>
    <x v="8"/>
    <x v="0"/>
    <x v="2"/>
    <x v="4342"/>
    <x v="1"/>
    <x v="4"/>
  </r>
  <r>
    <x v="4436"/>
    <x v="20"/>
    <x v="1"/>
    <x v="3"/>
    <x v="2"/>
    <x v="2"/>
    <x v="1"/>
    <x v="4343"/>
    <x v="0"/>
    <x v="0"/>
  </r>
  <r>
    <x v="4437"/>
    <x v="70"/>
    <x v="0"/>
    <x v="6"/>
    <x v="7"/>
    <x v="2"/>
    <x v="10"/>
    <x v="4344"/>
    <x v="0"/>
    <x v="0"/>
  </r>
  <r>
    <x v="4438"/>
    <x v="47"/>
    <x v="1"/>
    <x v="4"/>
    <x v="6"/>
    <x v="0"/>
    <x v="4"/>
    <x v="4345"/>
    <x v="1"/>
    <x v="4"/>
  </r>
  <r>
    <x v="4439"/>
    <x v="61"/>
    <x v="0"/>
    <x v="0"/>
    <x v="5"/>
    <x v="1"/>
    <x v="5"/>
    <x v="4346"/>
    <x v="1"/>
    <x v="4"/>
  </r>
  <r>
    <x v="4440"/>
    <x v="20"/>
    <x v="0"/>
    <x v="3"/>
    <x v="5"/>
    <x v="0"/>
    <x v="0"/>
    <x v="4347"/>
    <x v="1"/>
    <x v="4"/>
  </r>
  <r>
    <x v="4441"/>
    <x v="13"/>
    <x v="1"/>
    <x v="7"/>
    <x v="3"/>
    <x v="2"/>
    <x v="8"/>
    <x v="4348"/>
    <x v="0"/>
    <x v="4"/>
  </r>
  <r>
    <x v="4442"/>
    <x v="22"/>
    <x v="0"/>
    <x v="4"/>
    <x v="5"/>
    <x v="2"/>
    <x v="14"/>
    <x v="2207"/>
    <x v="1"/>
    <x v="1"/>
  </r>
  <r>
    <x v="4443"/>
    <x v="66"/>
    <x v="1"/>
    <x v="3"/>
    <x v="7"/>
    <x v="0"/>
    <x v="9"/>
    <x v="918"/>
    <x v="1"/>
    <x v="4"/>
  </r>
  <r>
    <x v="4444"/>
    <x v="75"/>
    <x v="1"/>
    <x v="2"/>
    <x v="3"/>
    <x v="0"/>
    <x v="7"/>
    <x v="4349"/>
    <x v="1"/>
    <x v="0"/>
  </r>
  <r>
    <x v="4445"/>
    <x v="80"/>
    <x v="0"/>
    <x v="4"/>
    <x v="0"/>
    <x v="2"/>
    <x v="0"/>
    <x v="4350"/>
    <x v="0"/>
    <x v="4"/>
  </r>
  <r>
    <x v="4446"/>
    <x v="43"/>
    <x v="1"/>
    <x v="2"/>
    <x v="5"/>
    <x v="1"/>
    <x v="10"/>
    <x v="4351"/>
    <x v="0"/>
    <x v="2"/>
  </r>
  <r>
    <x v="4447"/>
    <x v="88"/>
    <x v="1"/>
    <x v="0"/>
    <x v="1"/>
    <x v="0"/>
    <x v="2"/>
    <x v="4352"/>
    <x v="1"/>
    <x v="3"/>
  </r>
  <r>
    <x v="4448"/>
    <x v="31"/>
    <x v="0"/>
    <x v="5"/>
    <x v="6"/>
    <x v="2"/>
    <x v="3"/>
    <x v="4353"/>
    <x v="0"/>
    <x v="4"/>
  </r>
  <r>
    <x v="4449"/>
    <x v="56"/>
    <x v="1"/>
    <x v="2"/>
    <x v="3"/>
    <x v="0"/>
    <x v="12"/>
    <x v="4354"/>
    <x v="1"/>
    <x v="1"/>
  </r>
  <r>
    <x v="4450"/>
    <x v="14"/>
    <x v="1"/>
    <x v="4"/>
    <x v="5"/>
    <x v="2"/>
    <x v="14"/>
    <x v="4355"/>
    <x v="0"/>
    <x v="0"/>
  </r>
  <r>
    <x v="4451"/>
    <x v="69"/>
    <x v="0"/>
    <x v="7"/>
    <x v="4"/>
    <x v="0"/>
    <x v="11"/>
    <x v="4356"/>
    <x v="1"/>
    <x v="2"/>
  </r>
  <r>
    <x v="4452"/>
    <x v="43"/>
    <x v="1"/>
    <x v="8"/>
    <x v="3"/>
    <x v="2"/>
    <x v="4"/>
    <x v="4357"/>
    <x v="0"/>
    <x v="4"/>
  </r>
  <r>
    <x v="4453"/>
    <x v="65"/>
    <x v="1"/>
    <x v="8"/>
    <x v="5"/>
    <x v="2"/>
    <x v="3"/>
    <x v="4358"/>
    <x v="0"/>
    <x v="0"/>
  </r>
  <r>
    <x v="4454"/>
    <x v="29"/>
    <x v="1"/>
    <x v="7"/>
    <x v="4"/>
    <x v="2"/>
    <x v="14"/>
    <x v="4359"/>
    <x v="0"/>
    <x v="0"/>
  </r>
  <r>
    <x v="4455"/>
    <x v="56"/>
    <x v="0"/>
    <x v="9"/>
    <x v="9"/>
    <x v="0"/>
    <x v="10"/>
    <x v="4360"/>
    <x v="1"/>
    <x v="1"/>
  </r>
  <r>
    <x v="4456"/>
    <x v="16"/>
    <x v="0"/>
    <x v="2"/>
    <x v="7"/>
    <x v="1"/>
    <x v="11"/>
    <x v="4361"/>
    <x v="1"/>
    <x v="3"/>
  </r>
  <r>
    <x v="4457"/>
    <x v="71"/>
    <x v="0"/>
    <x v="3"/>
    <x v="0"/>
    <x v="2"/>
    <x v="6"/>
    <x v="4362"/>
    <x v="0"/>
    <x v="0"/>
  </r>
  <r>
    <x v="4458"/>
    <x v="52"/>
    <x v="0"/>
    <x v="8"/>
    <x v="1"/>
    <x v="2"/>
    <x v="4"/>
    <x v="4363"/>
    <x v="1"/>
    <x v="0"/>
  </r>
  <r>
    <x v="4459"/>
    <x v="10"/>
    <x v="0"/>
    <x v="4"/>
    <x v="1"/>
    <x v="0"/>
    <x v="9"/>
    <x v="4364"/>
    <x v="0"/>
    <x v="2"/>
  </r>
  <r>
    <x v="4460"/>
    <x v="49"/>
    <x v="0"/>
    <x v="5"/>
    <x v="8"/>
    <x v="0"/>
    <x v="3"/>
    <x v="4365"/>
    <x v="0"/>
    <x v="4"/>
  </r>
  <r>
    <x v="4461"/>
    <x v="34"/>
    <x v="0"/>
    <x v="7"/>
    <x v="1"/>
    <x v="0"/>
    <x v="7"/>
    <x v="4366"/>
    <x v="1"/>
    <x v="1"/>
  </r>
  <r>
    <x v="4462"/>
    <x v="75"/>
    <x v="0"/>
    <x v="7"/>
    <x v="5"/>
    <x v="2"/>
    <x v="14"/>
    <x v="4367"/>
    <x v="0"/>
    <x v="3"/>
  </r>
  <r>
    <x v="4463"/>
    <x v="84"/>
    <x v="1"/>
    <x v="7"/>
    <x v="2"/>
    <x v="1"/>
    <x v="14"/>
    <x v="4368"/>
    <x v="0"/>
    <x v="1"/>
  </r>
  <r>
    <x v="4464"/>
    <x v="7"/>
    <x v="1"/>
    <x v="3"/>
    <x v="2"/>
    <x v="1"/>
    <x v="12"/>
    <x v="4369"/>
    <x v="1"/>
    <x v="2"/>
  </r>
  <r>
    <x v="4465"/>
    <x v="15"/>
    <x v="1"/>
    <x v="2"/>
    <x v="2"/>
    <x v="2"/>
    <x v="5"/>
    <x v="4370"/>
    <x v="1"/>
    <x v="1"/>
  </r>
  <r>
    <x v="4466"/>
    <x v="34"/>
    <x v="0"/>
    <x v="2"/>
    <x v="7"/>
    <x v="0"/>
    <x v="1"/>
    <x v="4371"/>
    <x v="1"/>
    <x v="1"/>
  </r>
  <r>
    <x v="4467"/>
    <x v="21"/>
    <x v="0"/>
    <x v="7"/>
    <x v="2"/>
    <x v="0"/>
    <x v="14"/>
    <x v="4372"/>
    <x v="1"/>
    <x v="0"/>
  </r>
  <r>
    <x v="4468"/>
    <x v="66"/>
    <x v="1"/>
    <x v="4"/>
    <x v="9"/>
    <x v="1"/>
    <x v="0"/>
    <x v="4373"/>
    <x v="1"/>
    <x v="4"/>
  </r>
  <r>
    <x v="4469"/>
    <x v="32"/>
    <x v="1"/>
    <x v="5"/>
    <x v="7"/>
    <x v="0"/>
    <x v="13"/>
    <x v="4374"/>
    <x v="1"/>
    <x v="0"/>
  </r>
  <r>
    <x v="4470"/>
    <x v="60"/>
    <x v="1"/>
    <x v="8"/>
    <x v="4"/>
    <x v="1"/>
    <x v="7"/>
    <x v="4375"/>
    <x v="0"/>
    <x v="2"/>
  </r>
  <r>
    <x v="4471"/>
    <x v="76"/>
    <x v="1"/>
    <x v="2"/>
    <x v="8"/>
    <x v="0"/>
    <x v="12"/>
    <x v="4376"/>
    <x v="1"/>
    <x v="3"/>
  </r>
  <r>
    <x v="4472"/>
    <x v="63"/>
    <x v="1"/>
    <x v="9"/>
    <x v="1"/>
    <x v="1"/>
    <x v="5"/>
    <x v="4377"/>
    <x v="0"/>
    <x v="4"/>
  </r>
  <r>
    <x v="4473"/>
    <x v="80"/>
    <x v="1"/>
    <x v="0"/>
    <x v="5"/>
    <x v="1"/>
    <x v="12"/>
    <x v="4378"/>
    <x v="0"/>
    <x v="0"/>
  </r>
  <r>
    <x v="4474"/>
    <x v="11"/>
    <x v="0"/>
    <x v="1"/>
    <x v="1"/>
    <x v="2"/>
    <x v="0"/>
    <x v="4379"/>
    <x v="0"/>
    <x v="4"/>
  </r>
  <r>
    <x v="4475"/>
    <x v="20"/>
    <x v="1"/>
    <x v="6"/>
    <x v="1"/>
    <x v="2"/>
    <x v="6"/>
    <x v="4380"/>
    <x v="1"/>
    <x v="4"/>
  </r>
  <r>
    <x v="4476"/>
    <x v="73"/>
    <x v="1"/>
    <x v="4"/>
    <x v="6"/>
    <x v="0"/>
    <x v="3"/>
    <x v="4381"/>
    <x v="1"/>
    <x v="1"/>
  </r>
  <r>
    <x v="4477"/>
    <x v="0"/>
    <x v="0"/>
    <x v="6"/>
    <x v="3"/>
    <x v="2"/>
    <x v="5"/>
    <x v="4382"/>
    <x v="0"/>
    <x v="3"/>
  </r>
  <r>
    <x v="4478"/>
    <x v="26"/>
    <x v="0"/>
    <x v="5"/>
    <x v="5"/>
    <x v="0"/>
    <x v="2"/>
    <x v="4383"/>
    <x v="1"/>
    <x v="1"/>
  </r>
  <r>
    <x v="4479"/>
    <x v="19"/>
    <x v="0"/>
    <x v="9"/>
    <x v="2"/>
    <x v="2"/>
    <x v="9"/>
    <x v="4384"/>
    <x v="1"/>
    <x v="2"/>
  </r>
  <r>
    <x v="4480"/>
    <x v="39"/>
    <x v="1"/>
    <x v="8"/>
    <x v="5"/>
    <x v="1"/>
    <x v="4"/>
    <x v="4385"/>
    <x v="1"/>
    <x v="2"/>
  </r>
  <r>
    <x v="4481"/>
    <x v="50"/>
    <x v="0"/>
    <x v="3"/>
    <x v="2"/>
    <x v="0"/>
    <x v="14"/>
    <x v="4386"/>
    <x v="0"/>
    <x v="4"/>
  </r>
  <r>
    <x v="4482"/>
    <x v="26"/>
    <x v="1"/>
    <x v="3"/>
    <x v="0"/>
    <x v="0"/>
    <x v="1"/>
    <x v="4387"/>
    <x v="1"/>
    <x v="3"/>
  </r>
  <r>
    <x v="4483"/>
    <x v="67"/>
    <x v="1"/>
    <x v="3"/>
    <x v="9"/>
    <x v="1"/>
    <x v="13"/>
    <x v="4388"/>
    <x v="1"/>
    <x v="4"/>
  </r>
  <r>
    <x v="4484"/>
    <x v="35"/>
    <x v="1"/>
    <x v="0"/>
    <x v="2"/>
    <x v="2"/>
    <x v="4"/>
    <x v="4389"/>
    <x v="1"/>
    <x v="2"/>
  </r>
  <r>
    <x v="4485"/>
    <x v="57"/>
    <x v="0"/>
    <x v="5"/>
    <x v="0"/>
    <x v="2"/>
    <x v="12"/>
    <x v="4390"/>
    <x v="0"/>
    <x v="1"/>
  </r>
  <r>
    <x v="4486"/>
    <x v="26"/>
    <x v="0"/>
    <x v="5"/>
    <x v="3"/>
    <x v="1"/>
    <x v="6"/>
    <x v="4391"/>
    <x v="0"/>
    <x v="4"/>
  </r>
  <r>
    <x v="4487"/>
    <x v="16"/>
    <x v="0"/>
    <x v="4"/>
    <x v="4"/>
    <x v="0"/>
    <x v="3"/>
    <x v="4392"/>
    <x v="0"/>
    <x v="3"/>
  </r>
  <r>
    <x v="4488"/>
    <x v="82"/>
    <x v="1"/>
    <x v="2"/>
    <x v="4"/>
    <x v="2"/>
    <x v="6"/>
    <x v="4393"/>
    <x v="1"/>
    <x v="0"/>
  </r>
  <r>
    <x v="4489"/>
    <x v="59"/>
    <x v="0"/>
    <x v="6"/>
    <x v="2"/>
    <x v="2"/>
    <x v="9"/>
    <x v="4394"/>
    <x v="0"/>
    <x v="3"/>
  </r>
  <r>
    <x v="4490"/>
    <x v="28"/>
    <x v="1"/>
    <x v="2"/>
    <x v="6"/>
    <x v="2"/>
    <x v="1"/>
    <x v="4395"/>
    <x v="1"/>
    <x v="0"/>
  </r>
  <r>
    <x v="4491"/>
    <x v="8"/>
    <x v="0"/>
    <x v="9"/>
    <x v="9"/>
    <x v="1"/>
    <x v="14"/>
    <x v="4396"/>
    <x v="0"/>
    <x v="1"/>
  </r>
  <r>
    <x v="4492"/>
    <x v="51"/>
    <x v="0"/>
    <x v="8"/>
    <x v="3"/>
    <x v="2"/>
    <x v="12"/>
    <x v="4397"/>
    <x v="1"/>
    <x v="0"/>
  </r>
  <r>
    <x v="4493"/>
    <x v="37"/>
    <x v="1"/>
    <x v="6"/>
    <x v="0"/>
    <x v="0"/>
    <x v="6"/>
    <x v="4398"/>
    <x v="0"/>
    <x v="0"/>
  </r>
  <r>
    <x v="4494"/>
    <x v="45"/>
    <x v="0"/>
    <x v="3"/>
    <x v="6"/>
    <x v="0"/>
    <x v="0"/>
    <x v="4399"/>
    <x v="1"/>
    <x v="2"/>
  </r>
  <r>
    <x v="4495"/>
    <x v="74"/>
    <x v="1"/>
    <x v="9"/>
    <x v="4"/>
    <x v="1"/>
    <x v="9"/>
    <x v="4400"/>
    <x v="0"/>
    <x v="1"/>
  </r>
  <r>
    <x v="4496"/>
    <x v="59"/>
    <x v="0"/>
    <x v="2"/>
    <x v="9"/>
    <x v="2"/>
    <x v="3"/>
    <x v="4401"/>
    <x v="1"/>
    <x v="3"/>
  </r>
  <r>
    <x v="4497"/>
    <x v="30"/>
    <x v="1"/>
    <x v="2"/>
    <x v="9"/>
    <x v="0"/>
    <x v="9"/>
    <x v="4402"/>
    <x v="0"/>
    <x v="1"/>
  </r>
  <r>
    <x v="4498"/>
    <x v="88"/>
    <x v="1"/>
    <x v="9"/>
    <x v="1"/>
    <x v="0"/>
    <x v="1"/>
    <x v="4403"/>
    <x v="1"/>
    <x v="0"/>
  </r>
  <r>
    <x v="4499"/>
    <x v="11"/>
    <x v="1"/>
    <x v="9"/>
    <x v="6"/>
    <x v="0"/>
    <x v="13"/>
    <x v="4404"/>
    <x v="0"/>
    <x v="2"/>
  </r>
  <r>
    <x v="4500"/>
    <x v="50"/>
    <x v="0"/>
    <x v="7"/>
    <x v="0"/>
    <x v="1"/>
    <x v="4"/>
    <x v="4405"/>
    <x v="1"/>
    <x v="3"/>
  </r>
  <r>
    <x v="4501"/>
    <x v="37"/>
    <x v="0"/>
    <x v="2"/>
    <x v="6"/>
    <x v="0"/>
    <x v="1"/>
    <x v="4406"/>
    <x v="0"/>
    <x v="3"/>
  </r>
  <r>
    <x v="4502"/>
    <x v="73"/>
    <x v="1"/>
    <x v="5"/>
    <x v="4"/>
    <x v="2"/>
    <x v="6"/>
    <x v="4407"/>
    <x v="1"/>
    <x v="3"/>
  </r>
  <r>
    <x v="4503"/>
    <x v="72"/>
    <x v="1"/>
    <x v="8"/>
    <x v="9"/>
    <x v="1"/>
    <x v="6"/>
    <x v="4408"/>
    <x v="0"/>
    <x v="3"/>
  </r>
  <r>
    <x v="4504"/>
    <x v="72"/>
    <x v="0"/>
    <x v="2"/>
    <x v="0"/>
    <x v="1"/>
    <x v="6"/>
    <x v="4409"/>
    <x v="0"/>
    <x v="4"/>
  </r>
  <r>
    <x v="4505"/>
    <x v="3"/>
    <x v="0"/>
    <x v="3"/>
    <x v="6"/>
    <x v="2"/>
    <x v="4"/>
    <x v="4410"/>
    <x v="1"/>
    <x v="0"/>
  </r>
  <r>
    <x v="4506"/>
    <x v="87"/>
    <x v="0"/>
    <x v="9"/>
    <x v="7"/>
    <x v="2"/>
    <x v="2"/>
    <x v="4411"/>
    <x v="1"/>
    <x v="2"/>
  </r>
  <r>
    <x v="4507"/>
    <x v="2"/>
    <x v="0"/>
    <x v="8"/>
    <x v="6"/>
    <x v="0"/>
    <x v="12"/>
    <x v="4412"/>
    <x v="1"/>
    <x v="0"/>
  </r>
  <r>
    <x v="4508"/>
    <x v="77"/>
    <x v="1"/>
    <x v="2"/>
    <x v="9"/>
    <x v="0"/>
    <x v="11"/>
    <x v="4413"/>
    <x v="0"/>
    <x v="4"/>
  </r>
  <r>
    <x v="4509"/>
    <x v="55"/>
    <x v="0"/>
    <x v="4"/>
    <x v="9"/>
    <x v="0"/>
    <x v="11"/>
    <x v="4414"/>
    <x v="0"/>
    <x v="1"/>
  </r>
  <r>
    <x v="4510"/>
    <x v="40"/>
    <x v="0"/>
    <x v="0"/>
    <x v="8"/>
    <x v="2"/>
    <x v="1"/>
    <x v="4415"/>
    <x v="1"/>
    <x v="0"/>
  </r>
  <r>
    <x v="4511"/>
    <x v="6"/>
    <x v="1"/>
    <x v="6"/>
    <x v="4"/>
    <x v="0"/>
    <x v="10"/>
    <x v="4416"/>
    <x v="0"/>
    <x v="0"/>
  </r>
  <r>
    <x v="4512"/>
    <x v="50"/>
    <x v="0"/>
    <x v="5"/>
    <x v="3"/>
    <x v="2"/>
    <x v="11"/>
    <x v="4417"/>
    <x v="1"/>
    <x v="2"/>
  </r>
  <r>
    <x v="4513"/>
    <x v="34"/>
    <x v="0"/>
    <x v="6"/>
    <x v="4"/>
    <x v="0"/>
    <x v="10"/>
    <x v="4418"/>
    <x v="1"/>
    <x v="4"/>
  </r>
  <r>
    <x v="4514"/>
    <x v="11"/>
    <x v="0"/>
    <x v="7"/>
    <x v="3"/>
    <x v="2"/>
    <x v="5"/>
    <x v="2762"/>
    <x v="0"/>
    <x v="1"/>
  </r>
  <r>
    <x v="4515"/>
    <x v="89"/>
    <x v="0"/>
    <x v="9"/>
    <x v="1"/>
    <x v="0"/>
    <x v="1"/>
    <x v="4419"/>
    <x v="0"/>
    <x v="3"/>
  </r>
  <r>
    <x v="4516"/>
    <x v="44"/>
    <x v="1"/>
    <x v="5"/>
    <x v="5"/>
    <x v="1"/>
    <x v="7"/>
    <x v="4420"/>
    <x v="0"/>
    <x v="0"/>
  </r>
  <r>
    <x v="4517"/>
    <x v="34"/>
    <x v="0"/>
    <x v="2"/>
    <x v="6"/>
    <x v="2"/>
    <x v="8"/>
    <x v="4421"/>
    <x v="0"/>
    <x v="0"/>
  </r>
  <r>
    <x v="4518"/>
    <x v="36"/>
    <x v="1"/>
    <x v="2"/>
    <x v="2"/>
    <x v="0"/>
    <x v="14"/>
    <x v="4422"/>
    <x v="1"/>
    <x v="1"/>
  </r>
  <r>
    <x v="4519"/>
    <x v="22"/>
    <x v="1"/>
    <x v="0"/>
    <x v="3"/>
    <x v="1"/>
    <x v="10"/>
    <x v="4423"/>
    <x v="0"/>
    <x v="3"/>
  </r>
  <r>
    <x v="4520"/>
    <x v="23"/>
    <x v="0"/>
    <x v="0"/>
    <x v="5"/>
    <x v="0"/>
    <x v="7"/>
    <x v="4424"/>
    <x v="0"/>
    <x v="4"/>
  </r>
  <r>
    <x v="4521"/>
    <x v="40"/>
    <x v="0"/>
    <x v="4"/>
    <x v="3"/>
    <x v="0"/>
    <x v="1"/>
    <x v="4425"/>
    <x v="0"/>
    <x v="1"/>
  </r>
  <r>
    <x v="4522"/>
    <x v="49"/>
    <x v="0"/>
    <x v="6"/>
    <x v="7"/>
    <x v="0"/>
    <x v="3"/>
    <x v="4426"/>
    <x v="0"/>
    <x v="0"/>
  </r>
  <r>
    <x v="4523"/>
    <x v="46"/>
    <x v="1"/>
    <x v="2"/>
    <x v="1"/>
    <x v="0"/>
    <x v="3"/>
    <x v="4427"/>
    <x v="1"/>
    <x v="1"/>
  </r>
  <r>
    <x v="4524"/>
    <x v="11"/>
    <x v="1"/>
    <x v="6"/>
    <x v="6"/>
    <x v="1"/>
    <x v="14"/>
    <x v="4428"/>
    <x v="0"/>
    <x v="1"/>
  </r>
  <r>
    <x v="4525"/>
    <x v="56"/>
    <x v="0"/>
    <x v="4"/>
    <x v="3"/>
    <x v="2"/>
    <x v="7"/>
    <x v="4429"/>
    <x v="0"/>
    <x v="3"/>
  </r>
  <r>
    <x v="4526"/>
    <x v="54"/>
    <x v="1"/>
    <x v="2"/>
    <x v="4"/>
    <x v="1"/>
    <x v="13"/>
    <x v="4430"/>
    <x v="0"/>
    <x v="3"/>
  </r>
  <r>
    <x v="4527"/>
    <x v="12"/>
    <x v="0"/>
    <x v="3"/>
    <x v="6"/>
    <x v="0"/>
    <x v="12"/>
    <x v="4431"/>
    <x v="0"/>
    <x v="3"/>
  </r>
  <r>
    <x v="4528"/>
    <x v="5"/>
    <x v="0"/>
    <x v="2"/>
    <x v="0"/>
    <x v="0"/>
    <x v="5"/>
    <x v="4432"/>
    <x v="0"/>
    <x v="2"/>
  </r>
  <r>
    <x v="4529"/>
    <x v="24"/>
    <x v="0"/>
    <x v="5"/>
    <x v="5"/>
    <x v="0"/>
    <x v="10"/>
    <x v="4433"/>
    <x v="1"/>
    <x v="0"/>
  </r>
  <r>
    <x v="4530"/>
    <x v="83"/>
    <x v="1"/>
    <x v="0"/>
    <x v="7"/>
    <x v="2"/>
    <x v="4"/>
    <x v="4434"/>
    <x v="1"/>
    <x v="3"/>
  </r>
  <r>
    <x v="4531"/>
    <x v="58"/>
    <x v="1"/>
    <x v="2"/>
    <x v="5"/>
    <x v="1"/>
    <x v="0"/>
    <x v="4435"/>
    <x v="0"/>
    <x v="4"/>
  </r>
  <r>
    <x v="4532"/>
    <x v="41"/>
    <x v="0"/>
    <x v="8"/>
    <x v="9"/>
    <x v="1"/>
    <x v="4"/>
    <x v="4436"/>
    <x v="0"/>
    <x v="1"/>
  </r>
  <r>
    <x v="4533"/>
    <x v="68"/>
    <x v="1"/>
    <x v="8"/>
    <x v="6"/>
    <x v="1"/>
    <x v="7"/>
    <x v="4437"/>
    <x v="1"/>
    <x v="4"/>
  </r>
  <r>
    <x v="4534"/>
    <x v="14"/>
    <x v="0"/>
    <x v="0"/>
    <x v="4"/>
    <x v="0"/>
    <x v="12"/>
    <x v="4438"/>
    <x v="0"/>
    <x v="0"/>
  </r>
  <r>
    <x v="4535"/>
    <x v="37"/>
    <x v="1"/>
    <x v="9"/>
    <x v="0"/>
    <x v="2"/>
    <x v="11"/>
    <x v="4439"/>
    <x v="1"/>
    <x v="0"/>
  </r>
  <r>
    <x v="4536"/>
    <x v="60"/>
    <x v="0"/>
    <x v="1"/>
    <x v="2"/>
    <x v="2"/>
    <x v="9"/>
    <x v="4440"/>
    <x v="1"/>
    <x v="3"/>
  </r>
  <r>
    <x v="4537"/>
    <x v="63"/>
    <x v="1"/>
    <x v="1"/>
    <x v="2"/>
    <x v="2"/>
    <x v="9"/>
    <x v="4441"/>
    <x v="1"/>
    <x v="0"/>
  </r>
  <r>
    <x v="4538"/>
    <x v="69"/>
    <x v="1"/>
    <x v="0"/>
    <x v="1"/>
    <x v="1"/>
    <x v="13"/>
    <x v="4442"/>
    <x v="1"/>
    <x v="3"/>
  </r>
  <r>
    <x v="4539"/>
    <x v="69"/>
    <x v="0"/>
    <x v="7"/>
    <x v="8"/>
    <x v="1"/>
    <x v="8"/>
    <x v="4443"/>
    <x v="1"/>
    <x v="4"/>
  </r>
  <r>
    <x v="4540"/>
    <x v="14"/>
    <x v="0"/>
    <x v="4"/>
    <x v="3"/>
    <x v="1"/>
    <x v="9"/>
    <x v="4444"/>
    <x v="1"/>
    <x v="0"/>
  </r>
  <r>
    <x v="4541"/>
    <x v="66"/>
    <x v="1"/>
    <x v="3"/>
    <x v="7"/>
    <x v="1"/>
    <x v="2"/>
    <x v="4445"/>
    <x v="0"/>
    <x v="0"/>
  </r>
  <r>
    <x v="4542"/>
    <x v="7"/>
    <x v="1"/>
    <x v="1"/>
    <x v="8"/>
    <x v="0"/>
    <x v="5"/>
    <x v="4446"/>
    <x v="0"/>
    <x v="0"/>
  </r>
  <r>
    <x v="4543"/>
    <x v="83"/>
    <x v="1"/>
    <x v="5"/>
    <x v="4"/>
    <x v="1"/>
    <x v="13"/>
    <x v="4447"/>
    <x v="0"/>
    <x v="4"/>
  </r>
  <r>
    <x v="4544"/>
    <x v="18"/>
    <x v="1"/>
    <x v="9"/>
    <x v="3"/>
    <x v="0"/>
    <x v="11"/>
    <x v="4448"/>
    <x v="1"/>
    <x v="1"/>
  </r>
  <r>
    <x v="4545"/>
    <x v="25"/>
    <x v="1"/>
    <x v="0"/>
    <x v="3"/>
    <x v="0"/>
    <x v="10"/>
    <x v="4449"/>
    <x v="0"/>
    <x v="3"/>
  </r>
  <r>
    <x v="4546"/>
    <x v="81"/>
    <x v="1"/>
    <x v="5"/>
    <x v="6"/>
    <x v="0"/>
    <x v="12"/>
    <x v="4450"/>
    <x v="1"/>
    <x v="3"/>
  </r>
  <r>
    <x v="4547"/>
    <x v="31"/>
    <x v="1"/>
    <x v="2"/>
    <x v="1"/>
    <x v="0"/>
    <x v="14"/>
    <x v="4451"/>
    <x v="1"/>
    <x v="2"/>
  </r>
  <r>
    <x v="4548"/>
    <x v="82"/>
    <x v="0"/>
    <x v="1"/>
    <x v="7"/>
    <x v="2"/>
    <x v="14"/>
    <x v="4452"/>
    <x v="1"/>
    <x v="4"/>
  </r>
  <r>
    <x v="4549"/>
    <x v="77"/>
    <x v="0"/>
    <x v="2"/>
    <x v="5"/>
    <x v="2"/>
    <x v="10"/>
    <x v="4453"/>
    <x v="1"/>
    <x v="3"/>
  </r>
  <r>
    <x v="4550"/>
    <x v="33"/>
    <x v="1"/>
    <x v="8"/>
    <x v="0"/>
    <x v="2"/>
    <x v="1"/>
    <x v="4454"/>
    <x v="0"/>
    <x v="3"/>
  </r>
  <r>
    <x v="4551"/>
    <x v="64"/>
    <x v="1"/>
    <x v="5"/>
    <x v="3"/>
    <x v="1"/>
    <x v="8"/>
    <x v="4455"/>
    <x v="0"/>
    <x v="4"/>
  </r>
  <r>
    <x v="4552"/>
    <x v="57"/>
    <x v="1"/>
    <x v="0"/>
    <x v="4"/>
    <x v="1"/>
    <x v="0"/>
    <x v="4456"/>
    <x v="1"/>
    <x v="1"/>
  </r>
  <r>
    <x v="4553"/>
    <x v="70"/>
    <x v="0"/>
    <x v="6"/>
    <x v="5"/>
    <x v="1"/>
    <x v="7"/>
    <x v="4457"/>
    <x v="1"/>
    <x v="4"/>
  </r>
  <r>
    <x v="4554"/>
    <x v="50"/>
    <x v="1"/>
    <x v="1"/>
    <x v="3"/>
    <x v="1"/>
    <x v="12"/>
    <x v="4458"/>
    <x v="0"/>
    <x v="3"/>
  </r>
  <r>
    <x v="4555"/>
    <x v="89"/>
    <x v="1"/>
    <x v="1"/>
    <x v="6"/>
    <x v="1"/>
    <x v="14"/>
    <x v="4459"/>
    <x v="0"/>
    <x v="2"/>
  </r>
  <r>
    <x v="4556"/>
    <x v="68"/>
    <x v="1"/>
    <x v="6"/>
    <x v="4"/>
    <x v="2"/>
    <x v="10"/>
    <x v="4460"/>
    <x v="1"/>
    <x v="1"/>
  </r>
  <r>
    <x v="4557"/>
    <x v="45"/>
    <x v="1"/>
    <x v="0"/>
    <x v="2"/>
    <x v="0"/>
    <x v="3"/>
    <x v="4461"/>
    <x v="1"/>
    <x v="1"/>
  </r>
  <r>
    <x v="4558"/>
    <x v="59"/>
    <x v="0"/>
    <x v="9"/>
    <x v="2"/>
    <x v="0"/>
    <x v="8"/>
    <x v="4462"/>
    <x v="1"/>
    <x v="0"/>
  </r>
  <r>
    <x v="4559"/>
    <x v="51"/>
    <x v="1"/>
    <x v="3"/>
    <x v="4"/>
    <x v="1"/>
    <x v="11"/>
    <x v="4463"/>
    <x v="1"/>
    <x v="0"/>
  </r>
  <r>
    <x v="4560"/>
    <x v="51"/>
    <x v="1"/>
    <x v="5"/>
    <x v="3"/>
    <x v="1"/>
    <x v="1"/>
    <x v="4464"/>
    <x v="0"/>
    <x v="4"/>
  </r>
  <r>
    <x v="4561"/>
    <x v="25"/>
    <x v="1"/>
    <x v="3"/>
    <x v="7"/>
    <x v="2"/>
    <x v="2"/>
    <x v="4465"/>
    <x v="0"/>
    <x v="0"/>
  </r>
  <r>
    <x v="4562"/>
    <x v="21"/>
    <x v="1"/>
    <x v="0"/>
    <x v="1"/>
    <x v="0"/>
    <x v="1"/>
    <x v="4466"/>
    <x v="1"/>
    <x v="2"/>
  </r>
  <r>
    <x v="4563"/>
    <x v="88"/>
    <x v="1"/>
    <x v="2"/>
    <x v="3"/>
    <x v="2"/>
    <x v="0"/>
    <x v="4467"/>
    <x v="1"/>
    <x v="4"/>
  </r>
  <r>
    <x v="4564"/>
    <x v="53"/>
    <x v="1"/>
    <x v="4"/>
    <x v="5"/>
    <x v="1"/>
    <x v="5"/>
    <x v="4468"/>
    <x v="0"/>
    <x v="0"/>
  </r>
  <r>
    <x v="4565"/>
    <x v="70"/>
    <x v="1"/>
    <x v="9"/>
    <x v="5"/>
    <x v="1"/>
    <x v="0"/>
    <x v="4469"/>
    <x v="0"/>
    <x v="4"/>
  </r>
  <r>
    <x v="4566"/>
    <x v="39"/>
    <x v="0"/>
    <x v="2"/>
    <x v="0"/>
    <x v="1"/>
    <x v="14"/>
    <x v="4470"/>
    <x v="0"/>
    <x v="3"/>
  </r>
  <r>
    <x v="4567"/>
    <x v="24"/>
    <x v="1"/>
    <x v="4"/>
    <x v="7"/>
    <x v="0"/>
    <x v="11"/>
    <x v="448"/>
    <x v="0"/>
    <x v="0"/>
  </r>
  <r>
    <x v="4568"/>
    <x v="74"/>
    <x v="0"/>
    <x v="6"/>
    <x v="6"/>
    <x v="2"/>
    <x v="2"/>
    <x v="4471"/>
    <x v="0"/>
    <x v="0"/>
  </r>
  <r>
    <x v="4569"/>
    <x v="32"/>
    <x v="1"/>
    <x v="0"/>
    <x v="2"/>
    <x v="2"/>
    <x v="1"/>
    <x v="4472"/>
    <x v="1"/>
    <x v="3"/>
  </r>
  <r>
    <x v="4570"/>
    <x v="87"/>
    <x v="0"/>
    <x v="8"/>
    <x v="0"/>
    <x v="2"/>
    <x v="3"/>
    <x v="4473"/>
    <x v="0"/>
    <x v="2"/>
  </r>
  <r>
    <x v="4571"/>
    <x v="0"/>
    <x v="1"/>
    <x v="7"/>
    <x v="8"/>
    <x v="0"/>
    <x v="8"/>
    <x v="4474"/>
    <x v="1"/>
    <x v="1"/>
  </r>
  <r>
    <x v="4572"/>
    <x v="24"/>
    <x v="0"/>
    <x v="4"/>
    <x v="8"/>
    <x v="0"/>
    <x v="13"/>
    <x v="4475"/>
    <x v="0"/>
    <x v="3"/>
  </r>
  <r>
    <x v="4573"/>
    <x v="84"/>
    <x v="0"/>
    <x v="6"/>
    <x v="9"/>
    <x v="2"/>
    <x v="3"/>
    <x v="4476"/>
    <x v="1"/>
    <x v="2"/>
  </r>
  <r>
    <x v="4574"/>
    <x v="65"/>
    <x v="0"/>
    <x v="9"/>
    <x v="5"/>
    <x v="2"/>
    <x v="2"/>
    <x v="4477"/>
    <x v="1"/>
    <x v="3"/>
  </r>
  <r>
    <x v="4575"/>
    <x v="3"/>
    <x v="1"/>
    <x v="0"/>
    <x v="0"/>
    <x v="1"/>
    <x v="11"/>
    <x v="4478"/>
    <x v="0"/>
    <x v="0"/>
  </r>
  <r>
    <x v="4576"/>
    <x v="56"/>
    <x v="0"/>
    <x v="6"/>
    <x v="9"/>
    <x v="1"/>
    <x v="10"/>
    <x v="4479"/>
    <x v="1"/>
    <x v="2"/>
  </r>
  <r>
    <x v="4577"/>
    <x v="66"/>
    <x v="0"/>
    <x v="9"/>
    <x v="4"/>
    <x v="2"/>
    <x v="1"/>
    <x v="4480"/>
    <x v="0"/>
    <x v="0"/>
  </r>
  <r>
    <x v="4578"/>
    <x v="72"/>
    <x v="1"/>
    <x v="1"/>
    <x v="8"/>
    <x v="1"/>
    <x v="4"/>
    <x v="3180"/>
    <x v="0"/>
    <x v="1"/>
  </r>
  <r>
    <x v="4579"/>
    <x v="39"/>
    <x v="0"/>
    <x v="2"/>
    <x v="7"/>
    <x v="0"/>
    <x v="2"/>
    <x v="4481"/>
    <x v="1"/>
    <x v="4"/>
  </r>
  <r>
    <x v="4580"/>
    <x v="58"/>
    <x v="0"/>
    <x v="9"/>
    <x v="3"/>
    <x v="0"/>
    <x v="3"/>
    <x v="4482"/>
    <x v="0"/>
    <x v="1"/>
  </r>
  <r>
    <x v="4581"/>
    <x v="89"/>
    <x v="1"/>
    <x v="0"/>
    <x v="8"/>
    <x v="0"/>
    <x v="8"/>
    <x v="4483"/>
    <x v="1"/>
    <x v="3"/>
  </r>
  <r>
    <x v="4582"/>
    <x v="53"/>
    <x v="0"/>
    <x v="9"/>
    <x v="2"/>
    <x v="0"/>
    <x v="7"/>
    <x v="3265"/>
    <x v="1"/>
    <x v="4"/>
  </r>
  <r>
    <x v="4583"/>
    <x v="17"/>
    <x v="0"/>
    <x v="5"/>
    <x v="2"/>
    <x v="0"/>
    <x v="14"/>
    <x v="4484"/>
    <x v="0"/>
    <x v="3"/>
  </r>
  <r>
    <x v="4584"/>
    <x v="1"/>
    <x v="1"/>
    <x v="0"/>
    <x v="0"/>
    <x v="0"/>
    <x v="11"/>
    <x v="4485"/>
    <x v="0"/>
    <x v="1"/>
  </r>
  <r>
    <x v="4585"/>
    <x v="17"/>
    <x v="0"/>
    <x v="5"/>
    <x v="0"/>
    <x v="1"/>
    <x v="12"/>
    <x v="3012"/>
    <x v="1"/>
    <x v="2"/>
  </r>
  <r>
    <x v="4586"/>
    <x v="63"/>
    <x v="0"/>
    <x v="6"/>
    <x v="5"/>
    <x v="1"/>
    <x v="8"/>
    <x v="4486"/>
    <x v="1"/>
    <x v="0"/>
  </r>
  <r>
    <x v="4587"/>
    <x v="8"/>
    <x v="0"/>
    <x v="6"/>
    <x v="1"/>
    <x v="0"/>
    <x v="3"/>
    <x v="4487"/>
    <x v="0"/>
    <x v="4"/>
  </r>
  <r>
    <x v="4588"/>
    <x v="42"/>
    <x v="1"/>
    <x v="4"/>
    <x v="3"/>
    <x v="0"/>
    <x v="6"/>
    <x v="4488"/>
    <x v="1"/>
    <x v="0"/>
  </r>
  <r>
    <x v="4589"/>
    <x v="32"/>
    <x v="0"/>
    <x v="3"/>
    <x v="1"/>
    <x v="2"/>
    <x v="1"/>
    <x v="4489"/>
    <x v="1"/>
    <x v="2"/>
  </r>
  <r>
    <x v="4590"/>
    <x v="84"/>
    <x v="1"/>
    <x v="4"/>
    <x v="5"/>
    <x v="1"/>
    <x v="5"/>
    <x v="4490"/>
    <x v="0"/>
    <x v="0"/>
  </r>
  <r>
    <x v="4591"/>
    <x v="15"/>
    <x v="0"/>
    <x v="6"/>
    <x v="4"/>
    <x v="2"/>
    <x v="6"/>
    <x v="4491"/>
    <x v="0"/>
    <x v="4"/>
  </r>
  <r>
    <x v="4592"/>
    <x v="48"/>
    <x v="1"/>
    <x v="2"/>
    <x v="4"/>
    <x v="2"/>
    <x v="13"/>
    <x v="4492"/>
    <x v="1"/>
    <x v="0"/>
  </r>
  <r>
    <x v="4593"/>
    <x v="44"/>
    <x v="0"/>
    <x v="9"/>
    <x v="1"/>
    <x v="2"/>
    <x v="5"/>
    <x v="4493"/>
    <x v="1"/>
    <x v="4"/>
  </r>
  <r>
    <x v="4594"/>
    <x v="33"/>
    <x v="0"/>
    <x v="3"/>
    <x v="9"/>
    <x v="1"/>
    <x v="1"/>
    <x v="4494"/>
    <x v="0"/>
    <x v="0"/>
  </r>
  <r>
    <x v="4595"/>
    <x v="74"/>
    <x v="0"/>
    <x v="7"/>
    <x v="7"/>
    <x v="0"/>
    <x v="13"/>
    <x v="4495"/>
    <x v="1"/>
    <x v="4"/>
  </r>
  <r>
    <x v="4596"/>
    <x v="12"/>
    <x v="0"/>
    <x v="5"/>
    <x v="2"/>
    <x v="0"/>
    <x v="3"/>
    <x v="4496"/>
    <x v="1"/>
    <x v="4"/>
  </r>
  <r>
    <x v="4597"/>
    <x v="87"/>
    <x v="1"/>
    <x v="9"/>
    <x v="0"/>
    <x v="0"/>
    <x v="1"/>
    <x v="4497"/>
    <x v="0"/>
    <x v="0"/>
  </r>
  <r>
    <x v="4598"/>
    <x v="76"/>
    <x v="1"/>
    <x v="2"/>
    <x v="6"/>
    <x v="0"/>
    <x v="9"/>
    <x v="3581"/>
    <x v="1"/>
    <x v="2"/>
  </r>
  <r>
    <x v="4599"/>
    <x v="89"/>
    <x v="1"/>
    <x v="4"/>
    <x v="2"/>
    <x v="2"/>
    <x v="1"/>
    <x v="614"/>
    <x v="0"/>
    <x v="4"/>
  </r>
  <r>
    <x v="4600"/>
    <x v="20"/>
    <x v="1"/>
    <x v="1"/>
    <x v="5"/>
    <x v="0"/>
    <x v="13"/>
    <x v="4498"/>
    <x v="1"/>
    <x v="4"/>
  </r>
  <r>
    <x v="4601"/>
    <x v="45"/>
    <x v="0"/>
    <x v="7"/>
    <x v="5"/>
    <x v="1"/>
    <x v="7"/>
    <x v="4499"/>
    <x v="0"/>
    <x v="2"/>
  </r>
  <r>
    <x v="4602"/>
    <x v="35"/>
    <x v="1"/>
    <x v="4"/>
    <x v="6"/>
    <x v="0"/>
    <x v="11"/>
    <x v="4500"/>
    <x v="1"/>
    <x v="1"/>
  </r>
  <r>
    <x v="4603"/>
    <x v="37"/>
    <x v="1"/>
    <x v="0"/>
    <x v="7"/>
    <x v="1"/>
    <x v="12"/>
    <x v="4501"/>
    <x v="0"/>
    <x v="1"/>
  </r>
  <r>
    <x v="4604"/>
    <x v="84"/>
    <x v="0"/>
    <x v="6"/>
    <x v="1"/>
    <x v="2"/>
    <x v="12"/>
    <x v="4502"/>
    <x v="1"/>
    <x v="3"/>
  </r>
  <r>
    <x v="4605"/>
    <x v="64"/>
    <x v="0"/>
    <x v="8"/>
    <x v="9"/>
    <x v="0"/>
    <x v="6"/>
    <x v="4503"/>
    <x v="0"/>
    <x v="0"/>
  </r>
  <r>
    <x v="4606"/>
    <x v="3"/>
    <x v="1"/>
    <x v="9"/>
    <x v="1"/>
    <x v="1"/>
    <x v="9"/>
    <x v="4504"/>
    <x v="0"/>
    <x v="0"/>
  </r>
  <r>
    <x v="4607"/>
    <x v="5"/>
    <x v="1"/>
    <x v="9"/>
    <x v="5"/>
    <x v="0"/>
    <x v="2"/>
    <x v="4505"/>
    <x v="1"/>
    <x v="3"/>
  </r>
  <r>
    <x v="4608"/>
    <x v="27"/>
    <x v="1"/>
    <x v="1"/>
    <x v="3"/>
    <x v="2"/>
    <x v="1"/>
    <x v="4506"/>
    <x v="1"/>
    <x v="4"/>
  </r>
  <r>
    <x v="4609"/>
    <x v="71"/>
    <x v="0"/>
    <x v="8"/>
    <x v="9"/>
    <x v="0"/>
    <x v="2"/>
    <x v="4507"/>
    <x v="1"/>
    <x v="2"/>
  </r>
  <r>
    <x v="4610"/>
    <x v="70"/>
    <x v="0"/>
    <x v="6"/>
    <x v="5"/>
    <x v="0"/>
    <x v="3"/>
    <x v="4508"/>
    <x v="0"/>
    <x v="2"/>
  </r>
  <r>
    <x v="4611"/>
    <x v="37"/>
    <x v="1"/>
    <x v="1"/>
    <x v="6"/>
    <x v="2"/>
    <x v="7"/>
    <x v="379"/>
    <x v="1"/>
    <x v="0"/>
  </r>
  <r>
    <x v="4612"/>
    <x v="70"/>
    <x v="1"/>
    <x v="5"/>
    <x v="2"/>
    <x v="2"/>
    <x v="5"/>
    <x v="466"/>
    <x v="0"/>
    <x v="4"/>
  </r>
  <r>
    <x v="4613"/>
    <x v="59"/>
    <x v="1"/>
    <x v="8"/>
    <x v="5"/>
    <x v="2"/>
    <x v="2"/>
    <x v="4509"/>
    <x v="0"/>
    <x v="3"/>
  </r>
  <r>
    <x v="4614"/>
    <x v="13"/>
    <x v="1"/>
    <x v="8"/>
    <x v="2"/>
    <x v="0"/>
    <x v="13"/>
    <x v="4510"/>
    <x v="0"/>
    <x v="0"/>
  </r>
  <r>
    <x v="4615"/>
    <x v="0"/>
    <x v="1"/>
    <x v="9"/>
    <x v="2"/>
    <x v="1"/>
    <x v="1"/>
    <x v="4511"/>
    <x v="0"/>
    <x v="3"/>
  </r>
  <r>
    <x v="4616"/>
    <x v="0"/>
    <x v="0"/>
    <x v="7"/>
    <x v="4"/>
    <x v="1"/>
    <x v="9"/>
    <x v="4512"/>
    <x v="0"/>
    <x v="3"/>
  </r>
  <r>
    <x v="4617"/>
    <x v="79"/>
    <x v="1"/>
    <x v="0"/>
    <x v="2"/>
    <x v="0"/>
    <x v="0"/>
    <x v="4513"/>
    <x v="0"/>
    <x v="3"/>
  </r>
  <r>
    <x v="4618"/>
    <x v="66"/>
    <x v="1"/>
    <x v="5"/>
    <x v="0"/>
    <x v="2"/>
    <x v="12"/>
    <x v="4514"/>
    <x v="1"/>
    <x v="3"/>
  </r>
  <r>
    <x v="4619"/>
    <x v="76"/>
    <x v="1"/>
    <x v="2"/>
    <x v="7"/>
    <x v="1"/>
    <x v="1"/>
    <x v="4515"/>
    <x v="1"/>
    <x v="4"/>
  </r>
  <r>
    <x v="4620"/>
    <x v="7"/>
    <x v="0"/>
    <x v="3"/>
    <x v="7"/>
    <x v="0"/>
    <x v="1"/>
    <x v="4516"/>
    <x v="1"/>
    <x v="0"/>
  </r>
  <r>
    <x v="4621"/>
    <x v="82"/>
    <x v="0"/>
    <x v="4"/>
    <x v="1"/>
    <x v="0"/>
    <x v="4"/>
    <x v="4517"/>
    <x v="0"/>
    <x v="0"/>
  </r>
  <r>
    <x v="4622"/>
    <x v="87"/>
    <x v="0"/>
    <x v="2"/>
    <x v="6"/>
    <x v="2"/>
    <x v="13"/>
    <x v="4518"/>
    <x v="1"/>
    <x v="4"/>
  </r>
  <r>
    <x v="4623"/>
    <x v="55"/>
    <x v="0"/>
    <x v="8"/>
    <x v="7"/>
    <x v="2"/>
    <x v="5"/>
    <x v="4519"/>
    <x v="1"/>
    <x v="1"/>
  </r>
  <r>
    <x v="4624"/>
    <x v="55"/>
    <x v="1"/>
    <x v="8"/>
    <x v="3"/>
    <x v="0"/>
    <x v="11"/>
    <x v="4520"/>
    <x v="0"/>
    <x v="1"/>
  </r>
  <r>
    <x v="4625"/>
    <x v="9"/>
    <x v="1"/>
    <x v="2"/>
    <x v="5"/>
    <x v="0"/>
    <x v="4"/>
    <x v="4521"/>
    <x v="1"/>
    <x v="1"/>
  </r>
  <r>
    <x v="4626"/>
    <x v="26"/>
    <x v="0"/>
    <x v="2"/>
    <x v="9"/>
    <x v="2"/>
    <x v="6"/>
    <x v="4522"/>
    <x v="0"/>
    <x v="0"/>
  </r>
  <r>
    <x v="4627"/>
    <x v="79"/>
    <x v="1"/>
    <x v="5"/>
    <x v="1"/>
    <x v="2"/>
    <x v="11"/>
    <x v="2544"/>
    <x v="0"/>
    <x v="0"/>
  </r>
  <r>
    <x v="4628"/>
    <x v="73"/>
    <x v="1"/>
    <x v="7"/>
    <x v="7"/>
    <x v="2"/>
    <x v="9"/>
    <x v="4523"/>
    <x v="1"/>
    <x v="2"/>
  </r>
  <r>
    <x v="4629"/>
    <x v="34"/>
    <x v="1"/>
    <x v="1"/>
    <x v="4"/>
    <x v="2"/>
    <x v="5"/>
    <x v="4524"/>
    <x v="0"/>
    <x v="3"/>
  </r>
  <r>
    <x v="4630"/>
    <x v="29"/>
    <x v="0"/>
    <x v="1"/>
    <x v="8"/>
    <x v="0"/>
    <x v="1"/>
    <x v="4525"/>
    <x v="1"/>
    <x v="2"/>
  </r>
  <r>
    <x v="4631"/>
    <x v="37"/>
    <x v="0"/>
    <x v="0"/>
    <x v="1"/>
    <x v="2"/>
    <x v="2"/>
    <x v="4526"/>
    <x v="1"/>
    <x v="1"/>
  </r>
  <r>
    <x v="4632"/>
    <x v="28"/>
    <x v="0"/>
    <x v="3"/>
    <x v="1"/>
    <x v="2"/>
    <x v="3"/>
    <x v="4527"/>
    <x v="1"/>
    <x v="1"/>
  </r>
  <r>
    <x v="4633"/>
    <x v="39"/>
    <x v="0"/>
    <x v="8"/>
    <x v="3"/>
    <x v="0"/>
    <x v="13"/>
    <x v="4528"/>
    <x v="0"/>
    <x v="0"/>
  </r>
  <r>
    <x v="4634"/>
    <x v="88"/>
    <x v="0"/>
    <x v="3"/>
    <x v="3"/>
    <x v="0"/>
    <x v="3"/>
    <x v="4529"/>
    <x v="0"/>
    <x v="1"/>
  </r>
  <r>
    <x v="4635"/>
    <x v="79"/>
    <x v="0"/>
    <x v="1"/>
    <x v="9"/>
    <x v="2"/>
    <x v="4"/>
    <x v="4530"/>
    <x v="0"/>
    <x v="2"/>
  </r>
  <r>
    <x v="4636"/>
    <x v="29"/>
    <x v="0"/>
    <x v="7"/>
    <x v="9"/>
    <x v="0"/>
    <x v="6"/>
    <x v="4531"/>
    <x v="1"/>
    <x v="1"/>
  </r>
  <r>
    <x v="4637"/>
    <x v="28"/>
    <x v="0"/>
    <x v="4"/>
    <x v="5"/>
    <x v="0"/>
    <x v="0"/>
    <x v="2540"/>
    <x v="0"/>
    <x v="2"/>
  </r>
  <r>
    <x v="4638"/>
    <x v="50"/>
    <x v="0"/>
    <x v="9"/>
    <x v="7"/>
    <x v="2"/>
    <x v="3"/>
    <x v="4532"/>
    <x v="0"/>
    <x v="2"/>
  </r>
  <r>
    <x v="4639"/>
    <x v="68"/>
    <x v="1"/>
    <x v="6"/>
    <x v="6"/>
    <x v="1"/>
    <x v="13"/>
    <x v="4533"/>
    <x v="1"/>
    <x v="3"/>
  </r>
  <r>
    <x v="4640"/>
    <x v="69"/>
    <x v="1"/>
    <x v="3"/>
    <x v="4"/>
    <x v="0"/>
    <x v="13"/>
    <x v="488"/>
    <x v="1"/>
    <x v="0"/>
  </r>
  <r>
    <x v="4641"/>
    <x v="60"/>
    <x v="0"/>
    <x v="2"/>
    <x v="4"/>
    <x v="0"/>
    <x v="9"/>
    <x v="4534"/>
    <x v="1"/>
    <x v="3"/>
  </r>
  <r>
    <x v="4642"/>
    <x v="74"/>
    <x v="1"/>
    <x v="0"/>
    <x v="3"/>
    <x v="0"/>
    <x v="12"/>
    <x v="4535"/>
    <x v="1"/>
    <x v="3"/>
  </r>
  <r>
    <x v="4643"/>
    <x v="12"/>
    <x v="0"/>
    <x v="3"/>
    <x v="4"/>
    <x v="0"/>
    <x v="10"/>
    <x v="4536"/>
    <x v="0"/>
    <x v="2"/>
  </r>
  <r>
    <x v="4644"/>
    <x v="48"/>
    <x v="1"/>
    <x v="3"/>
    <x v="7"/>
    <x v="1"/>
    <x v="7"/>
    <x v="4537"/>
    <x v="1"/>
    <x v="3"/>
  </r>
  <r>
    <x v="4645"/>
    <x v="63"/>
    <x v="0"/>
    <x v="5"/>
    <x v="0"/>
    <x v="2"/>
    <x v="5"/>
    <x v="4538"/>
    <x v="0"/>
    <x v="1"/>
  </r>
  <r>
    <x v="4646"/>
    <x v="82"/>
    <x v="1"/>
    <x v="1"/>
    <x v="4"/>
    <x v="1"/>
    <x v="9"/>
    <x v="4539"/>
    <x v="1"/>
    <x v="1"/>
  </r>
  <r>
    <x v="4647"/>
    <x v="19"/>
    <x v="1"/>
    <x v="1"/>
    <x v="1"/>
    <x v="1"/>
    <x v="4"/>
    <x v="4540"/>
    <x v="1"/>
    <x v="1"/>
  </r>
  <r>
    <x v="4648"/>
    <x v="16"/>
    <x v="1"/>
    <x v="4"/>
    <x v="7"/>
    <x v="2"/>
    <x v="1"/>
    <x v="4541"/>
    <x v="1"/>
    <x v="1"/>
  </r>
  <r>
    <x v="4649"/>
    <x v="78"/>
    <x v="1"/>
    <x v="0"/>
    <x v="3"/>
    <x v="2"/>
    <x v="9"/>
    <x v="4542"/>
    <x v="1"/>
    <x v="0"/>
  </r>
  <r>
    <x v="4650"/>
    <x v="59"/>
    <x v="0"/>
    <x v="4"/>
    <x v="0"/>
    <x v="1"/>
    <x v="6"/>
    <x v="4543"/>
    <x v="1"/>
    <x v="4"/>
  </r>
  <r>
    <x v="4651"/>
    <x v="67"/>
    <x v="0"/>
    <x v="8"/>
    <x v="6"/>
    <x v="0"/>
    <x v="4"/>
    <x v="4544"/>
    <x v="0"/>
    <x v="3"/>
  </r>
  <r>
    <x v="4652"/>
    <x v="56"/>
    <x v="1"/>
    <x v="8"/>
    <x v="6"/>
    <x v="1"/>
    <x v="10"/>
    <x v="4545"/>
    <x v="0"/>
    <x v="4"/>
  </r>
  <r>
    <x v="4653"/>
    <x v="31"/>
    <x v="1"/>
    <x v="3"/>
    <x v="3"/>
    <x v="2"/>
    <x v="1"/>
    <x v="4546"/>
    <x v="0"/>
    <x v="2"/>
  </r>
  <r>
    <x v="4654"/>
    <x v="26"/>
    <x v="1"/>
    <x v="9"/>
    <x v="0"/>
    <x v="1"/>
    <x v="6"/>
    <x v="3138"/>
    <x v="1"/>
    <x v="3"/>
  </r>
  <r>
    <x v="4655"/>
    <x v="30"/>
    <x v="0"/>
    <x v="8"/>
    <x v="7"/>
    <x v="2"/>
    <x v="3"/>
    <x v="4547"/>
    <x v="1"/>
    <x v="4"/>
  </r>
  <r>
    <x v="4656"/>
    <x v="71"/>
    <x v="0"/>
    <x v="1"/>
    <x v="6"/>
    <x v="1"/>
    <x v="4"/>
    <x v="4548"/>
    <x v="1"/>
    <x v="0"/>
  </r>
  <r>
    <x v="4657"/>
    <x v="37"/>
    <x v="0"/>
    <x v="2"/>
    <x v="6"/>
    <x v="1"/>
    <x v="4"/>
    <x v="4549"/>
    <x v="1"/>
    <x v="0"/>
  </r>
  <r>
    <x v="4658"/>
    <x v="43"/>
    <x v="0"/>
    <x v="4"/>
    <x v="1"/>
    <x v="1"/>
    <x v="14"/>
    <x v="4550"/>
    <x v="1"/>
    <x v="1"/>
  </r>
  <r>
    <x v="4659"/>
    <x v="10"/>
    <x v="0"/>
    <x v="9"/>
    <x v="8"/>
    <x v="2"/>
    <x v="14"/>
    <x v="4551"/>
    <x v="1"/>
    <x v="1"/>
  </r>
  <r>
    <x v="4660"/>
    <x v="75"/>
    <x v="1"/>
    <x v="9"/>
    <x v="0"/>
    <x v="0"/>
    <x v="3"/>
    <x v="4552"/>
    <x v="0"/>
    <x v="3"/>
  </r>
  <r>
    <x v="4661"/>
    <x v="87"/>
    <x v="1"/>
    <x v="1"/>
    <x v="2"/>
    <x v="0"/>
    <x v="8"/>
    <x v="4553"/>
    <x v="0"/>
    <x v="1"/>
  </r>
  <r>
    <x v="4662"/>
    <x v="0"/>
    <x v="0"/>
    <x v="7"/>
    <x v="8"/>
    <x v="2"/>
    <x v="0"/>
    <x v="4554"/>
    <x v="1"/>
    <x v="0"/>
  </r>
  <r>
    <x v="4663"/>
    <x v="57"/>
    <x v="1"/>
    <x v="6"/>
    <x v="7"/>
    <x v="0"/>
    <x v="9"/>
    <x v="4555"/>
    <x v="0"/>
    <x v="1"/>
  </r>
  <r>
    <x v="4664"/>
    <x v="51"/>
    <x v="1"/>
    <x v="4"/>
    <x v="4"/>
    <x v="1"/>
    <x v="1"/>
    <x v="1380"/>
    <x v="0"/>
    <x v="1"/>
  </r>
  <r>
    <x v="4665"/>
    <x v="31"/>
    <x v="0"/>
    <x v="0"/>
    <x v="7"/>
    <x v="0"/>
    <x v="14"/>
    <x v="4556"/>
    <x v="0"/>
    <x v="3"/>
  </r>
  <r>
    <x v="4666"/>
    <x v="77"/>
    <x v="1"/>
    <x v="2"/>
    <x v="6"/>
    <x v="2"/>
    <x v="0"/>
    <x v="4557"/>
    <x v="1"/>
    <x v="2"/>
  </r>
  <r>
    <x v="4667"/>
    <x v="71"/>
    <x v="0"/>
    <x v="6"/>
    <x v="9"/>
    <x v="1"/>
    <x v="2"/>
    <x v="4558"/>
    <x v="1"/>
    <x v="4"/>
  </r>
  <r>
    <x v="4668"/>
    <x v="73"/>
    <x v="1"/>
    <x v="0"/>
    <x v="3"/>
    <x v="2"/>
    <x v="0"/>
    <x v="4559"/>
    <x v="1"/>
    <x v="0"/>
  </r>
  <r>
    <x v="4669"/>
    <x v="16"/>
    <x v="0"/>
    <x v="6"/>
    <x v="1"/>
    <x v="0"/>
    <x v="11"/>
    <x v="4560"/>
    <x v="1"/>
    <x v="2"/>
  </r>
  <r>
    <x v="4670"/>
    <x v="60"/>
    <x v="1"/>
    <x v="8"/>
    <x v="9"/>
    <x v="2"/>
    <x v="12"/>
    <x v="4561"/>
    <x v="1"/>
    <x v="4"/>
  </r>
  <r>
    <x v="4671"/>
    <x v="79"/>
    <x v="1"/>
    <x v="8"/>
    <x v="2"/>
    <x v="1"/>
    <x v="11"/>
    <x v="4562"/>
    <x v="0"/>
    <x v="4"/>
  </r>
  <r>
    <x v="4672"/>
    <x v="50"/>
    <x v="0"/>
    <x v="0"/>
    <x v="0"/>
    <x v="1"/>
    <x v="3"/>
    <x v="4563"/>
    <x v="1"/>
    <x v="4"/>
  </r>
  <r>
    <x v="4673"/>
    <x v="13"/>
    <x v="0"/>
    <x v="9"/>
    <x v="6"/>
    <x v="0"/>
    <x v="4"/>
    <x v="4564"/>
    <x v="1"/>
    <x v="0"/>
  </r>
  <r>
    <x v="4674"/>
    <x v="28"/>
    <x v="0"/>
    <x v="5"/>
    <x v="7"/>
    <x v="0"/>
    <x v="10"/>
    <x v="4565"/>
    <x v="1"/>
    <x v="4"/>
  </r>
  <r>
    <x v="4675"/>
    <x v="4"/>
    <x v="0"/>
    <x v="9"/>
    <x v="5"/>
    <x v="1"/>
    <x v="7"/>
    <x v="4566"/>
    <x v="0"/>
    <x v="2"/>
  </r>
  <r>
    <x v="4676"/>
    <x v="0"/>
    <x v="1"/>
    <x v="3"/>
    <x v="3"/>
    <x v="0"/>
    <x v="12"/>
    <x v="4567"/>
    <x v="1"/>
    <x v="0"/>
  </r>
  <r>
    <x v="4677"/>
    <x v="75"/>
    <x v="0"/>
    <x v="3"/>
    <x v="3"/>
    <x v="2"/>
    <x v="12"/>
    <x v="4568"/>
    <x v="1"/>
    <x v="4"/>
  </r>
  <r>
    <x v="4678"/>
    <x v="0"/>
    <x v="0"/>
    <x v="8"/>
    <x v="6"/>
    <x v="1"/>
    <x v="11"/>
    <x v="4569"/>
    <x v="1"/>
    <x v="3"/>
  </r>
  <r>
    <x v="4679"/>
    <x v="41"/>
    <x v="0"/>
    <x v="8"/>
    <x v="1"/>
    <x v="0"/>
    <x v="14"/>
    <x v="4570"/>
    <x v="1"/>
    <x v="1"/>
  </r>
  <r>
    <x v="4680"/>
    <x v="81"/>
    <x v="0"/>
    <x v="9"/>
    <x v="1"/>
    <x v="1"/>
    <x v="3"/>
    <x v="4571"/>
    <x v="1"/>
    <x v="3"/>
  </r>
  <r>
    <x v="4681"/>
    <x v="12"/>
    <x v="1"/>
    <x v="7"/>
    <x v="3"/>
    <x v="2"/>
    <x v="2"/>
    <x v="4572"/>
    <x v="1"/>
    <x v="3"/>
  </r>
  <r>
    <x v="4682"/>
    <x v="2"/>
    <x v="1"/>
    <x v="6"/>
    <x v="8"/>
    <x v="2"/>
    <x v="11"/>
    <x v="4573"/>
    <x v="1"/>
    <x v="3"/>
  </r>
  <r>
    <x v="4683"/>
    <x v="12"/>
    <x v="1"/>
    <x v="4"/>
    <x v="1"/>
    <x v="2"/>
    <x v="6"/>
    <x v="4574"/>
    <x v="1"/>
    <x v="4"/>
  </r>
  <r>
    <x v="4684"/>
    <x v="5"/>
    <x v="0"/>
    <x v="4"/>
    <x v="2"/>
    <x v="2"/>
    <x v="5"/>
    <x v="4575"/>
    <x v="1"/>
    <x v="2"/>
  </r>
  <r>
    <x v="4685"/>
    <x v="21"/>
    <x v="0"/>
    <x v="8"/>
    <x v="7"/>
    <x v="0"/>
    <x v="5"/>
    <x v="4576"/>
    <x v="1"/>
    <x v="4"/>
  </r>
  <r>
    <x v="4686"/>
    <x v="23"/>
    <x v="1"/>
    <x v="6"/>
    <x v="1"/>
    <x v="0"/>
    <x v="4"/>
    <x v="4577"/>
    <x v="1"/>
    <x v="2"/>
  </r>
  <r>
    <x v="4687"/>
    <x v="36"/>
    <x v="1"/>
    <x v="3"/>
    <x v="1"/>
    <x v="0"/>
    <x v="1"/>
    <x v="4578"/>
    <x v="0"/>
    <x v="2"/>
  </r>
  <r>
    <x v="4688"/>
    <x v="9"/>
    <x v="1"/>
    <x v="6"/>
    <x v="0"/>
    <x v="0"/>
    <x v="11"/>
    <x v="4579"/>
    <x v="1"/>
    <x v="1"/>
  </r>
  <r>
    <x v="4689"/>
    <x v="24"/>
    <x v="0"/>
    <x v="1"/>
    <x v="6"/>
    <x v="1"/>
    <x v="9"/>
    <x v="4580"/>
    <x v="0"/>
    <x v="0"/>
  </r>
  <r>
    <x v="4690"/>
    <x v="51"/>
    <x v="1"/>
    <x v="4"/>
    <x v="6"/>
    <x v="0"/>
    <x v="12"/>
    <x v="4581"/>
    <x v="1"/>
    <x v="4"/>
  </r>
  <r>
    <x v="4691"/>
    <x v="84"/>
    <x v="1"/>
    <x v="6"/>
    <x v="1"/>
    <x v="0"/>
    <x v="6"/>
    <x v="4582"/>
    <x v="0"/>
    <x v="1"/>
  </r>
  <r>
    <x v="4692"/>
    <x v="28"/>
    <x v="1"/>
    <x v="0"/>
    <x v="1"/>
    <x v="0"/>
    <x v="13"/>
    <x v="4583"/>
    <x v="1"/>
    <x v="4"/>
  </r>
  <r>
    <x v="4693"/>
    <x v="62"/>
    <x v="0"/>
    <x v="3"/>
    <x v="3"/>
    <x v="1"/>
    <x v="14"/>
    <x v="4584"/>
    <x v="1"/>
    <x v="4"/>
  </r>
  <r>
    <x v="4694"/>
    <x v="69"/>
    <x v="0"/>
    <x v="4"/>
    <x v="6"/>
    <x v="2"/>
    <x v="0"/>
    <x v="4585"/>
    <x v="1"/>
    <x v="3"/>
  </r>
  <r>
    <x v="4695"/>
    <x v="84"/>
    <x v="0"/>
    <x v="1"/>
    <x v="9"/>
    <x v="1"/>
    <x v="12"/>
    <x v="4586"/>
    <x v="1"/>
    <x v="1"/>
  </r>
  <r>
    <x v="4696"/>
    <x v="34"/>
    <x v="0"/>
    <x v="9"/>
    <x v="7"/>
    <x v="2"/>
    <x v="4"/>
    <x v="4587"/>
    <x v="1"/>
    <x v="0"/>
  </r>
  <r>
    <x v="4697"/>
    <x v="68"/>
    <x v="0"/>
    <x v="5"/>
    <x v="6"/>
    <x v="0"/>
    <x v="12"/>
    <x v="4588"/>
    <x v="0"/>
    <x v="1"/>
  </r>
  <r>
    <x v="4698"/>
    <x v="15"/>
    <x v="1"/>
    <x v="1"/>
    <x v="0"/>
    <x v="2"/>
    <x v="7"/>
    <x v="4589"/>
    <x v="0"/>
    <x v="1"/>
  </r>
  <r>
    <x v="4699"/>
    <x v="43"/>
    <x v="1"/>
    <x v="8"/>
    <x v="0"/>
    <x v="0"/>
    <x v="9"/>
    <x v="4590"/>
    <x v="0"/>
    <x v="4"/>
  </r>
  <r>
    <x v="4700"/>
    <x v="77"/>
    <x v="1"/>
    <x v="3"/>
    <x v="8"/>
    <x v="0"/>
    <x v="9"/>
    <x v="4591"/>
    <x v="0"/>
    <x v="0"/>
  </r>
  <r>
    <x v="4701"/>
    <x v="22"/>
    <x v="0"/>
    <x v="9"/>
    <x v="0"/>
    <x v="0"/>
    <x v="11"/>
    <x v="4592"/>
    <x v="0"/>
    <x v="3"/>
  </r>
  <r>
    <x v="4702"/>
    <x v="44"/>
    <x v="1"/>
    <x v="1"/>
    <x v="1"/>
    <x v="0"/>
    <x v="5"/>
    <x v="4593"/>
    <x v="0"/>
    <x v="3"/>
  </r>
  <r>
    <x v="4703"/>
    <x v="48"/>
    <x v="1"/>
    <x v="1"/>
    <x v="1"/>
    <x v="0"/>
    <x v="1"/>
    <x v="4594"/>
    <x v="1"/>
    <x v="0"/>
  </r>
  <r>
    <x v="4704"/>
    <x v="18"/>
    <x v="1"/>
    <x v="8"/>
    <x v="7"/>
    <x v="0"/>
    <x v="11"/>
    <x v="4595"/>
    <x v="1"/>
    <x v="4"/>
  </r>
  <r>
    <x v="4705"/>
    <x v="77"/>
    <x v="0"/>
    <x v="1"/>
    <x v="9"/>
    <x v="0"/>
    <x v="9"/>
    <x v="4596"/>
    <x v="0"/>
    <x v="4"/>
  </r>
  <r>
    <x v="4706"/>
    <x v="68"/>
    <x v="1"/>
    <x v="4"/>
    <x v="7"/>
    <x v="0"/>
    <x v="0"/>
    <x v="4597"/>
    <x v="0"/>
    <x v="0"/>
  </r>
  <r>
    <x v="4707"/>
    <x v="13"/>
    <x v="1"/>
    <x v="2"/>
    <x v="2"/>
    <x v="1"/>
    <x v="7"/>
    <x v="4598"/>
    <x v="0"/>
    <x v="1"/>
  </r>
  <r>
    <x v="4708"/>
    <x v="49"/>
    <x v="1"/>
    <x v="9"/>
    <x v="4"/>
    <x v="2"/>
    <x v="11"/>
    <x v="4599"/>
    <x v="0"/>
    <x v="4"/>
  </r>
  <r>
    <x v="4709"/>
    <x v="16"/>
    <x v="0"/>
    <x v="1"/>
    <x v="0"/>
    <x v="1"/>
    <x v="12"/>
    <x v="4600"/>
    <x v="1"/>
    <x v="3"/>
  </r>
  <r>
    <x v="4710"/>
    <x v="17"/>
    <x v="1"/>
    <x v="1"/>
    <x v="1"/>
    <x v="2"/>
    <x v="3"/>
    <x v="4601"/>
    <x v="1"/>
    <x v="1"/>
  </r>
  <r>
    <x v="4711"/>
    <x v="38"/>
    <x v="0"/>
    <x v="0"/>
    <x v="5"/>
    <x v="2"/>
    <x v="9"/>
    <x v="4602"/>
    <x v="0"/>
    <x v="1"/>
  </r>
  <r>
    <x v="4712"/>
    <x v="60"/>
    <x v="0"/>
    <x v="3"/>
    <x v="0"/>
    <x v="0"/>
    <x v="12"/>
    <x v="4603"/>
    <x v="0"/>
    <x v="2"/>
  </r>
  <r>
    <x v="4713"/>
    <x v="36"/>
    <x v="1"/>
    <x v="6"/>
    <x v="5"/>
    <x v="0"/>
    <x v="8"/>
    <x v="4604"/>
    <x v="0"/>
    <x v="3"/>
  </r>
  <r>
    <x v="4714"/>
    <x v="27"/>
    <x v="1"/>
    <x v="6"/>
    <x v="6"/>
    <x v="2"/>
    <x v="10"/>
    <x v="4605"/>
    <x v="1"/>
    <x v="3"/>
  </r>
  <r>
    <x v="4715"/>
    <x v="14"/>
    <x v="0"/>
    <x v="3"/>
    <x v="5"/>
    <x v="0"/>
    <x v="6"/>
    <x v="4606"/>
    <x v="0"/>
    <x v="0"/>
  </r>
  <r>
    <x v="4716"/>
    <x v="24"/>
    <x v="0"/>
    <x v="5"/>
    <x v="1"/>
    <x v="1"/>
    <x v="7"/>
    <x v="4607"/>
    <x v="0"/>
    <x v="4"/>
  </r>
  <r>
    <x v="4717"/>
    <x v="12"/>
    <x v="0"/>
    <x v="5"/>
    <x v="2"/>
    <x v="2"/>
    <x v="7"/>
    <x v="4608"/>
    <x v="0"/>
    <x v="2"/>
  </r>
  <r>
    <x v="4718"/>
    <x v="0"/>
    <x v="1"/>
    <x v="7"/>
    <x v="9"/>
    <x v="0"/>
    <x v="6"/>
    <x v="4609"/>
    <x v="1"/>
    <x v="2"/>
  </r>
  <r>
    <x v="4719"/>
    <x v="62"/>
    <x v="1"/>
    <x v="5"/>
    <x v="2"/>
    <x v="0"/>
    <x v="0"/>
    <x v="4610"/>
    <x v="1"/>
    <x v="0"/>
  </r>
  <r>
    <x v="4720"/>
    <x v="10"/>
    <x v="0"/>
    <x v="6"/>
    <x v="6"/>
    <x v="1"/>
    <x v="12"/>
    <x v="4611"/>
    <x v="1"/>
    <x v="3"/>
  </r>
  <r>
    <x v="4721"/>
    <x v="33"/>
    <x v="1"/>
    <x v="9"/>
    <x v="3"/>
    <x v="0"/>
    <x v="1"/>
    <x v="3110"/>
    <x v="1"/>
    <x v="1"/>
  </r>
  <r>
    <x v="4722"/>
    <x v="57"/>
    <x v="0"/>
    <x v="3"/>
    <x v="7"/>
    <x v="1"/>
    <x v="13"/>
    <x v="4612"/>
    <x v="1"/>
    <x v="4"/>
  </r>
  <r>
    <x v="4723"/>
    <x v="84"/>
    <x v="1"/>
    <x v="1"/>
    <x v="1"/>
    <x v="1"/>
    <x v="4"/>
    <x v="2547"/>
    <x v="1"/>
    <x v="0"/>
  </r>
  <r>
    <x v="4724"/>
    <x v="84"/>
    <x v="0"/>
    <x v="5"/>
    <x v="0"/>
    <x v="2"/>
    <x v="6"/>
    <x v="4613"/>
    <x v="1"/>
    <x v="3"/>
  </r>
  <r>
    <x v="4725"/>
    <x v="42"/>
    <x v="0"/>
    <x v="2"/>
    <x v="7"/>
    <x v="0"/>
    <x v="9"/>
    <x v="4614"/>
    <x v="0"/>
    <x v="0"/>
  </r>
  <r>
    <x v="4726"/>
    <x v="41"/>
    <x v="0"/>
    <x v="6"/>
    <x v="4"/>
    <x v="0"/>
    <x v="8"/>
    <x v="4615"/>
    <x v="1"/>
    <x v="0"/>
  </r>
  <r>
    <x v="4727"/>
    <x v="28"/>
    <x v="1"/>
    <x v="5"/>
    <x v="7"/>
    <x v="0"/>
    <x v="9"/>
    <x v="4616"/>
    <x v="1"/>
    <x v="4"/>
  </r>
  <r>
    <x v="4728"/>
    <x v="46"/>
    <x v="0"/>
    <x v="5"/>
    <x v="5"/>
    <x v="2"/>
    <x v="11"/>
    <x v="4617"/>
    <x v="0"/>
    <x v="0"/>
  </r>
  <r>
    <x v="4729"/>
    <x v="31"/>
    <x v="1"/>
    <x v="6"/>
    <x v="5"/>
    <x v="1"/>
    <x v="7"/>
    <x v="4618"/>
    <x v="0"/>
    <x v="1"/>
  </r>
  <r>
    <x v="4730"/>
    <x v="17"/>
    <x v="1"/>
    <x v="8"/>
    <x v="1"/>
    <x v="2"/>
    <x v="3"/>
    <x v="4619"/>
    <x v="0"/>
    <x v="1"/>
  </r>
  <r>
    <x v="4731"/>
    <x v="5"/>
    <x v="0"/>
    <x v="5"/>
    <x v="5"/>
    <x v="2"/>
    <x v="14"/>
    <x v="4620"/>
    <x v="1"/>
    <x v="0"/>
  </r>
  <r>
    <x v="4732"/>
    <x v="24"/>
    <x v="0"/>
    <x v="3"/>
    <x v="8"/>
    <x v="0"/>
    <x v="1"/>
    <x v="4621"/>
    <x v="0"/>
    <x v="1"/>
  </r>
  <r>
    <x v="4733"/>
    <x v="15"/>
    <x v="0"/>
    <x v="8"/>
    <x v="0"/>
    <x v="0"/>
    <x v="8"/>
    <x v="4622"/>
    <x v="1"/>
    <x v="1"/>
  </r>
  <r>
    <x v="4734"/>
    <x v="20"/>
    <x v="1"/>
    <x v="6"/>
    <x v="2"/>
    <x v="0"/>
    <x v="7"/>
    <x v="4623"/>
    <x v="0"/>
    <x v="0"/>
  </r>
  <r>
    <x v="4735"/>
    <x v="73"/>
    <x v="1"/>
    <x v="9"/>
    <x v="2"/>
    <x v="2"/>
    <x v="2"/>
    <x v="4624"/>
    <x v="1"/>
    <x v="2"/>
  </r>
  <r>
    <x v="4736"/>
    <x v="76"/>
    <x v="0"/>
    <x v="1"/>
    <x v="5"/>
    <x v="0"/>
    <x v="5"/>
    <x v="4625"/>
    <x v="1"/>
    <x v="0"/>
  </r>
  <r>
    <x v="4737"/>
    <x v="84"/>
    <x v="1"/>
    <x v="8"/>
    <x v="3"/>
    <x v="1"/>
    <x v="8"/>
    <x v="4626"/>
    <x v="0"/>
    <x v="0"/>
  </r>
  <r>
    <x v="4738"/>
    <x v="10"/>
    <x v="1"/>
    <x v="5"/>
    <x v="5"/>
    <x v="2"/>
    <x v="9"/>
    <x v="2260"/>
    <x v="1"/>
    <x v="2"/>
  </r>
  <r>
    <x v="4739"/>
    <x v="37"/>
    <x v="1"/>
    <x v="4"/>
    <x v="6"/>
    <x v="2"/>
    <x v="4"/>
    <x v="141"/>
    <x v="1"/>
    <x v="0"/>
  </r>
  <r>
    <x v="4740"/>
    <x v="39"/>
    <x v="1"/>
    <x v="1"/>
    <x v="2"/>
    <x v="1"/>
    <x v="10"/>
    <x v="4627"/>
    <x v="1"/>
    <x v="4"/>
  </r>
  <r>
    <x v="4741"/>
    <x v="79"/>
    <x v="0"/>
    <x v="4"/>
    <x v="5"/>
    <x v="0"/>
    <x v="11"/>
    <x v="4628"/>
    <x v="1"/>
    <x v="3"/>
  </r>
  <r>
    <x v="4742"/>
    <x v="36"/>
    <x v="0"/>
    <x v="9"/>
    <x v="1"/>
    <x v="1"/>
    <x v="7"/>
    <x v="1290"/>
    <x v="1"/>
    <x v="0"/>
  </r>
  <r>
    <x v="4743"/>
    <x v="59"/>
    <x v="0"/>
    <x v="7"/>
    <x v="0"/>
    <x v="1"/>
    <x v="8"/>
    <x v="4629"/>
    <x v="1"/>
    <x v="0"/>
  </r>
  <r>
    <x v="4744"/>
    <x v="77"/>
    <x v="1"/>
    <x v="1"/>
    <x v="9"/>
    <x v="0"/>
    <x v="2"/>
    <x v="4630"/>
    <x v="0"/>
    <x v="3"/>
  </r>
  <r>
    <x v="4745"/>
    <x v="75"/>
    <x v="1"/>
    <x v="2"/>
    <x v="8"/>
    <x v="1"/>
    <x v="10"/>
    <x v="4631"/>
    <x v="0"/>
    <x v="3"/>
  </r>
  <r>
    <x v="4746"/>
    <x v="28"/>
    <x v="0"/>
    <x v="4"/>
    <x v="8"/>
    <x v="1"/>
    <x v="9"/>
    <x v="4632"/>
    <x v="0"/>
    <x v="0"/>
  </r>
  <r>
    <x v="4747"/>
    <x v="59"/>
    <x v="0"/>
    <x v="5"/>
    <x v="1"/>
    <x v="2"/>
    <x v="1"/>
    <x v="4633"/>
    <x v="1"/>
    <x v="2"/>
  </r>
  <r>
    <x v="4748"/>
    <x v="68"/>
    <x v="0"/>
    <x v="2"/>
    <x v="0"/>
    <x v="1"/>
    <x v="4"/>
    <x v="4634"/>
    <x v="0"/>
    <x v="0"/>
  </r>
  <r>
    <x v="4749"/>
    <x v="52"/>
    <x v="1"/>
    <x v="3"/>
    <x v="4"/>
    <x v="0"/>
    <x v="6"/>
    <x v="2290"/>
    <x v="0"/>
    <x v="3"/>
  </r>
  <r>
    <x v="4750"/>
    <x v="14"/>
    <x v="0"/>
    <x v="4"/>
    <x v="7"/>
    <x v="0"/>
    <x v="5"/>
    <x v="4635"/>
    <x v="0"/>
    <x v="2"/>
  </r>
  <r>
    <x v="4751"/>
    <x v="54"/>
    <x v="0"/>
    <x v="4"/>
    <x v="2"/>
    <x v="2"/>
    <x v="0"/>
    <x v="4636"/>
    <x v="1"/>
    <x v="0"/>
  </r>
  <r>
    <x v="4752"/>
    <x v="80"/>
    <x v="1"/>
    <x v="2"/>
    <x v="9"/>
    <x v="1"/>
    <x v="3"/>
    <x v="4637"/>
    <x v="0"/>
    <x v="3"/>
  </r>
  <r>
    <x v="4753"/>
    <x v="54"/>
    <x v="1"/>
    <x v="2"/>
    <x v="8"/>
    <x v="0"/>
    <x v="13"/>
    <x v="4638"/>
    <x v="1"/>
    <x v="1"/>
  </r>
  <r>
    <x v="4754"/>
    <x v="18"/>
    <x v="1"/>
    <x v="7"/>
    <x v="9"/>
    <x v="2"/>
    <x v="7"/>
    <x v="4639"/>
    <x v="1"/>
    <x v="0"/>
  </r>
  <r>
    <x v="4755"/>
    <x v="6"/>
    <x v="0"/>
    <x v="7"/>
    <x v="4"/>
    <x v="2"/>
    <x v="1"/>
    <x v="4640"/>
    <x v="0"/>
    <x v="4"/>
  </r>
  <r>
    <x v="4756"/>
    <x v="26"/>
    <x v="0"/>
    <x v="8"/>
    <x v="7"/>
    <x v="1"/>
    <x v="3"/>
    <x v="4641"/>
    <x v="1"/>
    <x v="4"/>
  </r>
  <r>
    <x v="4757"/>
    <x v="39"/>
    <x v="1"/>
    <x v="9"/>
    <x v="9"/>
    <x v="0"/>
    <x v="1"/>
    <x v="4642"/>
    <x v="1"/>
    <x v="1"/>
  </r>
  <r>
    <x v="4758"/>
    <x v="9"/>
    <x v="1"/>
    <x v="5"/>
    <x v="2"/>
    <x v="0"/>
    <x v="5"/>
    <x v="4643"/>
    <x v="1"/>
    <x v="1"/>
  </r>
  <r>
    <x v="4759"/>
    <x v="12"/>
    <x v="0"/>
    <x v="6"/>
    <x v="4"/>
    <x v="0"/>
    <x v="1"/>
    <x v="4644"/>
    <x v="1"/>
    <x v="4"/>
  </r>
  <r>
    <x v="4760"/>
    <x v="70"/>
    <x v="0"/>
    <x v="2"/>
    <x v="5"/>
    <x v="1"/>
    <x v="0"/>
    <x v="4645"/>
    <x v="1"/>
    <x v="4"/>
  </r>
  <r>
    <x v="4761"/>
    <x v="27"/>
    <x v="0"/>
    <x v="2"/>
    <x v="7"/>
    <x v="1"/>
    <x v="11"/>
    <x v="4646"/>
    <x v="1"/>
    <x v="1"/>
  </r>
  <r>
    <x v="4762"/>
    <x v="77"/>
    <x v="0"/>
    <x v="9"/>
    <x v="6"/>
    <x v="2"/>
    <x v="6"/>
    <x v="4647"/>
    <x v="1"/>
    <x v="1"/>
  </r>
  <r>
    <x v="4763"/>
    <x v="48"/>
    <x v="1"/>
    <x v="6"/>
    <x v="4"/>
    <x v="1"/>
    <x v="9"/>
    <x v="4648"/>
    <x v="0"/>
    <x v="0"/>
  </r>
  <r>
    <x v="4764"/>
    <x v="76"/>
    <x v="0"/>
    <x v="3"/>
    <x v="5"/>
    <x v="0"/>
    <x v="2"/>
    <x v="4649"/>
    <x v="0"/>
    <x v="0"/>
  </r>
  <r>
    <x v="4765"/>
    <x v="76"/>
    <x v="1"/>
    <x v="4"/>
    <x v="2"/>
    <x v="0"/>
    <x v="11"/>
    <x v="4650"/>
    <x v="0"/>
    <x v="2"/>
  </r>
  <r>
    <x v="4766"/>
    <x v="20"/>
    <x v="1"/>
    <x v="4"/>
    <x v="4"/>
    <x v="1"/>
    <x v="4"/>
    <x v="4651"/>
    <x v="1"/>
    <x v="1"/>
  </r>
  <r>
    <x v="4767"/>
    <x v="61"/>
    <x v="0"/>
    <x v="2"/>
    <x v="5"/>
    <x v="2"/>
    <x v="2"/>
    <x v="4652"/>
    <x v="0"/>
    <x v="3"/>
  </r>
  <r>
    <x v="4768"/>
    <x v="36"/>
    <x v="1"/>
    <x v="0"/>
    <x v="9"/>
    <x v="0"/>
    <x v="6"/>
    <x v="4653"/>
    <x v="1"/>
    <x v="0"/>
  </r>
  <r>
    <x v="4769"/>
    <x v="57"/>
    <x v="1"/>
    <x v="6"/>
    <x v="5"/>
    <x v="0"/>
    <x v="12"/>
    <x v="4654"/>
    <x v="1"/>
    <x v="0"/>
  </r>
  <r>
    <x v="4770"/>
    <x v="17"/>
    <x v="1"/>
    <x v="4"/>
    <x v="5"/>
    <x v="2"/>
    <x v="6"/>
    <x v="4655"/>
    <x v="1"/>
    <x v="3"/>
  </r>
  <r>
    <x v="4771"/>
    <x v="39"/>
    <x v="1"/>
    <x v="7"/>
    <x v="0"/>
    <x v="2"/>
    <x v="5"/>
    <x v="4656"/>
    <x v="1"/>
    <x v="0"/>
  </r>
  <r>
    <x v="4772"/>
    <x v="42"/>
    <x v="1"/>
    <x v="9"/>
    <x v="4"/>
    <x v="2"/>
    <x v="5"/>
    <x v="4657"/>
    <x v="1"/>
    <x v="3"/>
  </r>
  <r>
    <x v="4773"/>
    <x v="54"/>
    <x v="1"/>
    <x v="1"/>
    <x v="7"/>
    <x v="2"/>
    <x v="9"/>
    <x v="4658"/>
    <x v="0"/>
    <x v="0"/>
  </r>
  <r>
    <x v="4774"/>
    <x v="25"/>
    <x v="0"/>
    <x v="9"/>
    <x v="2"/>
    <x v="2"/>
    <x v="0"/>
    <x v="4659"/>
    <x v="0"/>
    <x v="1"/>
  </r>
  <r>
    <x v="4775"/>
    <x v="51"/>
    <x v="0"/>
    <x v="0"/>
    <x v="5"/>
    <x v="1"/>
    <x v="14"/>
    <x v="4660"/>
    <x v="0"/>
    <x v="2"/>
  </r>
  <r>
    <x v="4776"/>
    <x v="24"/>
    <x v="0"/>
    <x v="7"/>
    <x v="6"/>
    <x v="2"/>
    <x v="11"/>
    <x v="4661"/>
    <x v="0"/>
    <x v="4"/>
  </r>
  <r>
    <x v="4777"/>
    <x v="79"/>
    <x v="1"/>
    <x v="5"/>
    <x v="6"/>
    <x v="2"/>
    <x v="5"/>
    <x v="4662"/>
    <x v="1"/>
    <x v="0"/>
  </r>
  <r>
    <x v="4778"/>
    <x v="77"/>
    <x v="0"/>
    <x v="0"/>
    <x v="6"/>
    <x v="0"/>
    <x v="4"/>
    <x v="4663"/>
    <x v="0"/>
    <x v="3"/>
  </r>
  <r>
    <x v="4779"/>
    <x v="33"/>
    <x v="1"/>
    <x v="0"/>
    <x v="7"/>
    <x v="2"/>
    <x v="13"/>
    <x v="4664"/>
    <x v="0"/>
    <x v="1"/>
  </r>
  <r>
    <x v="4780"/>
    <x v="16"/>
    <x v="1"/>
    <x v="2"/>
    <x v="0"/>
    <x v="1"/>
    <x v="1"/>
    <x v="4665"/>
    <x v="0"/>
    <x v="0"/>
  </r>
  <r>
    <x v="4781"/>
    <x v="7"/>
    <x v="1"/>
    <x v="3"/>
    <x v="5"/>
    <x v="1"/>
    <x v="4"/>
    <x v="4666"/>
    <x v="0"/>
    <x v="2"/>
  </r>
  <r>
    <x v="4782"/>
    <x v="43"/>
    <x v="1"/>
    <x v="0"/>
    <x v="6"/>
    <x v="0"/>
    <x v="12"/>
    <x v="4667"/>
    <x v="0"/>
    <x v="4"/>
  </r>
  <r>
    <x v="4783"/>
    <x v="66"/>
    <x v="1"/>
    <x v="4"/>
    <x v="8"/>
    <x v="0"/>
    <x v="12"/>
    <x v="4668"/>
    <x v="1"/>
    <x v="2"/>
  </r>
  <r>
    <x v="4784"/>
    <x v="73"/>
    <x v="0"/>
    <x v="6"/>
    <x v="9"/>
    <x v="0"/>
    <x v="3"/>
    <x v="4669"/>
    <x v="0"/>
    <x v="0"/>
  </r>
  <r>
    <x v="4785"/>
    <x v="59"/>
    <x v="1"/>
    <x v="1"/>
    <x v="5"/>
    <x v="2"/>
    <x v="11"/>
    <x v="4670"/>
    <x v="1"/>
    <x v="0"/>
  </r>
  <r>
    <x v="4786"/>
    <x v="75"/>
    <x v="1"/>
    <x v="6"/>
    <x v="9"/>
    <x v="1"/>
    <x v="4"/>
    <x v="4671"/>
    <x v="0"/>
    <x v="2"/>
  </r>
  <r>
    <x v="4787"/>
    <x v="42"/>
    <x v="0"/>
    <x v="7"/>
    <x v="4"/>
    <x v="1"/>
    <x v="6"/>
    <x v="4672"/>
    <x v="0"/>
    <x v="0"/>
  </r>
  <r>
    <x v="4788"/>
    <x v="52"/>
    <x v="1"/>
    <x v="6"/>
    <x v="0"/>
    <x v="2"/>
    <x v="8"/>
    <x v="4673"/>
    <x v="1"/>
    <x v="1"/>
  </r>
  <r>
    <x v="4789"/>
    <x v="65"/>
    <x v="1"/>
    <x v="8"/>
    <x v="3"/>
    <x v="1"/>
    <x v="3"/>
    <x v="4674"/>
    <x v="1"/>
    <x v="0"/>
  </r>
  <r>
    <x v="4790"/>
    <x v="70"/>
    <x v="0"/>
    <x v="9"/>
    <x v="4"/>
    <x v="0"/>
    <x v="1"/>
    <x v="4675"/>
    <x v="0"/>
    <x v="3"/>
  </r>
  <r>
    <x v="4791"/>
    <x v="36"/>
    <x v="0"/>
    <x v="5"/>
    <x v="9"/>
    <x v="2"/>
    <x v="0"/>
    <x v="4676"/>
    <x v="0"/>
    <x v="4"/>
  </r>
  <r>
    <x v="4792"/>
    <x v="8"/>
    <x v="0"/>
    <x v="9"/>
    <x v="4"/>
    <x v="1"/>
    <x v="2"/>
    <x v="4677"/>
    <x v="0"/>
    <x v="0"/>
  </r>
  <r>
    <x v="4793"/>
    <x v="73"/>
    <x v="1"/>
    <x v="0"/>
    <x v="6"/>
    <x v="0"/>
    <x v="2"/>
    <x v="4678"/>
    <x v="1"/>
    <x v="1"/>
  </r>
  <r>
    <x v="4794"/>
    <x v="69"/>
    <x v="1"/>
    <x v="5"/>
    <x v="8"/>
    <x v="0"/>
    <x v="6"/>
    <x v="4679"/>
    <x v="0"/>
    <x v="3"/>
  </r>
  <r>
    <x v="4795"/>
    <x v="71"/>
    <x v="0"/>
    <x v="7"/>
    <x v="3"/>
    <x v="1"/>
    <x v="8"/>
    <x v="4680"/>
    <x v="0"/>
    <x v="0"/>
  </r>
  <r>
    <x v="4796"/>
    <x v="14"/>
    <x v="1"/>
    <x v="3"/>
    <x v="9"/>
    <x v="1"/>
    <x v="2"/>
    <x v="4681"/>
    <x v="0"/>
    <x v="1"/>
  </r>
  <r>
    <x v="4797"/>
    <x v="14"/>
    <x v="1"/>
    <x v="5"/>
    <x v="1"/>
    <x v="2"/>
    <x v="8"/>
    <x v="4682"/>
    <x v="0"/>
    <x v="4"/>
  </r>
  <r>
    <x v="4798"/>
    <x v="78"/>
    <x v="0"/>
    <x v="4"/>
    <x v="0"/>
    <x v="1"/>
    <x v="4"/>
    <x v="4683"/>
    <x v="0"/>
    <x v="3"/>
  </r>
  <r>
    <x v="4799"/>
    <x v="19"/>
    <x v="0"/>
    <x v="1"/>
    <x v="6"/>
    <x v="2"/>
    <x v="2"/>
    <x v="4684"/>
    <x v="1"/>
    <x v="3"/>
  </r>
  <r>
    <x v="4800"/>
    <x v="3"/>
    <x v="0"/>
    <x v="5"/>
    <x v="8"/>
    <x v="2"/>
    <x v="14"/>
    <x v="4685"/>
    <x v="1"/>
    <x v="4"/>
  </r>
  <r>
    <x v="4801"/>
    <x v="9"/>
    <x v="0"/>
    <x v="3"/>
    <x v="6"/>
    <x v="1"/>
    <x v="1"/>
    <x v="4686"/>
    <x v="0"/>
    <x v="3"/>
  </r>
  <r>
    <x v="4802"/>
    <x v="34"/>
    <x v="1"/>
    <x v="0"/>
    <x v="6"/>
    <x v="0"/>
    <x v="0"/>
    <x v="4687"/>
    <x v="1"/>
    <x v="0"/>
  </r>
  <r>
    <x v="4803"/>
    <x v="29"/>
    <x v="0"/>
    <x v="6"/>
    <x v="6"/>
    <x v="1"/>
    <x v="3"/>
    <x v="4688"/>
    <x v="0"/>
    <x v="2"/>
  </r>
  <r>
    <x v="4804"/>
    <x v="31"/>
    <x v="1"/>
    <x v="0"/>
    <x v="5"/>
    <x v="0"/>
    <x v="1"/>
    <x v="4689"/>
    <x v="1"/>
    <x v="3"/>
  </r>
  <r>
    <x v="4805"/>
    <x v="40"/>
    <x v="0"/>
    <x v="9"/>
    <x v="7"/>
    <x v="1"/>
    <x v="13"/>
    <x v="4690"/>
    <x v="0"/>
    <x v="1"/>
  </r>
  <r>
    <x v="4806"/>
    <x v="71"/>
    <x v="1"/>
    <x v="4"/>
    <x v="1"/>
    <x v="1"/>
    <x v="1"/>
    <x v="4691"/>
    <x v="1"/>
    <x v="1"/>
  </r>
  <r>
    <x v="4807"/>
    <x v="53"/>
    <x v="1"/>
    <x v="6"/>
    <x v="1"/>
    <x v="1"/>
    <x v="7"/>
    <x v="4692"/>
    <x v="0"/>
    <x v="1"/>
  </r>
  <r>
    <x v="4808"/>
    <x v="45"/>
    <x v="0"/>
    <x v="8"/>
    <x v="6"/>
    <x v="0"/>
    <x v="9"/>
    <x v="4693"/>
    <x v="0"/>
    <x v="0"/>
  </r>
  <r>
    <x v="4809"/>
    <x v="81"/>
    <x v="0"/>
    <x v="1"/>
    <x v="1"/>
    <x v="2"/>
    <x v="6"/>
    <x v="4694"/>
    <x v="0"/>
    <x v="0"/>
  </r>
  <r>
    <x v="4810"/>
    <x v="64"/>
    <x v="0"/>
    <x v="9"/>
    <x v="3"/>
    <x v="0"/>
    <x v="12"/>
    <x v="4695"/>
    <x v="0"/>
    <x v="2"/>
  </r>
  <r>
    <x v="4811"/>
    <x v="53"/>
    <x v="1"/>
    <x v="3"/>
    <x v="9"/>
    <x v="1"/>
    <x v="2"/>
    <x v="4696"/>
    <x v="1"/>
    <x v="1"/>
  </r>
  <r>
    <x v="4812"/>
    <x v="79"/>
    <x v="1"/>
    <x v="9"/>
    <x v="4"/>
    <x v="2"/>
    <x v="9"/>
    <x v="4697"/>
    <x v="1"/>
    <x v="1"/>
  </r>
  <r>
    <x v="4813"/>
    <x v="78"/>
    <x v="1"/>
    <x v="8"/>
    <x v="5"/>
    <x v="2"/>
    <x v="10"/>
    <x v="4698"/>
    <x v="0"/>
    <x v="4"/>
  </r>
  <r>
    <x v="4814"/>
    <x v="5"/>
    <x v="1"/>
    <x v="0"/>
    <x v="5"/>
    <x v="1"/>
    <x v="4"/>
    <x v="4699"/>
    <x v="0"/>
    <x v="0"/>
  </r>
  <r>
    <x v="4815"/>
    <x v="89"/>
    <x v="1"/>
    <x v="5"/>
    <x v="9"/>
    <x v="0"/>
    <x v="0"/>
    <x v="4700"/>
    <x v="0"/>
    <x v="1"/>
  </r>
  <r>
    <x v="4816"/>
    <x v="85"/>
    <x v="1"/>
    <x v="5"/>
    <x v="8"/>
    <x v="2"/>
    <x v="1"/>
    <x v="4701"/>
    <x v="1"/>
    <x v="4"/>
  </r>
  <r>
    <x v="4817"/>
    <x v="8"/>
    <x v="0"/>
    <x v="7"/>
    <x v="9"/>
    <x v="0"/>
    <x v="2"/>
    <x v="4702"/>
    <x v="1"/>
    <x v="2"/>
  </r>
  <r>
    <x v="4818"/>
    <x v="84"/>
    <x v="0"/>
    <x v="5"/>
    <x v="8"/>
    <x v="1"/>
    <x v="9"/>
    <x v="4703"/>
    <x v="1"/>
    <x v="2"/>
  </r>
  <r>
    <x v="4819"/>
    <x v="63"/>
    <x v="1"/>
    <x v="9"/>
    <x v="4"/>
    <x v="0"/>
    <x v="8"/>
    <x v="4704"/>
    <x v="0"/>
    <x v="4"/>
  </r>
  <r>
    <x v="4820"/>
    <x v="76"/>
    <x v="0"/>
    <x v="8"/>
    <x v="0"/>
    <x v="2"/>
    <x v="11"/>
    <x v="4705"/>
    <x v="0"/>
    <x v="3"/>
  </r>
  <r>
    <x v="4821"/>
    <x v="67"/>
    <x v="1"/>
    <x v="7"/>
    <x v="4"/>
    <x v="1"/>
    <x v="12"/>
    <x v="4706"/>
    <x v="1"/>
    <x v="1"/>
  </r>
  <r>
    <x v="4822"/>
    <x v="5"/>
    <x v="1"/>
    <x v="7"/>
    <x v="0"/>
    <x v="1"/>
    <x v="13"/>
    <x v="4707"/>
    <x v="1"/>
    <x v="3"/>
  </r>
  <r>
    <x v="4823"/>
    <x v="29"/>
    <x v="0"/>
    <x v="6"/>
    <x v="7"/>
    <x v="2"/>
    <x v="14"/>
    <x v="4708"/>
    <x v="0"/>
    <x v="1"/>
  </r>
  <r>
    <x v="4824"/>
    <x v="24"/>
    <x v="0"/>
    <x v="0"/>
    <x v="1"/>
    <x v="1"/>
    <x v="0"/>
    <x v="3716"/>
    <x v="1"/>
    <x v="0"/>
  </r>
  <r>
    <x v="4825"/>
    <x v="3"/>
    <x v="1"/>
    <x v="5"/>
    <x v="7"/>
    <x v="0"/>
    <x v="3"/>
    <x v="4709"/>
    <x v="0"/>
    <x v="4"/>
  </r>
  <r>
    <x v="4826"/>
    <x v="2"/>
    <x v="1"/>
    <x v="0"/>
    <x v="6"/>
    <x v="1"/>
    <x v="0"/>
    <x v="4710"/>
    <x v="0"/>
    <x v="1"/>
  </r>
  <r>
    <x v="4827"/>
    <x v="83"/>
    <x v="0"/>
    <x v="3"/>
    <x v="0"/>
    <x v="0"/>
    <x v="13"/>
    <x v="4711"/>
    <x v="0"/>
    <x v="4"/>
  </r>
  <r>
    <x v="4828"/>
    <x v="7"/>
    <x v="0"/>
    <x v="9"/>
    <x v="8"/>
    <x v="2"/>
    <x v="12"/>
    <x v="140"/>
    <x v="0"/>
    <x v="1"/>
  </r>
  <r>
    <x v="4829"/>
    <x v="18"/>
    <x v="0"/>
    <x v="9"/>
    <x v="9"/>
    <x v="1"/>
    <x v="1"/>
    <x v="4712"/>
    <x v="0"/>
    <x v="1"/>
  </r>
  <r>
    <x v="4830"/>
    <x v="66"/>
    <x v="0"/>
    <x v="0"/>
    <x v="1"/>
    <x v="0"/>
    <x v="3"/>
    <x v="4713"/>
    <x v="0"/>
    <x v="1"/>
  </r>
  <r>
    <x v="4831"/>
    <x v="79"/>
    <x v="0"/>
    <x v="5"/>
    <x v="3"/>
    <x v="2"/>
    <x v="2"/>
    <x v="4714"/>
    <x v="1"/>
    <x v="4"/>
  </r>
  <r>
    <x v="4832"/>
    <x v="79"/>
    <x v="1"/>
    <x v="1"/>
    <x v="0"/>
    <x v="0"/>
    <x v="7"/>
    <x v="4715"/>
    <x v="0"/>
    <x v="0"/>
  </r>
  <r>
    <x v="4833"/>
    <x v="23"/>
    <x v="0"/>
    <x v="7"/>
    <x v="4"/>
    <x v="0"/>
    <x v="12"/>
    <x v="4716"/>
    <x v="1"/>
    <x v="1"/>
  </r>
  <r>
    <x v="4834"/>
    <x v="63"/>
    <x v="1"/>
    <x v="8"/>
    <x v="4"/>
    <x v="1"/>
    <x v="2"/>
    <x v="4717"/>
    <x v="1"/>
    <x v="1"/>
  </r>
  <r>
    <x v="4835"/>
    <x v="17"/>
    <x v="0"/>
    <x v="6"/>
    <x v="9"/>
    <x v="0"/>
    <x v="13"/>
    <x v="4718"/>
    <x v="1"/>
    <x v="0"/>
  </r>
  <r>
    <x v="4836"/>
    <x v="47"/>
    <x v="0"/>
    <x v="5"/>
    <x v="6"/>
    <x v="0"/>
    <x v="5"/>
    <x v="4719"/>
    <x v="0"/>
    <x v="2"/>
  </r>
  <r>
    <x v="4837"/>
    <x v="25"/>
    <x v="0"/>
    <x v="4"/>
    <x v="1"/>
    <x v="1"/>
    <x v="13"/>
    <x v="4720"/>
    <x v="0"/>
    <x v="2"/>
  </r>
  <r>
    <x v="4838"/>
    <x v="78"/>
    <x v="0"/>
    <x v="4"/>
    <x v="9"/>
    <x v="0"/>
    <x v="2"/>
    <x v="4721"/>
    <x v="0"/>
    <x v="3"/>
  </r>
  <r>
    <x v="4839"/>
    <x v="53"/>
    <x v="1"/>
    <x v="1"/>
    <x v="8"/>
    <x v="1"/>
    <x v="2"/>
    <x v="4722"/>
    <x v="1"/>
    <x v="1"/>
  </r>
  <r>
    <x v="4840"/>
    <x v="29"/>
    <x v="1"/>
    <x v="7"/>
    <x v="0"/>
    <x v="2"/>
    <x v="1"/>
    <x v="1908"/>
    <x v="0"/>
    <x v="0"/>
  </r>
  <r>
    <x v="4841"/>
    <x v="59"/>
    <x v="1"/>
    <x v="6"/>
    <x v="2"/>
    <x v="0"/>
    <x v="11"/>
    <x v="4723"/>
    <x v="0"/>
    <x v="4"/>
  </r>
  <r>
    <x v="4842"/>
    <x v="64"/>
    <x v="1"/>
    <x v="2"/>
    <x v="2"/>
    <x v="1"/>
    <x v="11"/>
    <x v="4724"/>
    <x v="0"/>
    <x v="3"/>
  </r>
  <r>
    <x v="4843"/>
    <x v="79"/>
    <x v="0"/>
    <x v="3"/>
    <x v="5"/>
    <x v="0"/>
    <x v="8"/>
    <x v="4725"/>
    <x v="0"/>
    <x v="0"/>
  </r>
  <r>
    <x v="4844"/>
    <x v="80"/>
    <x v="1"/>
    <x v="3"/>
    <x v="4"/>
    <x v="1"/>
    <x v="2"/>
    <x v="4726"/>
    <x v="0"/>
    <x v="3"/>
  </r>
  <r>
    <x v="4845"/>
    <x v="60"/>
    <x v="1"/>
    <x v="0"/>
    <x v="1"/>
    <x v="1"/>
    <x v="0"/>
    <x v="4727"/>
    <x v="1"/>
    <x v="2"/>
  </r>
  <r>
    <x v="4846"/>
    <x v="30"/>
    <x v="1"/>
    <x v="4"/>
    <x v="0"/>
    <x v="0"/>
    <x v="13"/>
    <x v="4728"/>
    <x v="1"/>
    <x v="3"/>
  </r>
  <r>
    <x v="4847"/>
    <x v="69"/>
    <x v="1"/>
    <x v="4"/>
    <x v="5"/>
    <x v="1"/>
    <x v="0"/>
    <x v="4729"/>
    <x v="1"/>
    <x v="1"/>
  </r>
  <r>
    <x v="4848"/>
    <x v="10"/>
    <x v="1"/>
    <x v="9"/>
    <x v="9"/>
    <x v="1"/>
    <x v="12"/>
    <x v="4730"/>
    <x v="0"/>
    <x v="1"/>
  </r>
  <r>
    <x v="4849"/>
    <x v="23"/>
    <x v="0"/>
    <x v="4"/>
    <x v="9"/>
    <x v="0"/>
    <x v="11"/>
    <x v="4731"/>
    <x v="1"/>
    <x v="4"/>
  </r>
  <r>
    <x v="4850"/>
    <x v="79"/>
    <x v="0"/>
    <x v="3"/>
    <x v="2"/>
    <x v="1"/>
    <x v="14"/>
    <x v="4732"/>
    <x v="0"/>
    <x v="4"/>
  </r>
  <r>
    <x v="4851"/>
    <x v="43"/>
    <x v="1"/>
    <x v="5"/>
    <x v="3"/>
    <x v="0"/>
    <x v="0"/>
    <x v="4733"/>
    <x v="1"/>
    <x v="2"/>
  </r>
  <r>
    <x v="4852"/>
    <x v="60"/>
    <x v="0"/>
    <x v="1"/>
    <x v="4"/>
    <x v="2"/>
    <x v="9"/>
    <x v="4734"/>
    <x v="0"/>
    <x v="4"/>
  </r>
  <r>
    <x v="4853"/>
    <x v="16"/>
    <x v="0"/>
    <x v="3"/>
    <x v="6"/>
    <x v="1"/>
    <x v="7"/>
    <x v="4735"/>
    <x v="1"/>
    <x v="0"/>
  </r>
  <r>
    <x v="4854"/>
    <x v="53"/>
    <x v="1"/>
    <x v="0"/>
    <x v="5"/>
    <x v="1"/>
    <x v="1"/>
    <x v="4736"/>
    <x v="0"/>
    <x v="3"/>
  </r>
  <r>
    <x v="4855"/>
    <x v="71"/>
    <x v="1"/>
    <x v="7"/>
    <x v="5"/>
    <x v="0"/>
    <x v="9"/>
    <x v="4737"/>
    <x v="0"/>
    <x v="4"/>
  </r>
  <r>
    <x v="4856"/>
    <x v="89"/>
    <x v="1"/>
    <x v="6"/>
    <x v="1"/>
    <x v="1"/>
    <x v="2"/>
    <x v="4738"/>
    <x v="0"/>
    <x v="0"/>
  </r>
  <r>
    <x v="4857"/>
    <x v="31"/>
    <x v="0"/>
    <x v="0"/>
    <x v="8"/>
    <x v="0"/>
    <x v="8"/>
    <x v="4739"/>
    <x v="1"/>
    <x v="3"/>
  </r>
  <r>
    <x v="4858"/>
    <x v="83"/>
    <x v="1"/>
    <x v="7"/>
    <x v="2"/>
    <x v="1"/>
    <x v="10"/>
    <x v="4740"/>
    <x v="0"/>
    <x v="0"/>
  </r>
  <r>
    <x v="4859"/>
    <x v="59"/>
    <x v="0"/>
    <x v="4"/>
    <x v="5"/>
    <x v="2"/>
    <x v="5"/>
    <x v="4741"/>
    <x v="0"/>
    <x v="3"/>
  </r>
  <r>
    <x v="4860"/>
    <x v="8"/>
    <x v="1"/>
    <x v="1"/>
    <x v="0"/>
    <x v="2"/>
    <x v="10"/>
    <x v="4742"/>
    <x v="1"/>
    <x v="3"/>
  </r>
  <r>
    <x v="4861"/>
    <x v="25"/>
    <x v="0"/>
    <x v="9"/>
    <x v="6"/>
    <x v="1"/>
    <x v="5"/>
    <x v="4743"/>
    <x v="1"/>
    <x v="4"/>
  </r>
  <r>
    <x v="4862"/>
    <x v="79"/>
    <x v="1"/>
    <x v="0"/>
    <x v="8"/>
    <x v="2"/>
    <x v="5"/>
    <x v="4744"/>
    <x v="0"/>
    <x v="1"/>
  </r>
  <r>
    <x v="4863"/>
    <x v="81"/>
    <x v="0"/>
    <x v="2"/>
    <x v="4"/>
    <x v="1"/>
    <x v="4"/>
    <x v="4745"/>
    <x v="1"/>
    <x v="1"/>
  </r>
  <r>
    <x v="4864"/>
    <x v="82"/>
    <x v="1"/>
    <x v="3"/>
    <x v="3"/>
    <x v="0"/>
    <x v="3"/>
    <x v="4746"/>
    <x v="0"/>
    <x v="2"/>
  </r>
  <r>
    <x v="4865"/>
    <x v="58"/>
    <x v="0"/>
    <x v="0"/>
    <x v="5"/>
    <x v="2"/>
    <x v="8"/>
    <x v="4747"/>
    <x v="0"/>
    <x v="0"/>
  </r>
  <r>
    <x v="4866"/>
    <x v="32"/>
    <x v="0"/>
    <x v="4"/>
    <x v="5"/>
    <x v="0"/>
    <x v="0"/>
    <x v="4748"/>
    <x v="0"/>
    <x v="4"/>
  </r>
  <r>
    <x v="4867"/>
    <x v="72"/>
    <x v="0"/>
    <x v="4"/>
    <x v="3"/>
    <x v="2"/>
    <x v="3"/>
    <x v="4749"/>
    <x v="1"/>
    <x v="1"/>
  </r>
  <r>
    <x v="4868"/>
    <x v="86"/>
    <x v="0"/>
    <x v="9"/>
    <x v="2"/>
    <x v="2"/>
    <x v="7"/>
    <x v="4750"/>
    <x v="1"/>
    <x v="2"/>
  </r>
  <r>
    <x v="4869"/>
    <x v="36"/>
    <x v="0"/>
    <x v="4"/>
    <x v="4"/>
    <x v="2"/>
    <x v="6"/>
    <x v="4751"/>
    <x v="1"/>
    <x v="4"/>
  </r>
  <r>
    <x v="4870"/>
    <x v="50"/>
    <x v="1"/>
    <x v="0"/>
    <x v="4"/>
    <x v="0"/>
    <x v="7"/>
    <x v="4752"/>
    <x v="1"/>
    <x v="0"/>
  </r>
  <r>
    <x v="4871"/>
    <x v="31"/>
    <x v="0"/>
    <x v="6"/>
    <x v="8"/>
    <x v="1"/>
    <x v="2"/>
    <x v="4753"/>
    <x v="1"/>
    <x v="3"/>
  </r>
  <r>
    <x v="4872"/>
    <x v="12"/>
    <x v="1"/>
    <x v="8"/>
    <x v="2"/>
    <x v="0"/>
    <x v="7"/>
    <x v="4754"/>
    <x v="1"/>
    <x v="2"/>
  </r>
  <r>
    <x v="4873"/>
    <x v="89"/>
    <x v="1"/>
    <x v="8"/>
    <x v="8"/>
    <x v="2"/>
    <x v="9"/>
    <x v="4755"/>
    <x v="0"/>
    <x v="1"/>
  </r>
  <r>
    <x v="4874"/>
    <x v="77"/>
    <x v="1"/>
    <x v="6"/>
    <x v="2"/>
    <x v="2"/>
    <x v="5"/>
    <x v="4756"/>
    <x v="1"/>
    <x v="2"/>
  </r>
  <r>
    <x v="4875"/>
    <x v="20"/>
    <x v="1"/>
    <x v="0"/>
    <x v="5"/>
    <x v="2"/>
    <x v="14"/>
    <x v="4757"/>
    <x v="1"/>
    <x v="2"/>
  </r>
  <r>
    <x v="4876"/>
    <x v="28"/>
    <x v="0"/>
    <x v="2"/>
    <x v="7"/>
    <x v="0"/>
    <x v="12"/>
    <x v="4758"/>
    <x v="1"/>
    <x v="1"/>
  </r>
  <r>
    <x v="4877"/>
    <x v="19"/>
    <x v="0"/>
    <x v="5"/>
    <x v="7"/>
    <x v="1"/>
    <x v="2"/>
    <x v="4759"/>
    <x v="0"/>
    <x v="4"/>
  </r>
  <r>
    <x v="4878"/>
    <x v="73"/>
    <x v="0"/>
    <x v="2"/>
    <x v="9"/>
    <x v="1"/>
    <x v="5"/>
    <x v="4760"/>
    <x v="0"/>
    <x v="0"/>
  </r>
  <r>
    <x v="4879"/>
    <x v="74"/>
    <x v="1"/>
    <x v="2"/>
    <x v="9"/>
    <x v="2"/>
    <x v="13"/>
    <x v="4761"/>
    <x v="1"/>
    <x v="3"/>
  </r>
  <r>
    <x v="4880"/>
    <x v="19"/>
    <x v="1"/>
    <x v="5"/>
    <x v="4"/>
    <x v="2"/>
    <x v="9"/>
    <x v="4762"/>
    <x v="1"/>
    <x v="1"/>
  </r>
  <r>
    <x v="4881"/>
    <x v="8"/>
    <x v="1"/>
    <x v="2"/>
    <x v="7"/>
    <x v="2"/>
    <x v="9"/>
    <x v="4763"/>
    <x v="1"/>
    <x v="0"/>
  </r>
  <r>
    <x v="4882"/>
    <x v="22"/>
    <x v="1"/>
    <x v="4"/>
    <x v="9"/>
    <x v="1"/>
    <x v="6"/>
    <x v="4764"/>
    <x v="1"/>
    <x v="2"/>
  </r>
  <r>
    <x v="4883"/>
    <x v="87"/>
    <x v="1"/>
    <x v="5"/>
    <x v="0"/>
    <x v="2"/>
    <x v="5"/>
    <x v="4765"/>
    <x v="1"/>
    <x v="0"/>
  </r>
  <r>
    <x v="4884"/>
    <x v="67"/>
    <x v="1"/>
    <x v="5"/>
    <x v="6"/>
    <x v="2"/>
    <x v="7"/>
    <x v="4766"/>
    <x v="0"/>
    <x v="1"/>
  </r>
  <r>
    <x v="4885"/>
    <x v="0"/>
    <x v="1"/>
    <x v="2"/>
    <x v="6"/>
    <x v="1"/>
    <x v="0"/>
    <x v="4767"/>
    <x v="1"/>
    <x v="0"/>
  </r>
  <r>
    <x v="4886"/>
    <x v="20"/>
    <x v="0"/>
    <x v="8"/>
    <x v="9"/>
    <x v="1"/>
    <x v="13"/>
    <x v="4768"/>
    <x v="1"/>
    <x v="3"/>
  </r>
  <r>
    <x v="4887"/>
    <x v="45"/>
    <x v="1"/>
    <x v="5"/>
    <x v="0"/>
    <x v="2"/>
    <x v="6"/>
    <x v="4769"/>
    <x v="0"/>
    <x v="0"/>
  </r>
  <r>
    <x v="4888"/>
    <x v="76"/>
    <x v="1"/>
    <x v="0"/>
    <x v="7"/>
    <x v="0"/>
    <x v="14"/>
    <x v="4770"/>
    <x v="1"/>
    <x v="2"/>
  </r>
  <r>
    <x v="4889"/>
    <x v="26"/>
    <x v="1"/>
    <x v="0"/>
    <x v="3"/>
    <x v="0"/>
    <x v="7"/>
    <x v="4771"/>
    <x v="0"/>
    <x v="2"/>
  </r>
  <r>
    <x v="4890"/>
    <x v="26"/>
    <x v="1"/>
    <x v="1"/>
    <x v="0"/>
    <x v="2"/>
    <x v="7"/>
    <x v="4772"/>
    <x v="0"/>
    <x v="0"/>
  </r>
  <r>
    <x v="4891"/>
    <x v="66"/>
    <x v="1"/>
    <x v="4"/>
    <x v="3"/>
    <x v="2"/>
    <x v="0"/>
    <x v="4773"/>
    <x v="0"/>
    <x v="1"/>
  </r>
  <r>
    <x v="4892"/>
    <x v="62"/>
    <x v="1"/>
    <x v="6"/>
    <x v="9"/>
    <x v="0"/>
    <x v="3"/>
    <x v="4774"/>
    <x v="1"/>
    <x v="2"/>
  </r>
  <r>
    <x v="4893"/>
    <x v="73"/>
    <x v="0"/>
    <x v="9"/>
    <x v="5"/>
    <x v="2"/>
    <x v="13"/>
    <x v="4775"/>
    <x v="0"/>
    <x v="2"/>
  </r>
  <r>
    <x v="4894"/>
    <x v="56"/>
    <x v="0"/>
    <x v="5"/>
    <x v="8"/>
    <x v="0"/>
    <x v="3"/>
    <x v="4776"/>
    <x v="1"/>
    <x v="3"/>
  </r>
  <r>
    <x v="4895"/>
    <x v="53"/>
    <x v="0"/>
    <x v="8"/>
    <x v="5"/>
    <x v="1"/>
    <x v="4"/>
    <x v="4777"/>
    <x v="0"/>
    <x v="4"/>
  </r>
  <r>
    <x v="4896"/>
    <x v="52"/>
    <x v="0"/>
    <x v="9"/>
    <x v="5"/>
    <x v="0"/>
    <x v="4"/>
    <x v="4778"/>
    <x v="0"/>
    <x v="2"/>
  </r>
  <r>
    <x v="4897"/>
    <x v="76"/>
    <x v="0"/>
    <x v="5"/>
    <x v="3"/>
    <x v="1"/>
    <x v="5"/>
    <x v="4779"/>
    <x v="0"/>
    <x v="4"/>
  </r>
  <r>
    <x v="4898"/>
    <x v="82"/>
    <x v="0"/>
    <x v="7"/>
    <x v="3"/>
    <x v="2"/>
    <x v="2"/>
    <x v="4780"/>
    <x v="1"/>
    <x v="4"/>
  </r>
  <r>
    <x v="4899"/>
    <x v="8"/>
    <x v="0"/>
    <x v="2"/>
    <x v="0"/>
    <x v="1"/>
    <x v="14"/>
    <x v="4781"/>
    <x v="0"/>
    <x v="1"/>
  </r>
  <r>
    <x v="4900"/>
    <x v="59"/>
    <x v="0"/>
    <x v="1"/>
    <x v="5"/>
    <x v="0"/>
    <x v="8"/>
    <x v="4782"/>
    <x v="0"/>
    <x v="1"/>
  </r>
  <r>
    <x v="4901"/>
    <x v="13"/>
    <x v="0"/>
    <x v="2"/>
    <x v="1"/>
    <x v="2"/>
    <x v="8"/>
    <x v="4783"/>
    <x v="0"/>
    <x v="2"/>
  </r>
  <r>
    <x v="4902"/>
    <x v="9"/>
    <x v="0"/>
    <x v="3"/>
    <x v="2"/>
    <x v="0"/>
    <x v="11"/>
    <x v="4784"/>
    <x v="1"/>
    <x v="1"/>
  </r>
  <r>
    <x v="4903"/>
    <x v="56"/>
    <x v="0"/>
    <x v="1"/>
    <x v="9"/>
    <x v="1"/>
    <x v="7"/>
    <x v="4785"/>
    <x v="1"/>
    <x v="1"/>
  </r>
  <r>
    <x v="4904"/>
    <x v="79"/>
    <x v="1"/>
    <x v="7"/>
    <x v="4"/>
    <x v="0"/>
    <x v="2"/>
    <x v="4786"/>
    <x v="0"/>
    <x v="3"/>
  </r>
  <r>
    <x v="4905"/>
    <x v="77"/>
    <x v="0"/>
    <x v="8"/>
    <x v="8"/>
    <x v="2"/>
    <x v="11"/>
    <x v="4787"/>
    <x v="0"/>
    <x v="2"/>
  </r>
  <r>
    <x v="4906"/>
    <x v="82"/>
    <x v="0"/>
    <x v="9"/>
    <x v="6"/>
    <x v="2"/>
    <x v="9"/>
    <x v="4788"/>
    <x v="0"/>
    <x v="3"/>
  </r>
  <r>
    <x v="4907"/>
    <x v="2"/>
    <x v="1"/>
    <x v="3"/>
    <x v="2"/>
    <x v="2"/>
    <x v="10"/>
    <x v="4789"/>
    <x v="1"/>
    <x v="2"/>
  </r>
  <r>
    <x v="4908"/>
    <x v="80"/>
    <x v="1"/>
    <x v="2"/>
    <x v="5"/>
    <x v="1"/>
    <x v="14"/>
    <x v="4790"/>
    <x v="1"/>
    <x v="4"/>
  </r>
  <r>
    <x v="4909"/>
    <x v="40"/>
    <x v="1"/>
    <x v="7"/>
    <x v="3"/>
    <x v="2"/>
    <x v="12"/>
    <x v="4791"/>
    <x v="1"/>
    <x v="2"/>
  </r>
  <r>
    <x v="4910"/>
    <x v="25"/>
    <x v="1"/>
    <x v="3"/>
    <x v="7"/>
    <x v="2"/>
    <x v="9"/>
    <x v="4792"/>
    <x v="1"/>
    <x v="3"/>
  </r>
  <r>
    <x v="4911"/>
    <x v="49"/>
    <x v="1"/>
    <x v="0"/>
    <x v="6"/>
    <x v="0"/>
    <x v="10"/>
    <x v="4793"/>
    <x v="1"/>
    <x v="0"/>
  </r>
  <r>
    <x v="4912"/>
    <x v="63"/>
    <x v="1"/>
    <x v="6"/>
    <x v="8"/>
    <x v="1"/>
    <x v="4"/>
    <x v="4794"/>
    <x v="1"/>
    <x v="1"/>
  </r>
  <r>
    <x v="4913"/>
    <x v="3"/>
    <x v="0"/>
    <x v="9"/>
    <x v="9"/>
    <x v="1"/>
    <x v="4"/>
    <x v="4795"/>
    <x v="1"/>
    <x v="0"/>
  </r>
  <r>
    <x v="4914"/>
    <x v="77"/>
    <x v="1"/>
    <x v="4"/>
    <x v="7"/>
    <x v="1"/>
    <x v="6"/>
    <x v="4796"/>
    <x v="0"/>
    <x v="2"/>
  </r>
  <r>
    <x v="4915"/>
    <x v="62"/>
    <x v="0"/>
    <x v="3"/>
    <x v="3"/>
    <x v="2"/>
    <x v="9"/>
    <x v="4797"/>
    <x v="0"/>
    <x v="0"/>
  </r>
  <r>
    <x v="4916"/>
    <x v="67"/>
    <x v="0"/>
    <x v="0"/>
    <x v="5"/>
    <x v="0"/>
    <x v="12"/>
    <x v="4798"/>
    <x v="0"/>
    <x v="0"/>
  </r>
  <r>
    <x v="4917"/>
    <x v="7"/>
    <x v="0"/>
    <x v="7"/>
    <x v="9"/>
    <x v="1"/>
    <x v="6"/>
    <x v="4799"/>
    <x v="0"/>
    <x v="1"/>
  </r>
  <r>
    <x v="4918"/>
    <x v="61"/>
    <x v="1"/>
    <x v="8"/>
    <x v="6"/>
    <x v="2"/>
    <x v="9"/>
    <x v="4800"/>
    <x v="0"/>
    <x v="4"/>
  </r>
  <r>
    <x v="4919"/>
    <x v="62"/>
    <x v="1"/>
    <x v="5"/>
    <x v="4"/>
    <x v="2"/>
    <x v="13"/>
    <x v="2853"/>
    <x v="0"/>
    <x v="3"/>
  </r>
  <r>
    <x v="4920"/>
    <x v="0"/>
    <x v="1"/>
    <x v="0"/>
    <x v="2"/>
    <x v="0"/>
    <x v="0"/>
    <x v="4801"/>
    <x v="0"/>
    <x v="4"/>
  </r>
  <r>
    <x v="4921"/>
    <x v="88"/>
    <x v="0"/>
    <x v="3"/>
    <x v="9"/>
    <x v="0"/>
    <x v="12"/>
    <x v="4802"/>
    <x v="1"/>
    <x v="2"/>
  </r>
  <r>
    <x v="4922"/>
    <x v="84"/>
    <x v="1"/>
    <x v="0"/>
    <x v="0"/>
    <x v="0"/>
    <x v="10"/>
    <x v="4803"/>
    <x v="1"/>
    <x v="3"/>
  </r>
  <r>
    <x v="4923"/>
    <x v="54"/>
    <x v="0"/>
    <x v="8"/>
    <x v="6"/>
    <x v="1"/>
    <x v="7"/>
    <x v="4804"/>
    <x v="1"/>
    <x v="2"/>
  </r>
  <r>
    <x v="4924"/>
    <x v="30"/>
    <x v="1"/>
    <x v="3"/>
    <x v="0"/>
    <x v="2"/>
    <x v="14"/>
    <x v="4805"/>
    <x v="1"/>
    <x v="3"/>
  </r>
  <r>
    <x v="4925"/>
    <x v="16"/>
    <x v="0"/>
    <x v="6"/>
    <x v="7"/>
    <x v="2"/>
    <x v="0"/>
    <x v="4806"/>
    <x v="1"/>
    <x v="4"/>
  </r>
  <r>
    <x v="4926"/>
    <x v="80"/>
    <x v="1"/>
    <x v="3"/>
    <x v="8"/>
    <x v="2"/>
    <x v="3"/>
    <x v="4807"/>
    <x v="0"/>
    <x v="4"/>
  </r>
  <r>
    <x v="4927"/>
    <x v="71"/>
    <x v="1"/>
    <x v="7"/>
    <x v="1"/>
    <x v="2"/>
    <x v="4"/>
    <x v="4808"/>
    <x v="1"/>
    <x v="4"/>
  </r>
  <r>
    <x v="4928"/>
    <x v="1"/>
    <x v="1"/>
    <x v="4"/>
    <x v="9"/>
    <x v="1"/>
    <x v="1"/>
    <x v="4809"/>
    <x v="1"/>
    <x v="3"/>
  </r>
  <r>
    <x v="4929"/>
    <x v="36"/>
    <x v="0"/>
    <x v="2"/>
    <x v="4"/>
    <x v="0"/>
    <x v="13"/>
    <x v="4810"/>
    <x v="1"/>
    <x v="3"/>
  </r>
  <r>
    <x v="4930"/>
    <x v="37"/>
    <x v="1"/>
    <x v="4"/>
    <x v="7"/>
    <x v="0"/>
    <x v="6"/>
    <x v="4811"/>
    <x v="1"/>
    <x v="1"/>
  </r>
  <r>
    <x v="4931"/>
    <x v="15"/>
    <x v="0"/>
    <x v="7"/>
    <x v="6"/>
    <x v="0"/>
    <x v="2"/>
    <x v="4165"/>
    <x v="0"/>
    <x v="0"/>
  </r>
  <r>
    <x v="4932"/>
    <x v="25"/>
    <x v="1"/>
    <x v="0"/>
    <x v="6"/>
    <x v="0"/>
    <x v="13"/>
    <x v="4812"/>
    <x v="0"/>
    <x v="0"/>
  </r>
  <r>
    <x v="4933"/>
    <x v="19"/>
    <x v="1"/>
    <x v="0"/>
    <x v="0"/>
    <x v="2"/>
    <x v="4"/>
    <x v="4813"/>
    <x v="0"/>
    <x v="0"/>
  </r>
  <r>
    <x v="4934"/>
    <x v="55"/>
    <x v="0"/>
    <x v="9"/>
    <x v="4"/>
    <x v="2"/>
    <x v="12"/>
    <x v="4814"/>
    <x v="1"/>
    <x v="4"/>
  </r>
  <r>
    <x v="4935"/>
    <x v="30"/>
    <x v="0"/>
    <x v="0"/>
    <x v="3"/>
    <x v="2"/>
    <x v="4"/>
    <x v="4815"/>
    <x v="1"/>
    <x v="1"/>
  </r>
  <r>
    <x v="4936"/>
    <x v="3"/>
    <x v="0"/>
    <x v="7"/>
    <x v="4"/>
    <x v="1"/>
    <x v="1"/>
    <x v="4816"/>
    <x v="0"/>
    <x v="2"/>
  </r>
  <r>
    <x v="4937"/>
    <x v="51"/>
    <x v="0"/>
    <x v="2"/>
    <x v="2"/>
    <x v="0"/>
    <x v="9"/>
    <x v="4817"/>
    <x v="0"/>
    <x v="3"/>
  </r>
  <r>
    <x v="4938"/>
    <x v="0"/>
    <x v="0"/>
    <x v="3"/>
    <x v="1"/>
    <x v="2"/>
    <x v="10"/>
    <x v="4818"/>
    <x v="0"/>
    <x v="4"/>
  </r>
  <r>
    <x v="4939"/>
    <x v="47"/>
    <x v="0"/>
    <x v="2"/>
    <x v="3"/>
    <x v="1"/>
    <x v="5"/>
    <x v="4819"/>
    <x v="0"/>
    <x v="4"/>
  </r>
  <r>
    <x v="4940"/>
    <x v="33"/>
    <x v="0"/>
    <x v="4"/>
    <x v="4"/>
    <x v="0"/>
    <x v="3"/>
    <x v="4820"/>
    <x v="1"/>
    <x v="0"/>
  </r>
  <r>
    <x v="4941"/>
    <x v="50"/>
    <x v="0"/>
    <x v="8"/>
    <x v="0"/>
    <x v="1"/>
    <x v="6"/>
    <x v="4821"/>
    <x v="0"/>
    <x v="4"/>
  </r>
  <r>
    <x v="4942"/>
    <x v="51"/>
    <x v="1"/>
    <x v="6"/>
    <x v="4"/>
    <x v="0"/>
    <x v="0"/>
    <x v="4822"/>
    <x v="0"/>
    <x v="2"/>
  </r>
  <r>
    <x v="4943"/>
    <x v="81"/>
    <x v="1"/>
    <x v="1"/>
    <x v="8"/>
    <x v="1"/>
    <x v="9"/>
    <x v="4823"/>
    <x v="0"/>
    <x v="0"/>
  </r>
  <r>
    <x v="4944"/>
    <x v="56"/>
    <x v="1"/>
    <x v="0"/>
    <x v="6"/>
    <x v="0"/>
    <x v="14"/>
    <x v="4824"/>
    <x v="0"/>
    <x v="1"/>
  </r>
  <r>
    <x v="4945"/>
    <x v="42"/>
    <x v="0"/>
    <x v="5"/>
    <x v="7"/>
    <x v="2"/>
    <x v="6"/>
    <x v="4825"/>
    <x v="0"/>
    <x v="2"/>
  </r>
  <r>
    <x v="4946"/>
    <x v="64"/>
    <x v="0"/>
    <x v="7"/>
    <x v="0"/>
    <x v="0"/>
    <x v="13"/>
    <x v="4826"/>
    <x v="0"/>
    <x v="0"/>
  </r>
  <r>
    <x v="4947"/>
    <x v="0"/>
    <x v="0"/>
    <x v="5"/>
    <x v="4"/>
    <x v="2"/>
    <x v="11"/>
    <x v="4827"/>
    <x v="1"/>
    <x v="2"/>
  </r>
  <r>
    <x v="4948"/>
    <x v="23"/>
    <x v="1"/>
    <x v="7"/>
    <x v="0"/>
    <x v="0"/>
    <x v="14"/>
    <x v="4828"/>
    <x v="1"/>
    <x v="4"/>
  </r>
  <r>
    <x v="4949"/>
    <x v="50"/>
    <x v="0"/>
    <x v="3"/>
    <x v="6"/>
    <x v="1"/>
    <x v="13"/>
    <x v="4829"/>
    <x v="1"/>
    <x v="1"/>
  </r>
  <r>
    <x v="4950"/>
    <x v="2"/>
    <x v="0"/>
    <x v="3"/>
    <x v="4"/>
    <x v="2"/>
    <x v="7"/>
    <x v="4830"/>
    <x v="1"/>
    <x v="1"/>
  </r>
  <r>
    <x v="4951"/>
    <x v="32"/>
    <x v="0"/>
    <x v="8"/>
    <x v="7"/>
    <x v="1"/>
    <x v="5"/>
    <x v="4831"/>
    <x v="1"/>
    <x v="3"/>
  </r>
  <r>
    <x v="4952"/>
    <x v="7"/>
    <x v="1"/>
    <x v="4"/>
    <x v="3"/>
    <x v="2"/>
    <x v="9"/>
    <x v="4832"/>
    <x v="0"/>
    <x v="4"/>
  </r>
  <r>
    <x v="4953"/>
    <x v="50"/>
    <x v="1"/>
    <x v="8"/>
    <x v="7"/>
    <x v="1"/>
    <x v="12"/>
    <x v="4833"/>
    <x v="1"/>
    <x v="1"/>
  </r>
  <r>
    <x v="4954"/>
    <x v="25"/>
    <x v="1"/>
    <x v="7"/>
    <x v="5"/>
    <x v="0"/>
    <x v="4"/>
    <x v="4834"/>
    <x v="1"/>
    <x v="1"/>
  </r>
  <r>
    <x v="4955"/>
    <x v="58"/>
    <x v="0"/>
    <x v="6"/>
    <x v="6"/>
    <x v="2"/>
    <x v="1"/>
    <x v="4835"/>
    <x v="1"/>
    <x v="1"/>
  </r>
  <r>
    <x v="4956"/>
    <x v="37"/>
    <x v="0"/>
    <x v="0"/>
    <x v="7"/>
    <x v="1"/>
    <x v="12"/>
    <x v="4836"/>
    <x v="1"/>
    <x v="0"/>
  </r>
  <r>
    <x v="4957"/>
    <x v="5"/>
    <x v="1"/>
    <x v="8"/>
    <x v="8"/>
    <x v="1"/>
    <x v="2"/>
    <x v="4837"/>
    <x v="1"/>
    <x v="4"/>
  </r>
  <r>
    <x v="4958"/>
    <x v="17"/>
    <x v="0"/>
    <x v="1"/>
    <x v="8"/>
    <x v="0"/>
    <x v="10"/>
    <x v="4838"/>
    <x v="1"/>
    <x v="1"/>
  </r>
  <r>
    <x v="4959"/>
    <x v="54"/>
    <x v="1"/>
    <x v="0"/>
    <x v="4"/>
    <x v="2"/>
    <x v="12"/>
    <x v="4839"/>
    <x v="0"/>
    <x v="2"/>
  </r>
  <r>
    <x v="4960"/>
    <x v="33"/>
    <x v="0"/>
    <x v="3"/>
    <x v="7"/>
    <x v="1"/>
    <x v="12"/>
    <x v="4840"/>
    <x v="1"/>
    <x v="2"/>
  </r>
  <r>
    <x v="4961"/>
    <x v="59"/>
    <x v="1"/>
    <x v="3"/>
    <x v="2"/>
    <x v="0"/>
    <x v="8"/>
    <x v="4841"/>
    <x v="0"/>
    <x v="0"/>
  </r>
  <r>
    <x v="4962"/>
    <x v="3"/>
    <x v="0"/>
    <x v="0"/>
    <x v="2"/>
    <x v="0"/>
    <x v="0"/>
    <x v="4842"/>
    <x v="0"/>
    <x v="4"/>
  </r>
  <r>
    <x v="4963"/>
    <x v="70"/>
    <x v="1"/>
    <x v="7"/>
    <x v="3"/>
    <x v="0"/>
    <x v="11"/>
    <x v="4843"/>
    <x v="1"/>
    <x v="3"/>
  </r>
  <r>
    <x v="4964"/>
    <x v="3"/>
    <x v="0"/>
    <x v="7"/>
    <x v="7"/>
    <x v="1"/>
    <x v="10"/>
    <x v="4844"/>
    <x v="1"/>
    <x v="1"/>
  </r>
  <r>
    <x v="4965"/>
    <x v="66"/>
    <x v="0"/>
    <x v="1"/>
    <x v="5"/>
    <x v="2"/>
    <x v="13"/>
    <x v="4845"/>
    <x v="1"/>
    <x v="3"/>
  </r>
  <r>
    <x v="4966"/>
    <x v="68"/>
    <x v="1"/>
    <x v="4"/>
    <x v="5"/>
    <x v="0"/>
    <x v="3"/>
    <x v="4846"/>
    <x v="1"/>
    <x v="4"/>
  </r>
  <r>
    <x v="4967"/>
    <x v="33"/>
    <x v="1"/>
    <x v="9"/>
    <x v="4"/>
    <x v="2"/>
    <x v="14"/>
    <x v="4710"/>
    <x v="1"/>
    <x v="2"/>
  </r>
  <r>
    <x v="4968"/>
    <x v="20"/>
    <x v="1"/>
    <x v="6"/>
    <x v="7"/>
    <x v="2"/>
    <x v="0"/>
    <x v="4847"/>
    <x v="1"/>
    <x v="3"/>
  </r>
  <r>
    <x v="4969"/>
    <x v="1"/>
    <x v="1"/>
    <x v="7"/>
    <x v="9"/>
    <x v="1"/>
    <x v="5"/>
    <x v="4848"/>
    <x v="0"/>
    <x v="3"/>
  </r>
  <r>
    <x v="4970"/>
    <x v="7"/>
    <x v="0"/>
    <x v="5"/>
    <x v="3"/>
    <x v="0"/>
    <x v="0"/>
    <x v="4849"/>
    <x v="0"/>
    <x v="0"/>
  </r>
  <r>
    <x v="4971"/>
    <x v="0"/>
    <x v="1"/>
    <x v="7"/>
    <x v="5"/>
    <x v="2"/>
    <x v="1"/>
    <x v="4850"/>
    <x v="1"/>
    <x v="3"/>
  </r>
  <r>
    <x v="4972"/>
    <x v="62"/>
    <x v="1"/>
    <x v="7"/>
    <x v="0"/>
    <x v="1"/>
    <x v="3"/>
    <x v="4851"/>
    <x v="1"/>
    <x v="1"/>
  </r>
  <r>
    <x v="4973"/>
    <x v="73"/>
    <x v="1"/>
    <x v="0"/>
    <x v="9"/>
    <x v="1"/>
    <x v="14"/>
    <x v="4852"/>
    <x v="0"/>
    <x v="1"/>
  </r>
  <r>
    <x v="4974"/>
    <x v="60"/>
    <x v="1"/>
    <x v="4"/>
    <x v="6"/>
    <x v="0"/>
    <x v="8"/>
    <x v="4853"/>
    <x v="0"/>
    <x v="3"/>
  </r>
  <r>
    <x v="4975"/>
    <x v="47"/>
    <x v="0"/>
    <x v="0"/>
    <x v="0"/>
    <x v="0"/>
    <x v="8"/>
    <x v="4854"/>
    <x v="1"/>
    <x v="0"/>
  </r>
  <r>
    <x v="4976"/>
    <x v="45"/>
    <x v="1"/>
    <x v="8"/>
    <x v="2"/>
    <x v="1"/>
    <x v="9"/>
    <x v="4855"/>
    <x v="0"/>
    <x v="1"/>
  </r>
  <r>
    <x v="4977"/>
    <x v="34"/>
    <x v="0"/>
    <x v="3"/>
    <x v="9"/>
    <x v="2"/>
    <x v="8"/>
    <x v="4856"/>
    <x v="1"/>
    <x v="3"/>
  </r>
  <r>
    <x v="4978"/>
    <x v="62"/>
    <x v="1"/>
    <x v="8"/>
    <x v="1"/>
    <x v="2"/>
    <x v="9"/>
    <x v="4857"/>
    <x v="0"/>
    <x v="1"/>
  </r>
  <r>
    <x v="4979"/>
    <x v="14"/>
    <x v="0"/>
    <x v="4"/>
    <x v="6"/>
    <x v="1"/>
    <x v="6"/>
    <x v="4858"/>
    <x v="1"/>
    <x v="1"/>
  </r>
  <r>
    <x v="4980"/>
    <x v="65"/>
    <x v="0"/>
    <x v="0"/>
    <x v="5"/>
    <x v="1"/>
    <x v="11"/>
    <x v="4859"/>
    <x v="0"/>
    <x v="3"/>
  </r>
  <r>
    <x v="4981"/>
    <x v="0"/>
    <x v="1"/>
    <x v="1"/>
    <x v="0"/>
    <x v="2"/>
    <x v="6"/>
    <x v="4860"/>
    <x v="1"/>
    <x v="4"/>
  </r>
  <r>
    <x v="4982"/>
    <x v="67"/>
    <x v="0"/>
    <x v="6"/>
    <x v="0"/>
    <x v="1"/>
    <x v="4"/>
    <x v="4861"/>
    <x v="1"/>
    <x v="1"/>
  </r>
  <r>
    <x v="4983"/>
    <x v="38"/>
    <x v="0"/>
    <x v="2"/>
    <x v="5"/>
    <x v="1"/>
    <x v="11"/>
    <x v="4862"/>
    <x v="0"/>
    <x v="1"/>
  </r>
  <r>
    <x v="4984"/>
    <x v="86"/>
    <x v="0"/>
    <x v="8"/>
    <x v="0"/>
    <x v="1"/>
    <x v="2"/>
    <x v="4863"/>
    <x v="1"/>
    <x v="3"/>
  </r>
  <r>
    <x v="4985"/>
    <x v="57"/>
    <x v="1"/>
    <x v="3"/>
    <x v="3"/>
    <x v="0"/>
    <x v="12"/>
    <x v="4864"/>
    <x v="0"/>
    <x v="2"/>
  </r>
  <r>
    <x v="4986"/>
    <x v="79"/>
    <x v="0"/>
    <x v="3"/>
    <x v="5"/>
    <x v="2"/>
    <x v="14"/>
    <x v="4865"/>
    <x v="1"/>
    <x v="3"/>
  </r>
  <r>
    <x v="4987"/>
    <x v="36"/>
    <x v="1"/>
    <x v="5"/>
    <x v="9"/>
    <x v="1"/>
    <x v="14"/>
    <x v="4866"/>
    <x v="0"/>
    <x v="4"/>
  </r>
  <r>
    <x v="4988"/>
    <x v="48"/>
    <x v="1"/>
    <x v="5"/>
    <x v="7"/>
    <x v="2"/>
    <x v="8"/>
    <x v="4867"/>
    <x v="1"/>
    <x v="3"/>
  </r>
  <r>
    <x v="4989"/>
    <x v="51"/>
    <x v="0"/>
    <x v="3"/>
    <x v="4"/>
    <x v="0"/>
    <x v="4"/>
    <x v="4868"/>
    <x v="0"/>
    <x v="4"/>
  </r>
  <r>
    <x v="4990"/>
    <x v="3"/>
    <x v="0"/>
    <x v="7"/>
    <x v="7"/>
    <x v="0"/>
    <x v="1"/>
    <x v="4869"/>
    <x v="0"/>
    <x v="3"/>
  </r>
  <r>
    <x v="4991"/>
    <x v="60"/>
    <x v="1"/>
    <x v="7"/>
    <x v="2"/>
    <x v="2"/>
    <x v="10"/>
    <x v="4870"/>
    <x v="1"/>
    <x v="2"/>
  </r>
  <r>
    <x v="4992"/>
    <x v="36"/>
    <x v="0"/>
    <x v="9"/>
    <x v="8"/>
    <x v="1"/>
    <x v="12"/>
    <x v="4871"/>
    <x v="0"/>
    <x v="1"/>
  </r>
  <r>
    <x v="4993"/>
    <x v="82"/>
    <x v="1"/>
    <x v="8"/>
    <x v="7"/>
    <x v="2"/>
    <x v="10"/>
    <x v="4872"/>
    <x v="1"/>
    <x v="3"/>
  </r>
  <r>
    <x v="4994"/>
    <x v="29"/>
    <x v="1"/>
    <x v="6"/>
    <x v="6"/>
    <x v="1"/>
    <x v="9"/>
    <x v="4873"/>
    <x v="0"/>
    <x v="3"/>
  </r>
  <r>
    <x v="4995"/>
    <x v="87"/>
    <x v="0"/>
    <x v="8"/>
    <x v="6"/>
    <x v="0"/>
    <x v="2"/>
    <x v="4874"/>
    <x v="0"/>
    <x v="2"/>
  </r>
  <r>
    <x v="4996"/>
    <x v="63"/>
    <x v="0"/>
    <x v="8"/>
    <x v="7"/>
    <x v="1"/>
    <x v="5"/>
    <x v="4875"/>
    <x v="0"/>
    <x v="2"/>
  </r>
  <r>
    <x v="4997"/>
    <x v="8"/>
    <x v="0"/>
    <x v="2"/>
    <x v="8"/>
    <x v="2"/>
    <x v="0"/>
    <x v="4876"/>
    <x v="0"/>
    <x v="0"/>
  </r>
  <r>
    <x v="4998"/>
    <x v="46"/>
    <x v="0"/>
    <x v="9"/>
    <x v="4"/>
    <x v="2"/>
    <x v="0"/>
    <x v="4877"/>
    <x v="0"/>
    <x v="4"/>
  </r>
  <r>
    <x v="4999"/>
    <x v="23"/>
    <x v="0"/>
    <x v="6"/>
    <x v="4"/>
    <x v="0"/>
    <x v="11"/>
    <x v="4878"/>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E8058-402A-4223-A880-6C4CD67B07B9}" name="PivotTable3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1:N12" firstHeaderRow="1" firstDataRow="1" firstDataCol="1"/>
  <pivotFields count="10">
    <pivotField showAll="0"/>
    <pivotField numFmtId="1" showAll="0">
      <items count="9">
        <item x="0"/>
        <item x="1"/>
        <item x="2"/>
        <item x="3"/>
        <item x="4"/>
        <item x="5"/>
        <item x="6"/>
        <item x="7"/>
        <item t="default"/>
      </items>
    </pivotField>
    <pivotField showAll="0"/>
    <pivotField axis="axisRow" showAll="0">
      <items count="11">
        <item x="2"/>
        <item x="6"/>
        <item x="5"/>
        <item x="0"/>
        <item x="8"/>
        <item x="3"/>
        <item x="9"/>
        <item x="7"/>
        <item x="1"/>
        <item x="4"/>
        <item t="default"/>
      </items>
    </pivotField>
    <pivotField showAll="0"/>
    <pivotField showAll="0"/>
    <pivotField numFmtId="1" showAll="0"/>
    <pivotField dataField="1" numFmtId="8" showAll="0"/>
    <pivotField showAll="0">
      <items count="3">
        <item x="0"/>
        <item x="1"/>
        <item t="default"/>
      </items>
    </pivotField>
    <pivotField numFmtId="1" showAll="0"/>
  </pivotFields>
  <rowFields count="1">
    <field x="3"/>
  </rowFields>
  <rowItems count="11">
    <i>
      <x/>
    </i>
    <i>
      <x v="1"/>
    </i>
    <i>
      <x v="2"/>
    </i>
    <i>
      <x v="3"/>
    </i>
    <i>
      <x v="4"/>
    </i>
    <i>
      <x v="5"/>
    </i>
    <i>
      <x v="6"/>
    </i>
    <i>
      <x v="7"/>
    </i>
    <i>
      <x v="8"/>
    </i>
    <i>
      <x v="9"/>
    </i>
    <i t="grand">
      <x/>
    </i>
  </rowItems>
  <colItems count="1">
    <i/>
  </colItems>
  <dataFields count="1">
    <dataField name="Average of Treatment_Cost" fld="7" subtotal="average" baseField="3" baseItem="0" numFmtId="6"/>
  </dataFields>
  <chartFormats count="1">
    <chartFormat chart="1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F299A-C4A9-417F-A351-5F72F292F180}" name="PivotTable3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9:B23" firstHeaderRow="1" firstDataRow="1" firstDataCol="1"/>
  <pivotFields count="10">
    <pivotField axis="axisRow"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items count="9">
        <item x="0"/>
        <item x="1"/>
        <item x="2"/>
        <item x="3"/>
        <item x="4"/>
        <item x="5"/>
        <item x="6"/>
        <item x="7"/>
        <item t="default"/>
      </items>
    </pivotField>
    <pivotField showAll="0"/>
    <pivotField showAll="0">
      <items count="11">
        <item x="2"/>
        <item x="6"/>
        <item x="5"/>
        <item x="0"/>
        <item x="8"/>
        <item x="3"/>
        <item x="9"/>
        <item x="7"/>
        <item x="1"/>
        <item x="4"/>
        <item t="default"/>
      </items>
    </pivotField>
    <pivotField showAll="0"/>
    <pivotField axis="axisRow" showAll="0">
      <items count="4">
        <item sd="0" x="2"/>
        <item sd="0" x="0"/>
        <item sd="0" x="1"/>
        <item t="default"/>
      </items>
    </pivotField>
    <pivotField numFmtId="1" showAll="0"/>
    <pivotField numFmtId="8" showAll="0"/>
    <pivotField showAll="0">
      <items count="3">
        <item x="0"/>
        <item x="1"/>
        <item t="default"/>
      </items>
    </pivotField>
    <pivotField numFmtId="1" showAll="0"/>
  </pivotFields>
  <rowFields count="2">
    <field x="5"/>
    <field x="0"/>
  </rowFields>
  <rowItems count="4">
    <i>
      <x/>
    </i>
    <i>
      <x v="1"/>
    </i>
    <i>
      <x v="2"/>
    </i>
    <i t="grand">
      <x/>
    </i>
  </rowItems>
  <colItems count="1">
    <i/>
  </colItems>
  <dataFields count="1">
    <dataField name="Count of Patient_ID" fld="0" subtotal="count" baseField="0" baseItem="0"/>
  </dataFields>
  <chartFormats count="4">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5" count="1" selected="0">
            <x v="0"/>
          </reference>
        </references>
      </pivotArea>
    </chartFormat>
    <chartFormat chart="11" format="23">
      <pivotArea type="data" outline="0" fieldPosition="0">
        <references count="2">
          <reference field="4294967294" count="1" selected="0">
            <x v="0"/>
          </reference>
          <reference field="5" count="1" selected="0">
            <x v="1"/>
          </reference>
        </references>
      </pivotArea>
    </chartFormat>
    <chartFormat chart="11" format="2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BABCCD-C9EA-49C0-9349-E09AFC251EAB}" name="PivotTable2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10">
    <pivotField axis="axisRow" dataField="1" showAll="0" defaultSubtotal="0">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pivotField>
    <pivotField numFmtId="1" showAll="0" defaultSubtotal="0">
      <items count="8">
        <item x="0"/>
        <item x="1"/>
        <item x="2"/>
        <item x="3"/>
        <item x="4"/>
        <item x="5"/>
        <item x="6"/>
        <item x="7"/>
      </items>
    </pivotField>
    <pivotField showAll="0" defaultSubtotal="0">
      <items count="2">
        <item x="1"/>
        <item x="0"/>
      </items>
    </pivotField>
    <pivotField axis="axisRow" showAll="0" defaultSubtotal="0">
      <items count="10">
        <item sd="0" x="2"/>
        <item sd="0" x="6"/>
        <item sd="0" x="5"/>
        <item sd="0" x="0"/>
        <item sd="0" x="8"/>
        <item sd="0" x="3"/>
        <item sd="0" x="9"/>
        <item sd="0" x="7"/>
        <item sd="0" x="1"/>
        <item sd="0" x="4"/>
      </items>
    </pivotField>
    <pivotField showAll="0" defaultSubtotal="0">
      <items count="10">
        <item x="9"/>
        <item x="4"/>
        <item x="1"/>
        <item x="3"/>
        <item x="6"/>
        <item x="0"/>
        <item x="5"/>
        <item x="8"/>
        <item x="2"/>
        <item x="7"/>
      </items>
    </pivotField>
    <pivotField showAll="0" defaultSubtotal="0">
      <items count="3">
        <item x="2"/>
        <item x="0"/>
        <item x="1"/>
      </items>
    </pivotField>
    <pivotField numFmtId="1" showAll="0" defaultSubtotal="0">
      <items count="15">
        <item x="10"/>
        <item x="2"/>
        <item x="14"/>
        <item x="13"/>
        <item x="0"/>
        <item x="7"/>
        <item x="5"/>
        <item x="6"/>
        <item x="11"/>
        <item x="12"/>
        <item x="1"/>
        <item x="9"/>
        <item x="8"/>
        <item x="4"/>
        <item x="3"/>
      </items>
    </pivotField>
    <pivotField numFmtId="8" showAll="0" defaultSubtotal="0">
      <items count="4879">
        <item x="752"/>
        <item x="3843"/>
        <item x="1586"/>
        <item x="1831"/>
        <item x="4344"/>
        <item x="4128"/>
        <item x="4774"/>
        <item x="1679"/>
        <item x="1122"/>
        <item x="4064"/>
        <item x="3002"/>
        <item x="621"/>
        <item x="1824"/>
        <item x="762"/>
        <item x="4519"/>
        <item x="1763"/>
        <item x="1249"/>
        <item x="3606"/>
        <item x="2779"/>
        <item x="79"/>
        <item x="1892"/>
        <item x="910"/>
        <item x="147"/>
        <item x="3118"/>
        <item x="3067"/>
        <item x="1891"/>
        <item x="2701"/>
        <item x="1009"/>
        <item x="4079"/>
        <item x="2279"/>
        <item x="1271"/>
        <item x="2392"/>
        <item x="1318"/>
        <item x="783"/>
        <item x="4799"/>
        <item x="1818"/>
        <item x="2381"/>
        <item x="2243"/>
        <item x="4110"/>
        <item x="2972"/>
        <item x="2084"/>
        <item x="1370"/>
        <item x="3533"/>
        <item x="151"/>
        <item x="30"/>
        <item x="1505"/>
        <item x="1016"/>
        <item x="1510"/>
        <item x="2349"/>
        <item x="921"/>
        <item x="896"/>
        <item x="825"/>
        <item x="4059"/>
        <item x="1817"/>
        <item x="3936"/>
        <item x="1357"/>
        <item x="1224"/>
        <item x="1130"/>
        <item x="1605"/>
        <item x="986"/>
        <item x="3722"/>
        <item x="1631"/>
        <item x="149"/>
        <item x="3453"/>
        <item x="92"/>
        <item x="3669"/>
        <item x="1687"/>
        <item x="1766"/>
        <item x="3273"/>
        <item x="47"/>
        <item x="726"/>
        <item x="3194"/>
        <item x="633"/>
        <item x="3413"/>
        <item x="3907"/>
        <item x="1460"/>
        <item x="2040"/>
        <item x="4686"/>
        <item x="3467"/>
        <item x="2320"/>
        <item x="4267"/>
        <item x="13"/>
        <item x="3875"/>
        <item x="2468"/>
        <item x="2241"/>
        <item x="2200"/>
        <item x="3099"/>
        <item x="4637"/>
        <item x="3570"/>
        <item x="3616"/>
        <item x="3198"/>
        <item x="494"/>
        <item x="727"/>
        <item x="4473"/>
        <item x="553"/>
        <item x="2529"/>
        <item x="595"/>
        <item x="1056"/>
        <item x="2301"/>
        <item x="470"/>
        <item x="3036"/>
        <item x="749"/>
        <item x="1522"/>
        <item x="1608"/>
        <item x="4568"/>
        <item x="4335"/>
        <item x="2403"/>
        <item x="1537"/>
        <item x="2609"/>
        <item x="2594"/>
        <item x="2825"/>
        <item x="2195"/>
        <item x="1861"/>
        <item x="3218"/>
        <item x="1159"/>
        <item x="835"/>
        <item x="1635"/>
        <item x="1384"/>
        <item x="1626"/>
        <item x="2260"/>
        <item x="109"/>
        <item x="2248"/>
        <item x="795"/>
        <item x="2542"/>
        <item x="2553"/>
        <item x="3195"/>
        <item x="110"/>
        <item x="2986"/>
        <item x="2823"/>
        <item x="1541"/>
        <item x="4555"/>
        <item x="560"/>
        <item x="187"/>
        <item x="3581"/>
        <item x="104"/>
        <item x="2523"/>
        <item x="1157"/>
        <item x="1740"/>
        <item x="1812"/>
        <item x="3689"/>
        <item x="2829"/>
        <item x="4595"/>
        <item x="2421"/>
        <item x="4714"/>
        <item x="1539"/>
        <item x="1737"/>
        <item x="3758"/>
        <item x="1484"/>
        <item x="806"/>
        <item x="1206"/>
        <item x="1425"/>
        <item x="3631"/>
        <item x="4014"/>
        <item x="2222"/>
        <item x="4372"/>
        <item x="2368"/>
        <item x="924"/>
        <item x="1994"/>
        <item x="1993"/>
        <item x="4022"/>
        <item x="2989"/>
        <item x="2209"/>
        <item x="2612"/>
        <item x="363"/>
        <item x="2690"/>
        <item x="3763"/>
        <item x="2474"/>
        <item x="640"/>
        <item x="1731"/>
        <item x="2183"/>
        <item x="2782"/>
        <item x="2432"/>
        <item x="1230"/>
        <item x="2663"/>
        <item x="1266"/>
        <item x="94"/>
        <item x="2176"/>
        <item x="301"/>
        <item x="4626"/>
        <item x="3742"/>
        <item x="3997"/>
        <item x="3832"/>
        <item x="532"/>
        <item x="1496"/>
        <item x="4142"/>
        <item x="3183"/>
        <item x="1738"/>
        <item x="185"/>
        <item x="775"/>
        <item x="1647"/>
        <item x="1207"/>
        <item x="2172"/>
        <item x="350"/>
        <item x="4458"/>
        <item x="1702"/>
        <item x="1379"/>
        <item x="3070"/>
        <item x="302"/>
        <item x="4203"/>
        <item x="3520"/>
        <item x="3783"/>
        <item x="3267"/>
        <item x="4298"/>
        <item x="1082"/>
        <item x="209"/>
        <item x="950"/>
        <item x="3296"/>
        <item x="1451"/>
        <item x="2348"/>
        <item x="1035"/>
        <item x="4878"/>
        <item x="1215"/>
        <item x="3593"/>
        <item x="2642"/>
        <item x="4067"/>
        <item x="2312"/>
        <item x="3544"/>
        <item x="423"/>
        <item x="2135"/>
        <item x="1205"/>
        <item x="333"/>
        <item x="87"/>
        <item x="4763"/>
        <item x="1121"/>
        <item x="7"/>
        <item x="2175"/>
        <item x="3329"/>
        <item x="3175"/>
        <item x="2091"/>
        <item x="4204"/>
        <item x="4484"/>
        <item x="142"/>
        <item x="1281"/>
        <item x="3964"/>
        <item x="2777"/>
        <item x="1876"/>
        <item x="1489"/>
        <item x="3600"/>
        <item x="2798"/>
        <item x="1592"/>
        <item x="4770"/>
        <item x="1901"/>
        <item x="3095"/>
        <item x="4387"/>
        <item x="4384"/>
        <item x="969"/>
        <item x="664"/>
        <item x="1947"/>
        <item x="4496"/>
        <item x="614"/>
        <item x="1863"/>
        <item x="1598"/>
        <item x="1455"/>
        <item x="4330"/>
        <item x="2426"/>
        <item x="1197"/>
        <item x="2269"/>
        <item x="1363"/>
        <item x="499"/>
        <item x="1015"/>
        <item x="961"/>
        <item x="1684"/>
        <item x="3236"/>
        <item x="2364"/>
        <item x="3206"/>
        <item x="1851"/>
        <item x="1790"/>
        <item x="4461"/>
        <item x="1192"/>
        <item x="1000"/>
        <item x="4290"/>
        <item x="3649"/>
        <item x="2524"/>
        <item x="4746"/>
        <item x="2885"/>
        <item x="3931"/>
        <item x="2683"/>
        <item x="2918"/>
        <item x="146"/>
        <item x="484"/>
        <item x="1936"/>
        <item x="2337"/>
        <item x="846"/>
        <item x="4645"/>
        <item x="3079"/>
        <item x="4063"/>
        <item x="1919"/>
        <item x="126"/>
        <item x="4677"/>
        <item x="4688"/>
        <item x="1503"/>
        <item x="1620"/>
        <item x="1203"/>
        <item x="3517"/>
        <item x="2297"/>
        <item x="2411"/>
        <item x="375"/>
        <item x="1659"/>
        <item x="269"/>
        <item x="168"/>
        <item x="3151"/>
        <item x="619"/>
        <item x="2551"/>
        <item x="2121"/>
        <item x="101"/>
        <item x="1303"/>
        <item x="566"/>
        <item x="3112"/>
        <item x="180"/>
        <item x="1711"/>
        <item x="179"/>
        <item x="3795"/>
        <item x="112"/>
        <item x="3539"/>
        <item x="297"/>
        <item x="3602"/>
        <item x="1166"/>
        <item x="2892"/>
        <item x="2990"/>
        <item x="823"/>
        <item x="3738"/>
        <item x="4533"/>
        <item x="1471"/>
        <item x="4600"/>
        <item x="2750"/>
        <item x="1939"/>
        <item x="824"/>
        <item x="36"/>
        <item x="2358"/>
        <item x="3232"/>
        <item x="4525"/>
        <item x="1178"/>
        <item x="4651"/>
        <item x="3754"/>
        <item x="389"/>
        <item x="2472"/>
        <item x="2604"/>
        <item x="2102"/>
        <item x="2548"/>
        <item x="467"/>
        <item x="3646"/>
        <item x="4761"/>
        <item x="4127"/>
        <item x="1835"/>
        <item x="3321"/>
        <item x="742"/>
        <item x="4440"/>
        <item x="1791"/>
        <item x="4556"/>
        <item x="2087"/>
        <item x="4091"/>
        <item x="4535"/>
        <item x="778"/>
        <item x="3696"/>
        <item x="3359"/>
        <item x="2584"/>
        <item x="2093"/>
        <item x="859"/>
        <item x="932"/>
        <item x="1764"/>
        <item x="569"/>
        <item x="3545"/>
        <item x="919"/>
        <item x="2216"/>
        <item x="4662"/>
        <item x="874"/>
        <item x="4609"/>
        <item x="1822"/>
        <item x="1670"/>
        <item x="3255"/>
        <item x="4863"/>
        <item x="72"/>
        <item x="4760"/>
        <item x="3667"/>
        <item x="1909"/>
        <item x="844"/>
        <item x="902"/>
        <item x="6"/>
        <item x="3571"/>
        <item x="4548"/>
        <item x="3497"/>
        <item x="304"/>
        <item x="3123"/>
        <item x="4013"/>
        <item x="1434"/>
        <item x="2625"/>
        <item x="4604"/>
        <item x="3962"/>
        <item x="601"/>
        <item x="446"/>
        <item x="2012"/>
        <item x="2571"/>
        <item x="1789"/>
        <item x="4420"/>
        <item x="3468"/>
        <item x="960"/>
        <item x="2755"/>
        <item x="545"/>
        <item x="1761"/>
        <item x="1913"/>
        <item x="1188"/>
        <item x="3066"/>
        <item x="3560"/>
        <item x="2591"/>
        <item x="680"/>
        <item x="1671"/>
        <item x="4734"/>
        <item x="220"/>
        <item x="550"/>
        <item x="1584"/>
        <item x="4052"/>
        <item x="379"/>
        <item x="1873"/>
        <item x="1696"/>
        <item x="1343"/>
        <item x="2832"/>
        <item x="4145"/>
        <item x="3741"/>
        <item x="3312"/>
        <item x="2130"/>
        <item x="4449"/>
        <item x="981"/>
        <item x="1345"/>
        <item x="2309"/>
        <item x="3926"/>
        <item x="4178"/>
        <item x="2059"/>
        <item x="3599"/>
        <item x="2558"/>
        <item x="3851"/>
        <item x="993"/>
        <item x="3132"/>
        <item x="458"/>
        <item x="1497"/>
        <item x="1528"/>
        <item x="4739"/>
        <item x="2771"/>
        <item x="1715"/>
        <item x="2066"/>
        <item x="1027"/>
        <item x="68"/>
        <item x="3778"/>
        <item x="3245"/>
        <item x="4518"/>
        <item x="690"/>
        <item x="1556"/>
        <item x="2283"/>
        <item x="4379"/>
        <item x="3698"/>
        <item x="3302"/>
        <item x="3664"/>
        <item x="44"/>
        <item x="2160"/>
        <item x="2004"/>
        <item x="2778"/>
        <item x="4728"/>
        <item x="3492"/>
        <item x="84"/>
        <item x="4010"/>
        <item x="670"/>
        <item x="2810"/>
        <item x="2526"/>
        <item x="879"/>
        <item x="4360"/>
        <item x="868"/>
        <item x="3748"/>
        <item x="3137"/>
        <item x="1424"/>
        <item x="3683"/>
        <item x="437"/>
        <item x="2556"/>
        <item x="4168"/>
        <item x="3389"/>
        <item x="2295"/>
        <item x="4730"/>
        <item x="4607"/>
        <item x="926"/>
        <item x="429"/>
        <item x="283"/>
        <item x="2051"/>
        <item x="3201"/>
        <item x="696"/>
        <item x="2025"/>
        <item x="751"/>
        <item x="2462"/>
        <item x="43"/>
        <item x="2875"/>
        <item x="3366"/>
        <item x="200"/>
        <item x="3325"/>
        <item x="4000"/>
        <item x="2424"/>
        <item x="4319"/>
        <item x="2835"/>
        <item x="3932"/>
        <item x="672"/>
        <item x="2062"/>
        <item x="543"/>
        <item x="3650"/>
        <item x="4804"/>
        <item x="157"/>
        <item x="2520"/>
        <item x="2085"/>
        <item x="2163"/>
        <item x="396"/>
        <item x="4815"/>
        <item x="2383"/>
        <item x="3574"/>
        <item x="3895"/>
        <item x="206"/>
        <item x="837"/>
        <item x="3351"/>
        <item x="3328"/>
        <item x="1075"/>
        <item x="1237"/>
        <item x="4725"/>
        <item x="4138"/>
        <item x="1905"/>
        <item x="214"/>
        <item x="3655"/>
        <item x="3953"/>
        <item x="956"/>
        <item x="4722"/>
        <item x="2108"/>
        <item x="1171"/>
        <item x="175"/>
        <item x="485"/>
        <item x="3713"/>
        <item x="3660"/>
        <item x="1391"/>
        <item x="3807"/>
        <item x="2660"/>
        <item x="59"/>
        <item x="4268"/>
        <item x="3493"/>
        <item x="739"/>
        <item x="1760"/>
        <item x="2389"/>
        <item x="1501"/>
        <item x="1442"/>
        <item x="4124"/>
        <item x="800"/>
        <item x="4670"/>
        <item x="1019"/>
        <item x="4767"/>
        <item x="121"/>
        <item x="3946"/>
        <item x="995"/>
        <item x="2763"/>
        <item x="3479"/>
        <item x="1639"/>
        <item x="4447"/>
        <item x="4113"/>
        <item x="788"/>
        <item x="2001"/>
        <item x="2716"/>
        <item x="1065"/>
        <item x="1841"/>
        <item x="2201"/>
        <item x="2166"/>
        <item x="3396"/>
        <item x="3898"/>
        <item x="3119"/>
        <item x="2879"/>
        <item x="1062"/>
        <item x="3800"/>
        <item x="4776"/>
        <item x="2606"/>
        <item x="3353"/>
        <item x="3392"/>
        <item x="1842"/>
        <item x="211"/>
        <item x="4069"/>
        <item x="1110"/>
        <item x="3645"/>
        <item x="465"/>
        <item x="4180"/>
        <item x="1352"/>
        <item x="4752"/>
        <item x="2802"/>
        <item x="612"/>
        <item x="1026"/>
        <item x="1609"/>
        <item x="3204"/>
        <item x="598"/>
        <item x="3815"/>
        <item x="1805"/>
        <item x="4186"/>
        <item x="100"/>
        <item x="4665"/>
        <item x="3212"/>
        <item x="4109"/>
        <item x="1972"/>
        <item x="3577"/>
        <item x="3295"/>
        <item x="3734"/>
        <item x="1486"/>
        <item x="3416"/>
        <item x="442"/>
        <item x="3344"/>
        <item x="259"/>
        <item x="935"/>
        <item x="3395"/>
        <item x="3505"/>
        <item x="152"/>
        <item x="1396"/>
        <item x="31"/>
        <item x="3411"/>
        <item x="2258"/>
        <item x="1561"/>
        <item x="2075"/>
        <item x="2057"/>
        <item x="2662"/>
        <item x="2069"/>
        <item x="2458"/>
        <item x="3290"/>
        <item x="15"/>
        <item x="2067"/>
        <item x="60"/>
        <item x="2904"/>
        <item x="3239"/>
        <item x="3100"/>
        <item x="3589"/>
        <item x="3675"/>
        <item x="1289"/>
        <item x="1025"/>
        <item x="1296"/>
        <item x="3572"/>
        <item x="2794"/>
        <item x="927"/>
        <item x="289"/>
        <item x="4136"/>
        <item x="4220"/>
        <item x="850"/>
        <item x="1273"/>
        <item x="1945"/>
        <item x="4846"/>
        <item x="428"/>
        <item x="2492"/>
        <item x="2310"/>
        <item x="1427"/>
        <item x="4023"/>
        <item x="3144"/>
        <item x="2712"/>
        <item x="2811"/>
        <item x="949"/>
        <item x="4095"/>
        <item x="4501"/>
        <item x="996"/>
        <item x="2171"/>
        <item x="2219"/>
        <item x="897"/>
        <item x="4864"/>
        <item x="4486"/>
        <item x="3845"/>
        <item x="4390"/>
        <item x="2783"/>
        <item x="639"/>
        <item x="2491"/>
        <item x="1107"/>
        <item x="3625"/>
        <item x="4380"/>
        <item x="3133"/>
        <item x="4495"/>
        <item x="3591"/>
        <item x="2974"/>
        <item x="368"/>
        <item x="3203"/>
        <item x="1052"/>
        <item x="1969"/>
        <item x="3288"/>
        <item x="3708"/>
        <item x="4158"/>
        <item x="1700"/>
        <item x="3819"/>
        <item x="1039"/>
        <item x="1814"/>
        <item x="339"/>
        <item x="2223"/>
        <item x="3960"/>
        <item x="3787"/>
        <item x="3280"/>
        <item x="4410"/>
        <item x="515"/>
        <item x="1916"/>
        <item x="3825"/>
        <item x="2325"/>
        <item x="513"/>
        <item x="3808"/>
        <item x="4185"/>
        <item x="3012"/>
        <item x="4265"/>
        <item x="3594"/>
        <item x="2032"/>
        <item x="483"/>
        <item x="2871"/>
        <item x="3317"/>
        <item x="1582"/>
        <item x="4225"/>
        <item x="3814"/>
        <item x="4135"/>
        <item x="2854"/>
        <item x="344"/>
        <item x="4342"/>
        <item x="2948"/>
        <item x="3038"/>
        <item x="1309"/>
        <item x="2658"/>
        <item x="3983"/>
        <item x="2598"/>
        <item x="3744"/>
        <item x="1123"/>
        <item x="4573"/>
        <item x="1854"/>
        <item x="3191"/>
        <item x="4559"/>
        <item x="615"/>
        <item x="3950"/>
        <item x="3944"/>
        <item x="768"/>
        <item x="3462"/>
        <item x="4208"/>
        <item x="1437"/>
        <item x="655"/>
        <item x="4086"/>
        <item x="4264"/>
        <item x="1233"/>
        <item x="2402"/>
        <item x="1544"/>
        <item x="3451"/>
        <item x="4117"/>
        <item x="597"/>
        <item x="2681"/>
        <item x="2454"/>
        <item x="1195"/>
        <item x="1492"/>
        <item x="1708"/>
        <item x="3918"/>
        <item x="1540"/>
        <item x="4812"/>
        <item x="405"/>
        <item x="1402"/>
        <item x="1658"/>
        <item x="3031"/>
        <item x="3759"/>
        <item x="497"/>
        <item x="2869"/>
        <item x="2626"/>
        <item x="3115"/>
        <item x="3169"/>
        <item x="1912"/>
        <item x="2229"/>
        <item x="2029"/>
        <item x="793"/>
        <item x="4408"/>
        <item x="1294"/>
        <item x="1871"/>
        <item x="413"/>
        <item x="225"/>
        <item x="2328"/>
        <item x="221"/>
        <item x="4643"/>
        <item x="4699"/>
        <item x="4305"/>
        <item x="4807"/>
        <item x="3529"/>
        <item x="2412"/>
        <item x="610"/>
        <item x="871"/>
        <item x="3541"/>
        <item x="4166"/>
        <item x="695"/>
        <item x="1587"/>
        <item x="3327"/>
        <item x="1380"/>
        <item x="3159"/>
        <item x="4405"/>
        <item x="4191"/>
        <item x="1957"/>
        <item x="2330"/>
        <item x="2038"/>
        <item x="2785"/>
        <item x="4285"/>
        <item x="4051"/>
        <item x="1169"/>
        <item x="186"/>
        <item x="524"/>
        <item x="928"/>
        <item x="652"/>
        <item x="2962"/>
        <item x="1170"/>
        <item x="4402"/>
        <item x="3270"/>
        <item x="3444"/>
        <item x="951"/>
        <item x="3523"/>
        <item x="3350"/>
        <item x="4439"/>
        <item x="1317"/>
        <item x="3985"/>
        <item x="3242"/>
        <item x="1319"/>
        <item x="3244"/>
        <item x="1394"/>
        <item x="3253"/>
        <item x="1116"/>
        <item x="3110"/>
        <item x="3085"/>
        <item x="4181"/>
        <item x="3180"/>
        <item x="647"/>
        <item x="2142"/>
        <item x="1014"/>
        <item x="4505"/>
        <item x="2036"/>
        <item x="3093"/>
        <item x="1341"/>
        <item x="2467"/>
        <item x="2747"/>
        <item x="4008"/>
        <item x="3853"/>
        <item x="3170"/>
        <item x="2572"/>
        <item x="1470"/>
        <item x="1047"/>
        <item x="4448"/>
        <item x="4455"/>
        <item x="2208"/>
        <item x="1147"/>
        <item x="1547"/>
        <item x="353"/>
        <item x="4288"/>
        <item x="335"/>
        <item x="438"/>
        <item x="4218"/>
        <item x="131"/>
        <item x="2215"/>
        <item x="785"/>
        <item x="17"/>
        <item x="235"/>
        <item x="3746"/>
        <item x="4615"/>
        <item x="1225"/>
        <item x="3435"/>
        <item x="4854"/>
        <item x="4472"/>
        <item x="684"/>
        <item x="767"/>
        <item x="2409"/>
        <item x="2512"/>
        <item x="1227"/>
        <item x="847"/>
        <item x="822"/>
        <item x="1485"/>
        <item x="3078"/>
        <item x="2345"/>
        <item x="2154"/>
        <item x="3464"/>
        <item x="273"/>
        <item x="790"/>
        <item x="3690"/>
        <item x="102"/>
        <item x="1057"/>
        <item x="1619"/>
        <item x="2056"/>
        <item x="2356"/>
        <item x="1978"/>
        <item x="3216"/>
        <item x="1987"/>
        <item x="4200"/>
        <item x="4492"/>
        <item x="4182"/>
        <item x="52"/>
        <item x="2386"/>
        <item x="450"/>
        <item x="4572"/>
        <item x="3407"/>
        <item x="4602"/>
        <item x="378"/>
        <item x="1784"/>
        <item x="3695"/>
        <item x="471"/>
        <item x="1007"/>
        <item x="4419"/>
        <item x="4772"/>
        <item x="3736"/>
        <item x="1187"/>
        <item x="1413"/>
        <item x="258"/>
        <item x="2893"/>
        <item x="3060"/>
        <item x="1573"/>
        <item x="3901"/>
        <item x="3524"/>
        <item x="2506"/>
        <item x="3398"/>
        <item x="3084"/>
        <item x="1848"/>
        <item x="3498"/>
        <item x="1272"/>
        <item x="1048"/>
        <item x="2903"/>
        <item x="3487"/>
        <item x="1387"/>
        <item x="4080"/>
        <item x="1672"/>
        <item x="839"/>
        <item x="1885"/>
        <item x="2848"/>
        <item x="227"/>
        <item x="1621"/>
        <item x="1720"/>
        <item x="2516"/>
        <item x="4039"/>
        <item x="4047"/>
        <item x="2849"/>
        <item x="2814"/>
        <item x="1979"/>
        <item x="643"/>
        <item x="4517"/>
        <item x="1312"/>
        <item x="4226"/>
        <item x="365"/>
        <item x="3294"/>
        <item x="723"/>
        <item x="3796"/>
        <item x="1064"/>
        <item x="1099"/>
        <item x="1342"/>
        <item x="4366"/>
        <item x="3685"/>
        <item x="3945"/>
        <item x="1138"/>
        <item x="3279"/>
        <item x="576"/>
        <item x="4421"/>
        <item x="1036"/>
        <item x="1344"/>
        <item x="4528"/>
        <item x="4606"/>
        <item x="2937"/>
        <item x="1543"/>
        <item x="1446"/>
        <item x="400"/>
        <item x="1826"/>
        <item x="2096"/>
        <item x="275"/>
        <item x="3530"/>
        <item x="307"/>
        <item x="64"/>
        <item x="4491"/>
        <item x="2735"/>
        <item x="330"/>
        <item x="1676"/>
        <item x="3628"/>
        <item x="761"/>
        <item x="3958"/>
        <item x="1262"/>
        <item x="4240"/>
        <item x="2912"/>
        <item x="4666"/>
        <item x="1365"/>
        <item x="3540"/>
        <item x="383"/>
        <item x="735"/>
        <item x="456"/>
        <item x="3345"/>
        <item x="1748"/>
        <item x="3642"/>
        <item x="196"/>
        <item x="2635"/>
        <item x="2647"/>
        <item x="4401"/>
        <item x="1597"/>
        <item x="1770"/>
        <item x="1771"/>
        <item x="4062"/>
        <item x="417"/>
        <item x="392"/>
        <item x="3197"/>
        <item x="487"/>
        <item x="3355"/>
        <item x="4160"/>
        <item x="3000"/>
        <item x="3441"/>
        <item x="1060"/>
        <item x="1377"/>
        <item x="2144"/>
        <item x="2895"/>
        <item x="2590"/>
        <item x="2535"/>
        <item x="3691"/>
        <item x="1845"/>
        <item x="1055"/>
        <item x="2882"/>
        <item x="346"/>
        <item x="328"/>
        <item x="4764"/>
        <item x="4325"/>
        <item x="4861"/>
        <item x="1053"/>
        <item x="2430"/>
        <item x="2214"/>
        <item x="3113"/>
        <item x="3811"/>
        <item x="2705"/>
        <item x="138"/>
        <item x="4159"/>
        <item x="1322"/>
        <item x="2277"/>
        <item x="4747"/>
        <item x="1382"/>
        <item x="1967"/>
        <item x="3640"/>
        <item x="3799"/>
        <item x="2640"/>
        <item x="2623"/>
        <item x="1811"/>
        <item x="3386"/>
        <item x="4617"/>
        <item x="37"/>
        <item x="1562"/>
        <item x="3515"/>
        <item x="3716"/>
        <item x="1840"/>
        <item x="2563"/>
        <item x="3556"/>
        <item x="4313"/>
        <item x="1515"/>
        <item x="2167"/>
        <item x="2592"/>
        <item x="3969"/>
        <item x="1054"/>
        <item x="1364"/>
        <item x="725"/>
        <item x="3341"/>
        <item x="3939"/>
        <item x="1773"/>
        <item x="4347"/>
        <item x="3613"/>
        <item x="56"/>
        <item x="2670"/>
        <item x="4490"/>
        <item x="3383"/>
        <item x="758"/>
        <item x="650"/>
        <item x="2920"/>
        <item x="3528"/>
        <item x="1996"/>
        <item x="3849"/>
        <item x="2930"/>
        <item x="1105"/>
        <item x="3083"/>
        <item x="2013"/>
        <item x="2923"/>
        <item x="3915"/>
        <item x="4660"/>
        <item x="1183"/>
        <item x="444"/>
        <item x="4608"/>
        <item x="1373"/>
        <item x="2517"/>
        <item x="1714"/>
        <item x="3665"/>
        <item x="1255"/>
        <item x="2984"/>
        <item x="4468"/>
        <item x="4307"/>
        <item x="4327"/>
        <item x="2907"/>
        <item x="1970"/>
        <item x="3972"/>
        <item x="478"/>
        <item x="3478"/>
        <item x="2709"/>
        <item x="1627"/>
        <item x="3521"/>
        <item x="2917"/>
        <item x="3617"/>
        <item x="1856"/>
        <item x="276"/>
        <item x="3088"/>
        <item x="3116"/>
        <item x="948"/>
        <item x="940"/>
        <item x="1415"/>
        <item x="836"/>
        <item x="581"/>
        <item x="2369"/>
        <item x="3775"/>
        <item x="2023"/>
        <item x="4630"/>
        <item x="4471"/>
        <item x="4362"/>
        <item x="4613"/>
        <item x="122"/>
        <item x="3171"/>
        <item x="2253"/>
        <item x="3966"/>
        <item x="2031"/>
        <item x="1832"/>
        <item x="3056"/>
        <item x="1966"/>
        <item x="3659"/>
        <item x="2143"/>
        <item x="4507"/>
        <item x="3923"/>
        <item x="4239"/>
        <item x="604"/>
        <item x="3766"/>
        <item x="4536"/>
        <item x="3793"/>
        <item x="2873"/>
        <item x="2061"/>
        <item x="50"/>
        <item x="3308"/>
        <item x="2010"/>
        <item x="1202"/>
        <item x="1611"/>
        <item x="1013"/>
        <item x="213"/>
        <item x="2583"/>
        <item x="3061"/>
        <item x="3385"/>
        <item x="2608"/>
        <item x="1134"/>
        <item x="3209"/>
        <item x="3364"/>
        <item x="551"/>
        <item x="1443"/>
        <item x="1825"/>
        <item x="2672"/>
        <item x="4245"/>
        <item x="3465"/>
        <item x="1719"/>
        <item x="3729"/>
        <item x="3026"/>
        <item x="2883"/>
        <item x="4016"/>
        <item x="2645"/>
        <item x="11"/>
        <item x="1636"/>
        <item x="2815"/>
        <item x="4690"/>
        <item x="1630"/>
        <item x="1376"/>
        <item x="2341"/>
        <item x="1083"/>
        <item x="627"/>
        <item x="987"/>
        <item x="3193"/>
        <item x="1744"/>
        <item x="2429"/>
        <item x="2417"/>
        <item x="2725"/>
        <item x="4282"/>
        <item x="4437"/>
        <item x="3432"/>
        <item x="2922"/>
        <item x="967"/>
        <item x="4806"/>
        <item x="529"/>
        <item x="1685"/>
        <item x="2352"/>
        <item x="4037"/>
        <item x="4425"/>
        <item x="3237"/>
        <item x="2655"/>
        <item x="1951"/>
        <item x="4025"/>
        <item x="1236"/>
        <item x="3595"/>
        <item x="1097"/>
        <item x="2065"/>
        <item x="562"/>
        <item x="4558"/>
        <item x="1915"/>
        <item x="3971"/>
        <item x="419"/>
        <item x="1439"/>
        <item x="2620"/>
        <item x="1218"/>
        <item x="1024"/>
        <item x="1120"/>
        <item x="4868"/>
        <item x="2833"/>
        <item x="4125"/>
        <item x="4857"/>
        <item x="2477"/>
        <item x="4512"/>
        <item x="4493"/>
        <item x="2602"/>
        <item x="1257"/>
        <item x="3537"/>
        <item x="506"/>
        <item x="1753"/>
        <item x="230"/>
        <item x="579"/>
        <item x="4176"/>
        <item x="305"/>
        <item x="4546"/>
        <item x="1422"/>
        <item x="3822"/>
        <item x="1680"/>
        <item x="1756"/>
        <item x="3896"/>
        <item x="1512"/>
        <item x="2189"/>
        <item x="3414"/>
        <item x="4300"/>
        <item x="1940"/>
        <item x="237"/>
        <item x="3804"/>
        <item x="990"/>
        <item x="2992"/>
        <item x="324"/>
        <item x="2564"/>
        <item x="4702"/>
        <item x="4105"/>
        <item x="609"/>
        <item x="1360"/>
        <item x="759"/>
        <item x="4146"/>
        <item x="1093"/>
        <item x="1548"/>
        <item x="764"/>
        <item x="4647"/>
        <item x="574"/>
        <item x="1146"/>
        <item x="4749"/>
        <item x="2293"/>
        <item x="4803"/>
        <item x="2133"/>
        <item x="4779"/>
        <item x="3447"/>
        <item x="4076"/>
        <item x="4575"/>
        <item x="1858"/>
        <item x="2573"/>
        <item x="3134"/>
        <item x="582"/>
        <item x="3884"/>
        <item x="2717"/>
        <item x="2308"/>
        <item x="4216"/>
        <item x="4825"/>
        <item x="1453"/>
        <item x="4678"/>
        <item x="4195"/>
        <item x="3727"/>
        <item x="3670"/>
        <item x="1538"/>
        <item x="26"/>
        <item x="1950"/>
        <item x="1893"/>
        <item x="4157"/>
        <item x="172"/>
        <item x="2758"/>
        <item x="391"/>
        <item x="3011"/>
        <item x="754"/>
        <item x="3073"/>
        <item x="1504"/>
        <item x="3755"/>
        <item x="4745"/>
        <item x="2746"/>
        <item x="3494"/>
        <item x="521"/>
        <item x="4129"/>
        <item x="2872"/>
        <item x="85"/>
        <item x="3629"/>
        <item x="2514"/>
        <item x="2193"/>
        <item x="3293"/>
        <item x="2589"/>
        <item x="546"/>
        <item x="1283"/>
        <item x="425"/>
        <item x="1210"/>
        <item x="4639"/>
        <item x="2999"/>
        <item x="77"/>
        <item x="1514"/>
        <item x="1228"/>
        <item x="1410"/>
        <item x="1815"/>
        <item x="613"/>
        <item x="278"/>
        <item x="1291"/>
        <item x="3097"/>
        <item x="3992"/>
        <item x="279"/>
        <item x="876"/>
        <item x="4497"/>
        <item x="2610"/>
        <item x="4715"/>
        <item x="1033"/>
        <item x="1553"/>
        <item x="4189"/>
        <item x="4228"/>
        <item x="3283"/>
        <item x="4371"/>
        <item x="3409"/>
        <item x="511"/>
        <item x="4584"/>
        <item x="2994"/>
        <item x="1020"/>
        <item x="3809"/>
        <item x="3612"/>
        <item x="4363"/>
        <item x="599"/>
        <item x="2199"/>
        <item x="3771"/>
        <item x="3906"/>
        <item x="1042"/>
        <item x="2198"/>
        <item x="2689"/>
        <item x="2807"/>
        <item x="4840"/>
        <item x="2039"/>
        <item x="2265"/>
        <item x="2585"/>
        <item x="390"/>
        <item x="242"/>
        <item x="338"/>
        <item x="4027"/>
        <item x="1868"/>
        <item x="2184"/>
        <item x="4024"/>
        <item x="3074"/>
        <item x="1877"/>
        <item x="1653"/>
        <item x="1253"/>
        <item x="656"/>
        <item x="2897"/>
        <item x="663"/>
        <item x="2843"/>
        <item x="1965"/>
        <item x="2052"/>
        <item x="3427"/>
        <item x="463"/>
        <item x="4530"/>
        <item x="2845"/>
        <item x="141"/>
        <item x="3434"/>
        <item x="818"/>
        <item x="2908"/>
        <item x="181"/>
        <item x="2398"/>
        <item x="2720"/>
        <item x="2147"/>
        <item x="488"/>
        <item x="4418"/>
        <item x="418"/>
        <item x="1558"/>
        <item x="4644"/>
        <item x="1149"/>
        <item x="3954"/>
        <item x="2696"/>
        <item x="2475"/>
        <item x="1859"/>
        <item x="1231"/>
        <item x="878"/>
        <item x="4070"/>
        <item x="3608"/>
        <item x="3484"/>
        <item x="1712"/>
        <item x="1776"/>
        <item x="1104"/>
        <item x="3989"/>
        <item x="980"/>
        <item x="1697"/>
        <item x="4210"/>
        <item x="2860"/>
        <item x="1575"/>
        <item x="1374"/>
        <item x="572"/>
        <item x="3948"/>
        <item x="1579"/>
        <item x="3830"/>
        <item x="3221"/>
        <item x="2499"/>
        <item x="3307"/>
        <item x="2033"/>
        <item x="461"/>
        <item x="4445"/>
        <item x="4826"/>
        <item x="2024"/>
        <item x="3019"/>
        <item x="1743"/>
        <item x="262"/>
        <item x="2484"/>
        <item x="4150"/>
        <item x="3263"/>
        <item x="475"/>
        <item x="357"/>
        <item x="4114"/>
        <item x="303"/>
        <item x="4508"/>
        <item x="4034"/>
        <item x="669"/>
        <item x="1165"/>
        <item x="3598"/>
        <item x="327"/>
        <item x="486"/>
        <item x="4855"/>
        <item x="1438"/>
        <item x="558"/>
        <item x="1314"/>
        <item x="4346"/>
        <item x="841"/>
        <item x="441"/>
        <item x="4048"/>
        <item x="4329"/>
        <item x="2445"/>
        <item x="1865"/>
        <item x="2639"/>
        <item x="857"/>
        <item x="399"/>
        <item x="3542"/>
        <item x="1011"/>
        <item x="568"/>
        <item x="3476"/>
        <item x="1244"/>
        <item x="1081"/>
        <item x="2095"/>
        <item x="3145"/>
        <item x="1372"/>
        <item x="1085"/>
        <item x="4259"/>
        <item x="3262"/>
        <item x="469"/>
        <item x="4560"/>
        <item x="1098"/>
        <item x="1716"/>
        <item x="3126"/>
        <item x="490"/>
        <item x="542"/>
        <item x="294"/>
        <item x="2961"/>
        <item x="1267"/>
        <item x="1441"/>
        <item x="3075"/>
        <item x="4046"/>
        <item x="334"/>
        <item x="3064"/>
        <item x="1366"/>
        <item x="2809"/>
        <item x="1846"/>
        <item x="3076"/>
        <item x="636"/>
        <item x="3337"/>
        <item x="701"/>
        <item x="364"/>
        <item x="4214"/>
        <item x="401"/>
        <item x="397"/>
        <item x="3460"/>
        <item x="4794"/>
        <item x="2278"/>
        <item x="1102"/>
        <item x="1819"/>
        <item x="4567"/>
        <item x="4281"/>
        <item x="1431"/>
        <item x="2276"/>
        <item x="53"/>
        <item x="2714"/>
        <item x="1594"/>
        <item x="1823"/>
        <item x="2669"/>
        <item x="1124"/>
        <item x="3673"/>
        <item x="2340"/>
        <item x="681"/>
        <item x="260"/>
        <item x="1650"/>
        <item x="3575"/>
        <item x="3343"/>
        <item x="1135"/>
        <item x="3977"/>
        <item x="3601"/>
        <item x="1465"/>
        <item x="3893"/>
        <item x="4680"/>
        <item x="4361"/>
        <item x="4020"/>
        <item x="4694"/>
        <item x="3782"/>
        <item x="914"/>
        <item x="4487"/>
        <item x="2703"/>
        <item x="1030"/>
        <item x="2819"/>
        <item x="3724"/>
        <item x="1304"/>
        <item x="4139"/>
        <item x="4820"/>
        <item x="3324"/>
        <item x="4426"/>
        <item x="2157"/>
        <item x="1474"/>
        <item x="45"/>
        <item x="4847"/>
        <item x="4381"/>
        <item x="2837"/>
        <item x="3928"/>
        <item x="464"/>
        <item x="3956"/>
        <item x="1980"/>
        <item x="830"/>
        <item x="2270"/>
        <item x="1156"/>
        <item x="901"/>
        <item x="377"/>
        <item x="4438"/>
        <item x="944"/>
        <item x="2246"/>
        <item x="2479"/>
        <item x="3777"/>
        <item x="1746"/>
        <item x="4099"/>
        <item x="3509"/>
        <item x="134"/>
        <item x="3161"/>
        <item x="1328"/>
        <item x="1067"/>
        <item x="2797"/>
        <item x="2192"/>
        <item x="4093"/>
        <item x="248"/>
        <item x="860"/>
        <item x="3419"/>
        <item x="3621"/>
        <item x="3641"/>
        <item x="4697"/>
        <item x="1408"/>
        <item x="3513"/>
        <item x="204"/>
        <item x="240"/>
        <item x="3784"/>
        <item x="3558"/>
        <item x="4823"/>
        <item x="1897"/>
        <item x="2302"/>
        <item x="593"/>
        <item x="848"/>
        <item x="1732"/>
        <item x="3658"/>
        <item x="2413"/>
        <item x="2035"/>
        <item x="888"/>
        <item x="2439"/>
        <item x="1713"/>
        <item x="2686"/>
        <item x="1426"/>
        <item x="3347"/>
        <item x="427"/>
        <item x="3707"/>
        <item x="3230"/>
        <item x="1646"/>
        <item x="2786"/>
        <item x="3278"/>
        <item x="2197"/>
        <item x="4481"/>
        <item x="4591"/>
        <item x="3868"/>
        <item x="623"/>
        <item x="2532"/>
        <item x="3974"/>
        <item x="4554"/>
        <item x="4311"/>
        <item x="4742"/>
        <item x="2366"/>
        <item x="3965"/>
        <item x="1302"/>
        <item x="2315"/>
        <item x="908"/>
        <item x="1346"/>
        <item x="18"/>
        <item x="745"/>
        <item x="3301"/>
        <item x="2861"/>
        <item x="3034"/>
        <item x="466"/>
        <item x="2070"/>
        <item x="42"/>
        <item x="2435"/>
        <item x="2960"/>
        <item x="3148"/>
        <item x="3862"/>
        <item x="1920"/>
        <item x="3246"/>
        <item x="3768"/>
        <item x="2159"/>
        <item x="812"/>
        <item x="2928"/>
        <item x="343"/>
        <item x="4415"/>
        <item x="2236"/>
        <item x="1079"/>
        <item x="3792"/>
        <item x="371"/>
        <item x="4771"/>
        <item x="2042"/>
        <item x="2800"/>
        <item x="2206"/>
        <item x="4262"/>
        <item x="3496"/>
        <item x="1137"/>
        <item x="555"/>
        <item x="2852"/>
        <item x="2760"/>
        <item x="3101"/>
        <item x="708"/>
        <item x="1095"/>
        <item x="1395"/>
        <item x="1200"/>
        <item x="1637"/>
        <item x="651"/>
        <item x="3305"/>
        <item x="4033"/>
        <item x="618"/>
        <item x="3410"/>
        <item x="2627"/>
        <item x="1565"/>
        <item x="4328"/>
        <item x="904"/>
        <item x="3507"/>
        <item x="602"/>
        <item x="815"/>
        <item x="2518"/>
        <item x="3826"/>
        <item x="1333"/>
        <item x="3082"/>
        <item x="1290"/>
        <item x="2053"/>
        <item x="1468"/>
        <item x="4255"/>
        <item x="2976"/>
        <item x="668"/>
        <item x="3090"/>
        <item x="4289"/>
        <item x="4144"/>
        <item x="1604"/>
        <item x="3412"/>
        <item x="2851"/>
        <item x="3415"/>
        <item x="148"/>
        <item x="3684"/>
        <item x="2975"/>
        <item x="1477"/>
        <item x="4634"/>
        <item x="2441"/>
        <item x="2973"/>
        <item x="103"/>
        <item x="3062"/>
        <item x="4345"/>
        <item x="4297"/>
        <item x="3228"/>
        <item x="133"/>
        <item x="2014"/>
        <item x="2890"/>
        <item x="1295"/>
        <item x="4261"/>
        <item x="2395"/>
        <item x="4041"/>
        <item x="434"/>
        <item x="979"/>
        <item x="851"/>
        <item x="239"/>
        <item x="2375"/>
        <item x="2254"/>
        <item x="1211"/>
        <item x="4808"/>
        <item x="1533"/>
        <item x="1559"/>
        <item x="673"/>
        <item x="1219"/>
        <item x="1641"/>
        <item x="4540"/>
        <item x="1665"/>
        <item x="4712"/>
        <item x="3436"/>
        <item x="4503"/>
        <item x="1284"/>
        <item x="4227"/>
        <item x="955"/>
        <item x="2106"/>
        <item x="3227"/>
        <item x="658"/>
        <item x="2754"/>
        <item x="1297"/>
        <item x="3289"/>
        <item x="2503"/>
        <item x="4223"/>
        <item x="4762"/>
        <item x="2846"/>
        <item x="4400"/>
        <item x="2049"/>
        <item x="2806"/>
        <item x="3973"/>
        <item x="4352"/>
        <item x="229"/>
        <item x="909"/>
        <item x="2537"/>
        <item x="4230"/>
        <item x="1459"/>
        <item x="1158"/>
        <item x="4652"/>
        <item x="4148"/>
        <item x="3975"/>
        <item x="1898"/>
        <item x="512"/>
        <item x="2346"/>
        <item x="709"/>
        <item x="1872"/>
        <item x="132"/>
        <item x="2870"/>
        <item x="16"/>
        <item x="4743"/>
        <item x="2453"/>
        <item x="3526"/>
        <item x="4623"/>
        <item x="4427"/>
        <item x="2496"/>
        <item x="265"/>
        <item x="129"/>
        <item x="3869"/>
        <item x="1383"/>
        <item x="1669"/>
        <item x="923"/>
        <item x="3129"/>
        <item x="3199"/>
        <item x="1241"/>
        <item x="4862"/>
        <item x="3006"/>
        <item x="3027"/>
        <item x="388"/>
        <item x="911"/>
        <item x="3848"/>
        <item x="4469"/>
        <item x="2924"/>
        <item x="1109"/>
        <item x="1828"/>
        <item x="1523"/>
        <item x="1269"/>
        <item x="178"/>
        <item x="4221"/>
        <item x="2776"/>
        <item x="965"/>
        <item x="352"/>
        <item x="1956"/>
        <item x="1937"/>
        <item x="3406"/>
        <item x="4199"/>
        <item x="938"/>
        <item x="4842"/>
        <item x="4605"/>
        <item x="3506"/>
        <item x="1423"/>
        <item x="4057"/>
        <item x="4869"/>
        <item x="1463"/>
        <item x="3863"/>
        <item x="2428"/>
        <item x="2280"/>
        <item x="3502"/>
        <item x="4364"/>
        <item x="1115"/>
        <item x="1008"/>
        <item x="3654"/>
        <item x="4848"/>
        <item x="2090"/>
        <item x="2437"/>
        <item x="3805"/>
        <item x="4792"/>
        <item x="1355"/>
        <item x="4538"/>
        <item x="3686"/>
        <item x="3890"/>
        <item x="193"/>
        <item x="570"/>
        <item x="2018"/>
        <item x="893"/>
        <item x="922"/>
        <item x="1421"/>
        <item x="1119"/>
        <item x="1717"/>
        <item x="4341"/>
        <item x="1132"/>
        <item x="653"/>
        <item x="2098"/>
        <item x="4112"/>
        <item x="3474"/>
        <item x="380"/>
        <item x="2866"/>
        <item x="2110"/>
        <item x="2803"/>
        <item x="2488"/>
        <item x="2702"/>
        <item x="2119"/>
        <item x="1718"/>
        <item x="453"/>
        <item x="3122"/>
        <item x="1335"/>
        <item x="4322"/>
        <item x="4026"/>
        <item x="1941"/>
        <item x="3373"/>
        <item x="715"/>
        <item x="4829"/>
        <item x="1252"/>
        <item x="3207"/>
        <item x="4793"/>
        <item x="4107"/>
        <item x="3332"/>
        <item x="29"/>
        <item x="4668"/>
        <item x="4582"/>
        <item x="3764"/>
        <item x="1406"/>
        <item x="3561"/>
        <item x="4403"/>
        <item x="4017"/>
        <item x="592"/>
        <item x="321"/>
        <item x="2605"/>
        <item x="4356"/>
        <item x="2002"/>
        <item x="3604"/>
        <item x="222"/>
        <item x="4541"/>
        <item x="4641"/>
        <item x="931"/>
        <item x="3887"/>
        <item x="3382"/>
        <item x="451"/>
        <item x="934"/>
        <item x="3619"/>
        <item x="2739"/>
        <item x="4357"/>
        <item x="3988"/>
        <item x="4871"/>
        <item x="1922"/>
        <item x="2397"/>
        <item x="4465"/>
        <item x="1251"/>
        <item x="3331"/>
        <item x="4406"/>
        <item x="55"/>
        <item x="4241"/>
        <item x="4164"/>
        <item x="988"/>
        <item x="2603"/>
        <item x="4055"/>
        <item x="4488"/>
        <item x="792"/>
        <item x="2251"/>
        <item x="4318"/>
        <item x="318"/>
        <item x="2601"/>
        <item x="2676"/>
        <item x="2347"/>
        <item x="252"/>
        <item x="496"/>
        <item x="145"/>
        <item x="3348"/>
        <item x="492"/>
        <item x="266"/>
        <item x="2137"/>
        <item x="1699"/>
        <item x="2423"/>
        <item x="549"/>
        <item x="2342"/>
        <item x="1461"/>
        <item x="2700"/>
        <item x="2150"/>
        <item x="2841"/>
        <item x="226"/>
        <item x="1929"/>
        <item x="3615"/>
        <item x="3287"/>
        <item x="4788"/>
        <item x="412"/>
        <item x="3449"/>
        <item x="3821"/>
        <item x="3666"/>
        <item x="224"/>
        <item x="2226"/>
        <item x="873"/>
        <item x="2450"/>
        <item x="2155"/>
        <item x="4175"/>
        <item x="3846"/>
        <item x="4453"/>
        <item x="1101"/>
        <item x="2116"/>
        <item x="1201"/>
        <item x="292"/>
        <item x="325"/>
        <item x="1487"/>
        <item x="1457"/>
        <item x="1629"/>
        <item x="3557"/>
        <item x="554"/>
        <item x="1184"/>
        <item x="1774"/>
        <item x="654"/>
        <item x="2927"/>
        <item x="1414"/>
        <item x="4217"/>
        <item x="3934"/>
        <item x="3750"/>
        <item x="753"/>
        <item x="3585"/>
        <item x="3402"/>
        <item x="1078"/>
        <item x="4801"/>
        <item x="4132"/>
        <item x="2105"/>
        <item x="4274"/>
        <item x="3902"/>
        <item x="3368"/>
        <item x="4590"/>
        <item x="4271"/>
        <item x="2911"/>
        <item x="4377"/>
        <item x="1332"/>
        <item x="4576"/>
        <item x="2487"/>
        <item x="3510"/>
        <item x="2884"/>
        <item x="154"/>
        <item x="2317"/>
        <item x="1392"/>
        <item x="3501"/>
        <item x="4375"/>
        <item x="3573"/>
        <item x="340"/>
        <item x="3275"/>
        <item x="1952"/>
        <item x="591"/>
        <item x="1949"/>
        <item x="3455"/>
        <item x="2107"/>
        <item x="3957"/>
        <item x="2461"/>
        <item x="933"/>
        <item x="4755"/>
        <item x="2597"/>
        <item x="2218"/>
        <item x="2595"/>
        <item x="1308"/>
        <item x="1984"/>
        <item x="4247"/>
        <item x="2817"/>
        <item x="1603"/>
        <item x="4277"/>
        <item x="3140"/>
        <item x="3788"/>
        <item x="3823"/>
        <item x="81"/>
        <item x="867"/>
        <item x="4134"/>
        <item x="1417"/>
        <item x="1217"/>
        <item x="4369"/>
        <item x="2225"/>
        <item x="2202"/>
        <item x="2233"/>
        <item x="4569"/>
        <item x="2016"/>
        <item x="978"/>
        <item x="4653"/>
        <item x="2152"/>
        <item x="3057"/>
        <item x="631"/>
        <item x="3592"/>
        <item x="2406"/>
        <item x="2077"/>
        <item x="4506"/>
        <item x="4162"/>
        <item x="1401"/>
        <item x="256"/>
        <item x="3504"/>
        <item x="3477"/>
        <item x="1768"/>
        <item x="4544"/>
        <item x="2100"/>
        <item x="21"/>
        <item x="3535"/>
        <item x="4196"/>
        <item x="4655"/>
        <item x="4692"/>
        <item x="293"/>
        <item x="4348"/>
        <item x="3943"/>
        <item x="4819"/>
        <item x="2877"/>
        <item x="2678"/>
        <item x="966"/>
        <item x="1411"/>
        <item x="3912"/>
        <item x="2136"/>
        <item x="3639"/>
        <item x="2575"/>
        <item x="1908"/>
        <item x="1884"/>
        <item x="4805"/>
        <item x="4547"/>
        <item x="2129"/>
        <item x="1655"/>
        <item x="4589"/>
        <item x="3109"/>
        <item x="4147"/>
        <item x="1340"/>
        <item x="502"/>
        <item x="4331"/>
        <item x="411"/>
        <item x="3706"/>
        <item x="25"/>
        <item x="2399"/>
        <item x="1976"/>
        <item x="2971"/>
        <item x="2303"/>
        <item x="2169"/>
        <item x="4659"/>
        <item x="111"/>
        <item x="3657"/>
        <item x="2374"/>
        <item x="2637"/>
        <item x="2862"/>
        <item x="3864"/>
        <item x="1432"/>
        <item x="4683"/>
        <item x="4012"/>
        <item x="3726"/>
        <item x="590"/>
        <item x="1739"/>
        <item x="4837"/>
        <item x="255"/>
        <item x="4085"/>
        <item x="4096"/>
        <item x="3538"/>
        <item x="557"/>
        <item x="4394"/>
        <item x="3827"/>
        <item x="4028"/>
        <item x="163"/>
        <item x="1628"/>
        <item x="2419"/>
        <item x="2363"/>
        <item x="2611"/>
        <item x="1003"/>
        <item x="2593"/>
        <item x="238"/>
        <item x="4732"/>
        <item x="1550"/>
        <item x="2722"/>
        <item x="2830"/>
        <item x="2952"/>
        <item x="2082"/>
        <item x="3229"/>
        <item x="287"/>
        <item x="787"/>
        <item x="3765"/>
        <item x="3376"/>
        <item x="3905"/>
        <item x="3656"/>
        <item x="3522"/>
        <item x="2965"/>
        <item x="720"/>
        <item x="1866"/>
        <item x="2525"/>
        <item x="3108"/>
        <item x="51"/>
        <item x="2264"/>
        <item x="1482"/>
        <item x="1836"/>
        <item x="1520"/>
        <item x="1212"/>
        <item x="4309"/>
        <item x="738"/>
        <item x="3919"/>
        <item x="2485"/>
        <item x="194"/>
        <item x="2740"/>
        <item x="510"/>
        <item x="48"/>
        <item x="4235"/>
        <item x="4302"/>
        <item x="3959"/>
        <item x="3871"/>
        <item x="1904"/>
        <item x="2891"/>
        <item x="2615"/>
        <item x="4853"/>
        <item x="2539"/>
        <item x="2006"/>
        <item x="4009"/>
        <item x="2338"/>
        <item x="4719"/>
        <item x="4242"/>
        <item x="2638"/>
        <item x="3281"/>
        <item x="3013"/>
        <item x="2547"/>
        <item x="136"/>
        <item x="4633"/>
        <item x="4333"/>
        <item x="3500"/>
        <item x="4075"/>
        <item x="4859"/>
        <item x="1452"/>
        <item x="3286"/>
        <item x="2316"/>
        <item x="2636"/>
        <item x="2899"/>
        <item x="4549"/>
        <item x="1588"/>
        <item x="1798"/>
        <item x="1962"/>
        <item x="1734"/>
        <item x="4219"/>
        <item x="4781"/>
        <item x="1305"/>
        <item x="3469"/>
        <item x="864"/>
        <item x="589"/>
        <item x="4450"/>
        <item x="1191"/>
        <item x="2715"/>
        <item x="2822"/>
        <item x="4705"/>
        <item x="3234"/>
        <item x="674"/>
        <item x="4811"/>
        <item x="4782"/>
        <item x="805"/>
        <item x="34"/>
        <item x="4553"/>
        <item x="4610"/>
        <item x="2321"/>
        <item x="2569"/>
        <item x="3058"/>
        <item x="422"/>
        <item x="3485"/>
        <item x="3054"/>
        <item x="347"/>
        <item x="1194"/>
        <item x="1175"/>
        <item x="3391"/>
        <item x="4045"/>
        <item x="1521"/>
        <item x="2055"/>
        <item x="3677"/>
        <item x="881"/>
        <item x="3238"/>
        <item x="366"/>
        <item x="3445"/>
        <item x="2661"/>
        <item x="676"/>
        <item x="1375"/>
        <item x="2044"/>
        <item x="4545"/>
        <item x="3163"/>
        <item x="2220"/>
        <item x="3681"/>
        <item x="3443"/>
        <item x="3231"/>
        <item x="2502"/>
        <item x="2876"/>
        <item x="4177"/>
        <item x="2983"/>
        <item x="3438"/>
        <item x="4211"/>
        <item x="404"/>
        <item x="119"/>
        <item x="4087"/>
        <item x="1525"/>
        <item x="1971"/>
        <item x="2343"/>
        <item x="1577"/>
        <item x="2118"/>
        <item x="3018"/>
        <item x="2641"/>
        <item x="3052"/>
        <item x="1536"/>
        <item x="4464"/>
        <item x="3704"/>
        <item x="4083"/>
        <item x="3182"/>
        <item x="2387"/>
        <item x="199"/>
        <item x="1867"/>
        <item x="898"/>
        <item x="2889"/>
        <item x="3653"/>
        <item x="4101"/>
        <item x="1180"/>
        <item x="3103"/>
        <item x="2447"/>
        <item x="2691"/>
        <item x="2980"/>
        <item x="4729"/>
        <item x="634"/>
        <item x="167"/>
        <item x="2831"/>
        <item x="4529"/>
        <item x="4727"/>
        <item x="3261"/>
        <item x="2469"/>
        <item x="170"/>
        <item x="1932"/>
        <item x="772"/>
        <item x="1493"/>
        <item x="3844"/>
        <item x="4423"/>
        <item x="1632"/>
        <item x="1529"/>
        <item x="2519"/>
        <item x="4509"/>
        <item x="635"/>
        <item x="1599"/>
        <item x="4296"/>
        <item x="3519"/>
        <item x="241"/>
        <item x="1707"/>
        <item x="20"/>
        <item x="2921"/>
        <item x="694"/>
        <item x="2464"/>
        <item x="3063"/>
        <item x="1458"/>
        <item x="730"/>
        <item x="843"/>
        <item x="916"/>
        <item x="108"/>
        <item x="2723"/>
        <item x="1276"/>
        <item x="4234"/>
        <item x="3039"/>
        <item x="2707"/>
        <item x="2420"/>
        <item x="447"/>
        <item x="2757"/>
        <item x="1478"/>
        <item x="982"/>
        <item x="1958"/>
        <item x="3215"/>
        <item x="1278"/>
        <item x="4273"/>
        <item x="4789"/>
        <item x="4620"/>
        <item x="4332"/>
        <item x="1172"/>
        <item x="4822"/>
        <item x="49"/>
        <item x="1349"/>
        <item x="2706"/>
        <item x="3921"/>
        <item x="2234"/>
        <item x="3189"/>
        <item x="4287"/>
        <item x="903"/>
        <item x="2791"/>
        <item x="271"/>
        <item x="3318"/>
        <item x="2673"/>
        <item x="2249"/>
        <item x="2009"/>
        <item x="2255"/>
        <item x="1881"/>
        <item x="2334"/>
        <item x="1265"/>
        <item x="3458"/>
        <item x="4498"/>
        <item x="611"/>
        <item x="455"/>
        <item x="4537"/>
        <item x="1864"/>
        <item x="737"/>
        <item x="3914"/>
        <item x="4393"/>
        <item x="1430"/>
        <item x="3005"/>
        <item x="4229"/>
        <item x="814"/>
        <item x="426"/>
        <item x="2298"/>
        <item x="3551"/>
        <item x="1644"/>
        <item x="2682"/>
        <item x="2998"/>
        <item x="156"/>
        <item x="1311"/>
        <item x="3888"/>
        <item x="22"/>
        <item x="719"/>
        <item x="1785"/>
        <item x="2527"/>
        <item x="3940"/>
        <item x="2631"/>
        <item x="2285"/>
        <item x="4078"/>
        <item x="1199"/>
        <item x="2840"/>
        <item x="3980"/>
        <item x="4524"/>
        <item x="1293"/>
        <item x="2766"/>
        <item x="2307"/>
        <item x="3728"/>
        <item x="3357"/>
        <item x="3291"/>
        <item x="4416"/>
        <item x="370"/>
        <item x="2408"/>
        <item x="4514"/>
        <item x="3124"/>
        <item x="96"/>
        <item x="4656"/>
        <item x="4649"/>
        <item x="1152"/>
        <item x="403"/>
        <item x="3440"/>
        <item x="3550"/>
        <item x="398"/>
        <item x="810"/>
        <item x="4661"/>
        <item x="3891"/>
        <item x="1167"/>
        <item x="2005"/>
        <item x="667"/>
        <item x="2956"/>
        <item x="717"/>
        <item x="3514"/>
        <item x="3671"/>
        <item x="3785"/>
        <item x="3786"/>
        <item x="4391"/>
        <item x="791"/>
        <item x="713"/>
        <item x="2378"/>
        <item x="2372"/>
        <item x="1074"/>
        <item x="3220"/>
        <item x="563"/>
        <item x="3162"/>
        <item x="3952"/>
        <item x="2449"/>
        <item x="3858"/>
        <item x="3773"/>
        <item x="780"/>
        <item x="1472"/>
        <item x="2073"/>
        <item x="4414"/>
        <item x="4367"/>
        <item x="2221"/>
        <item x="2966"/>
        <item x="359"/>
        <item x="2194"/>
        <item x="2113"/>
        <item x="3017"/>
        <item x="992"/>
        <item x="4510"/>
        <item x="1786"/>
        <item x="3634"/>
        <item x="3925"/>
        <item x="3676"/>
        <item x="67"/>
        <item x="2151"/>
        <item x="4800"/>
        <item x="1216"/>
        <item x="3737"/>
        <item x="1393"/>
        <item x="3941"/>
        <item x="3720"/>
        <item x="2818"/>
        <item x="3829"/>
        <item x="281"/>
        <item x="319"/>
        <item x="4744"/>
        <item x="4672"/>
        <item x="1369"/>
        <item x="4741"/>
        <item x="2731"/>
        <item x="4849"/>
        <item x="2793"/>
        <item x="804"/>
        <item x="3072"/>
        <item x="2856"/>
        <item x="2489"/>
        <item x="4315"/>
        <item x="1580"/>
        <item x="2282"/>
        <item x="4522"/>
        <item x="3889"/>
        <item x="4118"/>
        <item x="2570"/>
        <item x="1532"/>
        <item x="4081"/>
        <item x="4664"/>
        <item x="1777"/>
        <item x="1781"/>
        <item x="3399"/>
        <item x="875"/>
        <item x="4621"/>
        <item x="3607"/>
        <item x="4424"/>
        <item x="1974"/>
        <item x="27"/>
        <item x="1223"/>
        <item x="1933"/>
        <item x="2510"/>
        <item x="2261"/>
        <item x="3587"/>
        <item x="858"/>
        <item x="2929"/>
        <item x="817"/>
        <item x="2256"/>
        <item x="1288"/>
        <item x="4032"/>
        <item x="2480"/>
        <item x="587"/>
        <item x="1238"/>
        <item x="190"/>
        <item x="2600"/>
        <item x="3358"/>
        <item x="3106"/>
        <item x="842"/>
        <item x="4002"/>
        <item x="4704"/>
        <item x="2588"/>
        <item x="1483"/>
        <item x="821"/>
        <item x="2902"/>
        <item x="920"/>
        <item x="4123"/>
        <item x="4479"/>
        <item x="2772"/>
        <item x="2418"/>
        <item x="472"/>
        <item x="1108"/>
        <item x="3160"/>
        <item x="4592"/>
        <item x="4370"/>
        <item x="354"/>
        <item x="3532"/>
        <item x="3582"/>
        <item x="4073"/>
        <item x="4579"/>
        <item x="2774"/>
        <item x="4526"/>
        <item x="3003"/>
        <item x="862"/>
        <item x="3192"/>
        <item x="2909"/>
        <item x="12"/>
        <item x="2634"/>
        <item x="1555"/>
        <item x="2250"/>
        <item x="4312"/>
        <item x="2177"/>
        <item x="300"/>
        <item x="1077"/>
        <item x="3155"/>
        <item x="1613"/>
        <item x="264"/>
        <item x="362"/>
        <item x="3837"/>
        <item x="4284"/>
        <item x="323"/>
        <item x="231"/>
        <item x="659"/>
        <item x="1624"/>
        <item x="1234"/>
        <item x="1830"/>
        <item x="263"/>
        <item x="3994"/>
        <item x="4353"/>
        <item x="2326"/>
        <item x="1168"/>
        <item x="195"/>
        <item x="459"/>
        <item x="3979"/>
        <item x="4874"/>
        <item x="1869"/>
        <item x="3127"/>
        <item x="1792"/>
        <item x="3028"/>
        <item x="3266"/>
        <item x="4292"/>
        <item x="2203"/>
        <item x="3185"/>
        <item x="2867"/>
        <item x="4253"/>
        <item x="2068"/>
        <item x="2970"/>
        <item x="3418"/>
        <item x="1449"/>
        <item x="3579"/>
        <item x="3176"/>
        <item x="4272"/>
        <item x="75"/>
        <item x="528"/>
        <item x="1006"/>
        <item x="630"/>
        <item x="1051"/>
        <item x="648"/>
        <item x="4625"/>
        <item x="3041"/>
        <item x="3569"/>
        <item x="117"/>
        <item x="2753"/>
        <item x="3223"/>
        <item x="4040"/>
        <item x="2859"/>
        <item x="1572"/>
        <item x="3605"/>
        <item x="4646"/>
        <item x="203"/>
        <item x="4094"/>
        <item x="1675"/>
        <item x="3091"/>
        <item x="1703"/>
        <item x="915"/>
        <item x="3369"/>
        <item x="2391"/>
        <item x="2384"/>
        <item x="4163"/>
        <item x="1034"/>
        <item x="4100"/>
        <item x="2737"/>
        <item x="3559"/>
        <item x="3661"/>
        <item x="9"/>
        <item x="702"/>
        <item x="3138"/>
        <item x="4084"/>
        <item x="406"/>
        <item x="4351"/>
        <item x="1833"/>
        <item x="4004"/>
        <item x="4531"/>
        <item x="1986"/>
        <item x="4483"/>
        <item x="1640"/>
        <item x="799"/>
        <item x="2336"/>
        <item x="4718"/>
        <item x="941"/>
        <item x="4798"/>
        <item x="3154"/>
        <item x="4708"/>
        <item x="884"/>
        <item x="1256"/>
        <item x="2938"/>
        <item x="2122"/>
        <item x="1242"/>
        <item x="1963"/>
        <item x="2997"/>
        <item x="4703"/>
        <item x="3429"/>
        <item x="3361"/>
        <item x="4460"/>
        <item x="707"/>
        <item x="3379"/>
        <item x="1535"/>
        <item x="2919"/>
        <item x="1454"/>
        <item x="1704"/>
        <item x="228"/>
        <item x="1326"/>
        <item x="4237"/>
        <item x="4459"/>
        <item x="41"/>
        <item x="4258"/>
        <item x="1894"/>
        <item x="4304"/>
        <item x="4279"/>
        <item x="890"/>
        <item x="1325"/>
        <item x="2621"/>
        <item x="3071"/>
        <item x="840"/>
        <item x="251"/>
        <item x="1807"/>
        <item x="2565"/>
        <item x="4269"/>
        <item x="3531"/>
        <item x="1662"/>
        <item x="207"/>
        <item x="4238"/>
        <item x="1921"/>
        <item x="530"/>
        <item x="1163"/>
        <item x="1400"/>
        <item x="2579"/>
        <item x="4852"/>
        <item x="2305"/>
        <item x="883"/>
        <item x="1667"/>
        <item x="1447"/>
        <item x="326"/>
        <item x="2685"/>
        <item x="3835"/>
        <item x="4738"/>
        <item x="2767"/>
        <item x="1534"/>
        <item x="2434"/>
        <item x="1419"/>
        <item x="1511"/>
        <item x="997"/>
        <item x="3421"/>
        <item x="1479"/>
        <item x="1339"/>
        <item x="288"/>
        <item x="1590"/>
        <item x="4044"/>
        <item x="2580"/>
        <item x="3384"/>
        <item x="382"/>
        <item x="4436"/>
        <item x="3284"/>
        <item x="2240"/>
        <item x="3021"/>
        <item x="2115"/>
        <item x="3260"/>
        <item x="402"/>
        <item x="313"/>
        <item x="1938"/>
        <item x="1752"/>
        <item x="2643"/>
        <item x="4710"/>
        <item x="939"/>
        <item x="1860"/>
        <item x="164"/>
        <item x="4399"/>
        <item x="1747"/>
        <item x="2586"/>
        <item x="660"/>
        <item x="2238"/>
        <item x="3986"/>
        <item x="28"/>
        <item x="3304"/>
        <item x="3566"/>
        <item x="2388"/>
        <item x="4563"/>
        <item x="766"/>
        <item x="4696"/>
        <item x="4314"/>
        <item x="1337"/>
        <item x="1606"/>
        <item x="4768"/>
        <item x="1350"/>
        <item x="4130"/>
        <item x="4814"/>
        <item x="608"/>
        <item x="2294"/>
        <item x="2344"/>
        <item x="1924"/>
        <item x="2812"/>
        <item x="3781"/>
        <item x="4689"/>
        <item x="606"/>
        <item x="3772"/>
        <item x="98"/>
        <item x="1742"/>
        <item x="3718"/>
        <item x="3098"/>
        <item x="2646"/>
        <item x="1524"/>
        <item x="2262"/>
        <item x="1729"/>
        <item x="1651"/>
        <item x="4585"/>
        <item x="331"/>
        <item x="632"/>
        <item x="1733"/>
        <item x="2286"/>
        <item x="504"/>
        <item x="2728"/>
        <item x="2239"/>
        <item x="295"/>
        <item x="1622"/>
        <item x="1313"/>
        <item x="4340"/>
        <item x="3319"/>
        <item x="4209"/>
        <item x="3817"/>
        <item x="4435"/>
        <item x="968"/>
        <item x="722"/>
        <item x="1220"/>
        <item x="284"/>
        <item x="3120"/>
        <item x="3139"/>
        <item x="2789"/>
        <item x="1239"/>
        <item x="4876"/>
        <item x="4156"/>
        <item x="115"/>
        <item x="4773"/>
        <item x="4542"/>
        <item x="2318"/>
        <item x="1998"/>
        <item x="4622"/>
        <item x="2898"/>
        <item x="424"/>
        <item x="46"/>
        <item x="4783"/>
        <item x="4349"/>
        <item x="798"/>
        <item x="4657"/>
        <item x="3092"/>
        <item x="3125"/>
        <item x="1855"/>
        <item x="2495"/>
        <item x="4679"/>
        <item x="2268"/>
        <item x="3247"/>
        <item x="1656"/>
        <item x="1888"/>
        <item x="2901"/>
        <item x="3452"/>
        <item x="182"/>
        <item x="3930"/>
        <item x="3678"/>
        <item x="3588"/>
        <item x="2665"/>
        <item x="4254"/>
        <item x="671"/>
        <item x="316"/>
        <item x="661"/>
        <item x="2724"/>
        <item x="2022"/>
        <item x="3450"/>
        <item x="124"/>
        <item x="2821"/>
        <item x="4636"/>
        <item x="2148"/>
        <item x="2648"/>
        <item x="277"/>
        <item x="1049"/>
        <item x="143"/>
        <item x="3380"/>
        <item x="3202"/>
        <item x="3322"/>
        <item x="4454"/>
        <item x="3692"/>
        <item x="3252"/>
        <item x="3187"/>
        <item x="86"/>
        <item x="1849"/>
        <item x="622"/>
        <item x="2007"/>
        <item x="4407"/>
        <item x="345"/>
        <item x="2566"/>
        <item x="1723"/>
        <item x="4376"/>
        <item x="3879"/>
        <item x="1850"/>
        <item x="2531"/>
        <item x="1862"/>
        <item x="3942"/>
        <item x="3102"/>
        <item x="4343"/>
        <item x="1190"/>
        <item x="777"/>
        <item x="1258"/>
        <item x="4658"/>
        <item x="603"/>
        <item x="2101"/>
        <item x="4693"/>
        <item x="1610"/>
        <item x="153"/>
        <item x="2327"/>
        <item x="3743"/>
        <item x="1959"/>
        <item x="1793"/>
        <item x="1018"/>
        <item x="2131"/>
        <item x="959"/>
        <item x="184"/>
        <item x="1117"/>
        <item x="161"/>
        <item x="1277"/>
        <item x="95"/>
        <item x="4256"/>
        <item x="2228"/>
        <item x="3828"/>
        <item x="2659"/>
        <item x="1964"/>
        <item x="2448"/>
        <item x="4082"/>
        <item x="1566"/>
        <item x="1091"/>
        <item x="1509"/>
        <item x="3423"/>
        <item x="99"/>
        <item x="1494"/>
        <item x="2217"/>
        <item x="2400"/>
        <item x="1114"/>
        <item x="1208"/>
        <item x="4224"/>
        <item x="197"/>
        <item x="2211"/>
        <item x="4566"/>
        <item x="4249"/>
        <item x="1615"/>
        <item x="2436"/>
        <item x="4489"/>
        <item x="2351"/>
        <item x="1749"/>
        <item x="4197"/>
        <item x="332"/>
        <item x="2141"/>
        <item x="66"/>
        <item x="2088"/>
        <item x="2289"/>
        <item x="4126"/>
        <item x="4831"/>
        <item x="247"/>
        <item x="296"/>
        <item x="144"/>
        <item x="4824"/>
        <item x="4709"/>
        <item x="1726"/>
        <item x="3947"/>
        <item x="3326"/>
        <item x="1930"/>
        <item x="88"/>
        <item x="3153"/>
        <item x="4404"/>
        <item x="2212"/>
        <item x="4119"/>
        <item x="2390"/>
        <item x="3457"/>
        <item x="1810"/>
        <item x="2047"/>
        <item x="3548"/>
        <item x="4359"/>
        <item x="3042"/>
        <item x="2299"/>
        <item x="3009"/>
        <item x="2179"/>
        <item x="1193"/>
        <item x="280"/>
        <item x="4434"/>
        <item x="692"/>
        <item x="436"/>
        <item x="4795"/>
        <item x="1906"/>
        <item x="1144"/>
        <item x="2931"/>
        <item x="747"/>
        <item x="1292"/>
        <item x="746"/>
        <item x="3730"/>
        <item x="440"/>
        <item x="3454"/>
        <item x="4354"/>
        <item x="4336"/>
        <item x="4291"/>
        <item x="1568"/>
        <item x="415"/>
        <item x="1214"/>
        <item x="731"/>
        <item x="2795"/>
        <item x="2028"/>
        <item x="435"/>
        <item x="3081"/>
        <item x="3439"/>
        <item x="4143"/>
        <item x="728"/>
        <item x="1136"/>
        <item x="4339"/>
        <item x="2751"/>
        <item x="2030"/>
        <item x="1595"/>
        <item x="4707"/>
        <item x="4867"/>
        <item x="3503"/>
        <item x="3105"/>
        <item x="3147"/>
        <item x="270"/>
        <item x="3222"/>
        <item x="2190"/>
        <item x="3847"/>
        <item x="4769"/>
        <item x="355"/>
        <item x="1450"/>
        <item x="192"/>
        <item x="2182"/>
        <item x="2259"/>
        <item x="369"/>
        <item x="1028"/>
        <item x="2743"/>
        <item x="70"/>
        <item x="3525"/>
        <item x="1420"/>
        <item x="3810"/>
        <item x="2888"/>
        <item x="3334"/>
        <item x="2764"/>
        <item x="2538"/>
        <item x="1574"/>
        <item x="2161"/>
        <item x="4108"/>
        <item x="128"/>
        <item x="4122"/>
        <item x="2252"/>
        <item x="2329"/>
        <item x="4843"/>
        <item x="1638"/>
        <item x="3313"/>
        <item x="2097"/>
        <item x="3181"/>
        <item x="1772"/>
        <item x="1329"/>
        <item x="803"/>
        <item x="3190"/>
        <item x="123"/>
        <item x="3774"/>
        <item x="831"/>
        <item x="4638"/>
        <item x="1614"/>
        <item x="1852"/>
        <item x="1361"/>
        <item x="3578"/>
        <item x="4860"/>
        <item x="514"/>
        <item x="2688"/>
        <item x="1133"/>
        <item x="523"/>
        <item x="1226"/>
        <item x="3330"/>
        <item x="4161"/>
        <item x="249"/>
        <item x="2501"/>
        <item x="2149"/>
        <item x="686"/>
        <item x="3840"/>
        <item x="1125"/>
        <item x="1128"/>
        <item x="3999"/>
        <item x="600"/>
        <item x="3682"/>
        <item x="4873"/>
        <item x="2742"/>
        <item x="1433"/>
        <item x="588"/>
        <item x="174"/>
        <item x="4090"/>
        <item x="1683"/>
        <item x="4865"/>
        <item x="210"/>
        <item x="4740"/>
        <item x="3035"/>
        <item x="776"/>
        <item x="2650"/>
        <item x="975"/>
        <item x="1"/>
        <item x="2498"/>
        <item x="2560"/>
        <item x="212"/>
        <item x="533"/>
        <item x="315"/>
        <item x="4283"/>
        <item x="4587"/>
        <item x="1023"/>
        <item x="2456"/>
        <item x="943"/>
        <item x="2838"/>
        <item x="2744"/>
        <item x="3400"/>
        <item x="3611"/>
        <item x="3258"/>
        <item x="1900"/>
        <item x="2613"/>
        <item x="118"/>
        <item x="274"/>
        <item x="729"/>
        <item x="4382"/>
        <item x="3576"/>
        <item x="4470"/>
        <item x="1886"/>
        <item x="1944"/>
        <item x="314"/>
        <item x="1507"/>
        <item x="3838"/>
        <item x="1911"/>
        <item x="2982"/>
        <item x="4754"/>
        <item x="2541"/>
        <item x="4131"/>
        <item x="1174"/>
        <item x="1088"/>
        <item x="947"/>
        <item x="336"/>
        <item x="4222"/>
        <item x="498"/>
        <item x="3565"/>
        <item x="774"/>
        <item x="829"/>
        <item x="2026"/>
        <item x="733"/>
        <item x="4120"/>
        <item x="246"/>
        <item x="1140"/>
        <item x="2134"/>
        <item x="3567"/>
        <item x="3710"/>
        <item x="2915"/>
        <item x="1800"/>
        <item x="2371"/>
        <item x="1788"/>
        <item x="1554"/>
        <item x="1751"/>
        <item x="3374"/>
        <item x="984"/>
        <item x="39"/>
        <item x="2245"/>
        <item x="4463"/>
        <item x="24"/>
        <item x="885"/>
        <item x="3040"/>
        <item x="3168"/>
        <item x="3178"/>
        <item x="3839"/>
        <item x="4021"/>
        <item x="1260"/>
        <item x="1331"/>
        <item x="234"/>
        <item x="63"/>
        <item x="393"/>
        <item x="4154"/>
        <item x="2549"/>
        <item x="4765"/>
        <item x="1416"/>
        <item x="1688"/>
        <item x="1022"/>
        <item x="189"/>
        <item x="852"/>
        <item x="1899"/>
        <item x="3080"/>
        <item x="2680"/>
        <item x="3723"/>
        <item x="3693"/>
        <item x="3813"/>
        <item x="1727"/>
        <item x="3632"/>
        <item x="628"/>
        <item x="616"/>
        <item x="2230"/>
        <item x="2677"/>
        <item x="3259"/>
        <item x="1279"/>
        <item x="2727"/>
        <item x="678"/>
        <item x="1323"/>
        <item x="4872"/>
        <item x="1589"/>
        <item x="3694"/>
        <item x="120"/>
        <item x="544"/>
        <item x="1664"/>
        <item x="2713"/>
        <item x="1816"/>
        <item x="4029"/>
        <item x="4532"/>
        <item x="3714"/>
        <item x="2015"/>
        <item x="3136"/>
        <item x="617"/>
        <item x="1985"/>
        <item x="215"/>
        <item x="4116"/>
        <item x="2304"/>
        <item x="254"/>
        <item x="3208"/>
        <item x="2178"/>
        <item x="849"/>
        <item x="1935"/>
        <item x="1418"/>
        <item x="4675"/>
        <item x="4358"/>
        <item x="4308"/>
        <item x="4409"/>
        <item x="4303"/>
        <item x="3179"/>
        <item x="913"/>
        <item x="689"/>
        <item x="4072"/>
        <item x="2117"/>
        <item x="4687"/>
        <item x="2481"/>
        <item x="1162"/>
        <item x="1245"/>
        <item x="2509"/>
        <item x="3735"/>
        <item x="1674"/>
        <item x="1690"/>
        <item x="1563"/>
        <item x="4231"/>
        <item x="3715"/>
        <item x="4098"/>
        <item x="2934"/>
        <item x="1264"/>
        <item x="2339"/>
        <item x="520"/>
        <item x="489"/>
        <item x="3916"/>
        <item x="1889"/>
        <item x="575"/>
        <item x="1050"/>
        <item x="4516"/>
        <item x="1762"/>
        <item x="257"/>
        <item x="828"/>
        <item x="2273"/>
        <item x="2581"/>
        <item x="2684"/>
        <item x="1992"/>
        <item x="3089"/>
        <item x="306"/>
        <item x="3636"/>
        <item x="3803"/>
        <item x="2950"/>
        <item x="2905"/>
        <item x="1546"/>
        <item x="4731"/>
        <item x="2111"/>
        <item x="1693"/>
        <item x="3555"/>
        <item x="3554"/>
        <item x="97"/>
        <item x="2145"/>
        <item x="2266"/>
        <item x="4252"/>
        <item x="3968"/>
        <item x="3486"/>
        <item x="1661"/>
        <item x="4581"/>
        <item x="1397"/>
        <item x="1903"/>
        <item x="2698"/>
        <item x="3752"/>
        <item x="2323"/>
        <item x="4201"/>
        <item x="3516"/>
        <item x="525"/>
        <item x="3623"/>
        <item x="3068"/>
        <item x="2185"/>
        <item x="3048"/>
        <item x="191"/>
        <item x="3672"/>
        <item x="861"/>
        <item x="3620"/>
        <item x="1795"/>
        <item x="4205"/>
        <item x="2710"/>
        <item x="481"/>
        <item x="4601"/>
        <item x="3"/>
        <item x="4457"/>
        <item x="3315"/>
        <item x="430"/>
        <item x="4594"/>
        <item x="2769"/>
        <item x="1090"/>
        <item x="1182"/>
        <item x="69"/>
        <item x="3111"/>
        <item x="3174"/>
        <item x="3371"/>
        <item x="1694"/>
        <item x="243"/>
        <item x="891"/>
        <item x="1071"/>
        <item x="4845"/>
        <item x="688"/>
        <item x="1495"/>
        <item x="1154"/>
        <item x="1100"/>
        <item x="3978"/>
        <item x="687"/>
        <item x="421"/>
        <item x="1275"/>
        <item x="105"/>
        <item x="1796"/>
        <item x="3568"/>
        <item x="1429"/>
        <item x="1268"/>
        <item x="3285"/>
        <item x="4790"/>
        <item x="3254"/>
        <item x="4412"/>
        <item x="889"/>
        <item x="2607"/>
        <item x="2808"/>
        <item x="268"/>
        <item x="3277"/>
        <item x="4713"/>
        <item x="3150"/>
        <item x="4103"/>
        <item x="1274"/>
        <item x="2925"/>
        <item x="3426"/>
        <item x="3794"/>
        <item x="3913"/>
        <item x="1399"/>
        <item x="2128"/>
        <item x="4627"/>
        <item x="4477"/>
        <item x="976"/>
        <item x="479"/>
        <item x="3480"/>
        <item x="3336"/>
        <item x="3482"/>
        <item x="1706"/>
        <item x="3903"/>
        <item x="577"/>
        <item x="173"/>
        <item x="2844"/>
        <item x="3282"/>
        <item x="3780"/>
        <item x="460"/>
        <item x="3310"/>
        <item x="2775"/>
        <item x="1618"/>
        <item x="4827"/>
        <item x="3731"/>
        <item x="2076"/>
        <item x="4748"/>
        <item x="3390"/>
        <item x="2617"/>
        <item x="3298"/>
        <item x="106"/>
        <item x="2125"/>
        <item x="4475"/>
        <item x="1139"/>
        <item x="4750"/>
        <item x="1444"/>
        <item x="3268"/>
        <item x="2204"/>
        <item x="564"/>
        <item x="3219"/>
        <item x="1189"/>
        <item x="1585"/>
        <item x="2465"/>
        <item x="1681"/>
        <item x="2263"/>
        <item x="3269"/>
        <item x="1583"/>
        <item x="1645"/>
        <item x="3077"/>
        <item x="3309"/>
        <item x="4796"/>
        <item x="2543"/>
        <item x="3271"/>
        <item x="3955"/>
        <item x="1315"/>
        <item x="4337"/>
        <item x="3420"/>
        <item x="4780"/>
        <item x="1131"/>
        <item x="4700"/>
        <item x="3029"/>
        <item x="1247"/>
        <item x="2805"/>
        <item x="2759"/>
        <item x="3769"/>
        <item x="3393"/>
        <item x="1466"/>
        <item x="127"/>
        <item x="137"/>
        <item x="1367"/>
        <item x="3790"/>
        <item x="1883"/>
        <item x="607"/>
        <item x="3963"/>
        <item x="645"/>
        <item x="1689"/>
        <item x="4088"/>
        <item x="3276"/>
        <item x="4830"/>
        <item x="4839"/>
        <item x="4838"/>
        <item x="4844"/>
        <item x="1576"/>
        <item x="3117"/>
        <item x="4570"/>
        <item x="1934"/>
        <item x="4334"/>
        <item x="1038"/>
        <item x="4586"/>
        <item x="8"/>
        <item x="1880"/>
        <item x="2153"/>
        <item x="3186"/>
        <item x="2734"/>
        <item x="1356"/>
        <item x="517"/>
        <item x="3633"/>
        <item x="477"/>
        <item x="74"/>
        <item x="3854"/>
        <item x="2373"/>
        <item x="531"/>
        <item x="10"/>
        <item x="3638"/>
        <item x="4723"/>
        <item x="2158"/>
        <item x="2247"/>
        <item x="4355"/>
        <item x="4813"/>
        <item x="963"/>
        <item x="2046"/>
        <item x="2557"/>
        <item x="1591"/>
        <item x="1648"/>
        <item x="1853"/>
        <item x="712"/>
        <item x="985"/>
        <item x="1306"/>
        <item x="2559"/>
        <item x="1567"/>
        <item x="2080"/>
        <item x="2957"/>
        <item x="2664"/>
        <item x="845"/>
        <item x="567"/>
        <item x="2695"/>
        <item x="2816"/>
        <item x="1502"/>
        <item x="367"/>
        <item x="3816"/>
        <item x="2756"/>
        <item x="4753"/>
        <item x="3320"/>
        <item x="476"/>
        <item x="3717"/>
        <item x="1722"/>
        <item x="3249"/>
        <item x="1480"/>
        <item x="76"/>
        <item x="1353"/>
        <item x="2127"/>
        <item x="3703"/>
        <item x="4821"/>
        <item x="1571"/>
        <item x="3876"/>
        <item x="2300"/>
        <item x="3130"/>
        <item x="1596"/>
        <item x="2784"/>
        <item x="2497"/>
        <item x="1887"/>
        <item x="1633"/>
        <item x="2577"/>
        <item x="1005"/>
        <item x="3850"/>
        <item x="1519"/>
        <item x="3024"/>
        <item x="3536"/>
        <item x="1551"/>
        <item x="2081"/>
        <item x="2207"/>
        <item x="3224"/>
        <item x="1004"/>
        <item x="473"/>
        <item x="3920"/>
        <item x="3852"/>
        <item x="1347"/>
        <item x="3900"/>
        <item x="218"/>
        <item x="2034"/>
        <item x="2490"/>
        <item x="706"/>
        <item x="2353"/>
        <item x="832"/>
        <item x="2486"/>
        <item x="518"/>
        <item x="693"/>
        <item x="4053"/>
        <item x="3998"/>
        <item x="4260"/>
        <item x="2528"/>
        <item x="977"/>
        <item x="895"/>
        <item x="1948"/>
        <item x="3007"/>
        <item x="865"/>
        <item x="337"/>
        <item x="3157"/>
        <item x="596"/>
        <item x="2941"/>
        <item x="4430"/>
        <item x="2947"/>
        <item x="4386"/>
        <item x="4631"/>
        <item x="3911"/>
        <item x="2993"/>
        <item x="1058"/>
        <item x="503"/>
        <item x="734"/>
        <item x="605"/>
        <item x="4192"/>
        <item x="4513"/>
        <item x="2401"/>
        <item x="3491"/>
        <item x="4520"/>
        <item x="863"/>
        <item x="4310"/>
        <item x="3087"/>
        <item x="1918"/>
        <item x="176"/>
        <item x="1779"/>
        <item x="358"/>
        <item x="765"/>
        <item x="917"/>
        <item x="452"/>
        <item x="2868"/>
        <item x="1735"/>
        <item x="1834"/>
        <item x="2357"/>
        <item x="80"/>
        <item x="3637"/>
        <item x="4870"/>
        <item x="2955"/>
        <item x="952"/>
        <item x="3352"/>
        <item x="4038"/>
        <item x="4167"/>
        <item x="3333"/>
        <item x="3597"/>
        <item x="970"/>
        <item x="3256"/>
        <item x="4778"/>
        <item x="2124"/>
        <item x="833"/>
        <item x="1981"/>
        <item x="1983"/>
        <item x="3356"/>
        <item x="1802"/>
        <item x="1643"/>
        <item x="3488"/>
        <item x="2555"/>
        <item x="1758"/>
        <item x="2313"/>
        <item x="789"/>
        <item x="3824"/>
        <item x="4618"/>
        <item x="2459"/>
        <item x="1787"/>
        <item x="291"/>
        <item x="2741"/>
        <item x="2630"/>
        <item x="114"/>
        <item x="3015"/>
        <item x="1844"/>
        <item x="1801"/>
        <item x="4785"/>
        <item x="4056"/>
        <item x="4817"/>
        <item x="3104"/>
        <item x="2257"/>
        <item x="3437"/>
        <item x="2522"/>
        <item x="2792"/>
        <item x="216"/>
        <item x="113"/>
        <item x="3274"/>
        <item x="2671"/>
        <item x="4422"/>
        <item x="953"/>
        <item x="3466"/>
        <item x="4593"/>
        <item x="1778"/>
        <item x="1001"/>
        <item x="4681"/>
        <item x="626"/>
        <item x="2332"/>
        <item x="3405"/>
        <item x="310"/>
        <item x="3047"/>
        <item x="4577"/>
        <item x="90"/>
        <item x="1063"/>
        <item x="3055"/>
        <item x="2554"/>
        <item x="4684"/>
        <item x="3086"/>
        <item x="826"/>
        <item x="3873"/>
        <item x="3749"/>
        <item x="3404"/>
        <item x="625"/>
        <item x="3938"/>
        <item x="820"/>
        <item x="1287"/>
        <item x="906"/>
        <item x="3584"/>
        <item x="2324"/>
        <item x="1196"/>
        <item x="2170"/>
        <item x="900"/>
        <item x="2505"/>
        <item x="158"/>
        <item x="1724"/>
        <item x="1649"/>
        <item x="548"/>
        <item x="4244"/>
        <item x="1221"/>
        <item x="2900"/>
        <item x="1473"/>
        <item x="2086"/>
        <item x="4243"/>
        <item x="4564"/>
        <item x="4474"/>
        <item x="3549"/>
        <item x="1804"/>
        <item x="495"/>
        <item x="4233"/>
        <item x="711"/>
        <item x="1185"/>
        <item x="3367"/>
        <item x="1990"/>
        <item x="2913"/>
        <item x="4397"/>
        <item x="4515"/>
        <item x="565"/>
        <item x="2839"/>
        <item x="162"/>
        <item x="3984"/>
        <item x="974"/>
        <item x="3904"/>
        <item x="4007"/>
        <item x="250"/>
        <item x="3456"/>
        <item x="4726"/>
        <item x="1403"/>
        <item x="2041"/>
        <item x="2985"/>
        <item x="552"/>
        <item x="509"/>
        <item x="3264"/>
        <item x="1896"/>
        <item x="2020"/>
        <item x="2729"/>
        <item x="4388"/>
        <item x="272"/>
        <item x="1368"/>
        <item x="2933"/>
        <item x="3885"/>
        <item x="4603"/>
        <item x="4187"/>
        <item x="2267"/>
        <item x="685"/>
        <item x="1155"/>
        <item x="1385"/>
        <item x="1388"/>
        <item x="329"/>
        <item x="2732"/>
        <item x="1044"/>
        <item x="236"/>
        <item x="2187"/>
        <item x="1299"/>
        <item x="4294"/>
        <item x="3363"/>
        <item x="3897"/>
        <item x="4836"/>
        <item x="665"/>
        <item x="2874"/>
        <item x="1955"/>
        <item x="3880"/>
        <item x="3872"/>
        <item x="4141"/>
        <item x="2935"/>
        <item x="4194"/>
        <item x="3065"/>
        <item x="3272"/>
        <item x="827"/>
        <item x="2079"/>
        <item x="4429"/>
        <item x="4246"/>
        <item x="2287"/>
        <item x="1106"/>
        <item x="3032"/>
        <item x="2126"/>
        <item x="2827"/>
        <item x="972"/>
        <item x="1545"/>
        <item x="2567"/>
        <item x="3149"/>
        <item x="1923"/>
        <item x="468"/>
        <item x="721"/>
        <item x="2858"/>
        <item x="4428"/>
        <item x="3475"/>
        <item x="4392"/>
        <item x="3511"/>
        <item x="1973"/>
        <item x="4802"/>
        <item x="2773"/>
        <item x="3010"/>
        <item x="3472"/>
        <item x="2504"/>
        <item x="807"/>
        <item x="2653"/>
        <item x="3870"/>
        <item x="4417"/>
        <item x="957"/>
        <item x="3583"/>
        <item x="1769"/>
        <item x="4835"/>
        <item x="4691"/>
        <item x="4432"/>
        <item x="1069"/>
        <item x="1398"/>
        <item x="1151"/>
        <item x="2377"/>
        <item x="2237"/>
        <item x="3836"/>
        <item x="4583"/>
        <item x="2394"/>
        <item x="3917"/>
        <item x="89"/>
        <item x="2370"/>
        <item x="3701"/>
        <item x="1736"/>
        <item x="856"/>
        <item x="3362"/>
        <item x="2072"/>
        <item x="2483"/>
        <item x="2089"/>
        <item x="2804"/>
        <item x="139"/>
        <item x="3257"/>
        <item x="4193"/>
        <item x="1755"/>
        <item x="2288"/>
        <item x="3030"/>
        <item x="3767"/>
        <item x="165"/>
        <item x="3711"/>
        <item x="2540"/>
        <item x="3211"/>
        <item x="4251"/>
        <item x="2533"/>
        <item x="2139"/>
        <item x="3370"/>
        <item x="1759"/>
        <item x="3428"/>
        <item x="1710"/>
        <item x="3059"/>
        <item x="877"/>
        <item x="1513"/>
        <item x="282"/>
        <item x="4215"/>
        <item x="3668"/>
        <item x="3553"/>
        <item x="894"/>
        <item x="1080"/>
        <item x="3996"/>
        <item x="493"/>
        <item x="736"/>
        <item x="4442"/>
        <item x="3424"/>
        <item x="4066"/>
        <item x="4140"/>
        <item x="431"/>
        <item x="3022"/>
        <item x="1324"/>
        <item x="4286"/>
        <item x="649"/>
        <item x="3798"/>
        <item x="3910"/>
        <item x="3314"/>
        <item x="443"/>
        <item x="3995"/>
        <item x="3733"/>
        <item x="4248"/>
        <item x="4301"/>
        <item x="1002"/>
        <item x="140"/>
        <item x="4511"/>
        <item x="3316"/>
        <item x="4015"/>
        <item x="2708"/>
        <item x="3937"/>
        <item x="3878"/>
        <item x="3647"/>
        <item x="4716"/>
        <item x="3865"/>
        <item x="2296"/>
        <item x="4395"/>
        <item x="714"/>
        <item x="4766"/>
        <item x="3483"/>
        <item x="3586"/>
        <item x="2679"/>
        <item x="2008"/>
        <item x="3049"/>
        <item x="3762"/>
        <item x="1491"/>
        <item x="1378"/>
        <item x="2071"/>
        <item x="4550"/>
        <item x="169"/>
        <item x="559"/>
        <item x="3131"/>
        <item x="351"/>
        <item x="2887"/>
        <item x="1607"/>
        <item x="1094"/>
        <item x="3142"/>
        <item x="3354"/>
        <item x="2205"/>
        <item x="710"/>
        <item x="4642"/>
        <item x="3023"/>
        <item x="912"/>
        <item x="1111"/>
        <item x="2180"/>
        <item x="1783"/>
        <item x="3688"/>
        <item x="3991"/>
        <item x="2380"/>
        <item x="3388"/>
        <item x="1552"/>
        <item x="2850"/>
        <item x="245"/>
        <item x="2667"/>
        <item x="2112"/>
        <item x="2951"/>
        <item x="3167"/>
        <item x="2272"/>
        <item x="2853"/>
        <item x="416"/>
        <item x="3981"/>
        <item x="285"/>
        <item x="4698"/>
        <item x="4629"/>
        <item x="1327"/>
        <item x="2078"/>
        <item x="3626"/>
        <item x="2968"/>
        <item x="4092"/>
        <item x="3740"/>
        <item x="4179"/>
        <item x="341"/>
        <item x="2359"/>
        <item x="2711"/>
        <item x="4574"/>
        <item x="3471"/>
        <item x="2471"/>
        <item x="1490"/>
        <item x="2515"/>
        <item x="2404"/>
        <item x="1549"/>
        <item x="3053"/>
        <item x="2271"/>
        <item x="3776"/>
        <item x="317"/>
        <item x="2762"/>
        <item x="535"/>
        <item x="159"/>
        <item x="3886"/>
        <item x="3377"/>
        <item x="4850"/>
        <item x="299"/>
        <item x="3342"/>
        <item x="2896"/>
        <item x="1960"/>
        <item x="2393"/>
        <item x="556"/>
        <item x="4562"/>
        <item x="4207"/>
        <item x="2587"/>
        <item x="3859"/>
        <item x="3562"/>
        <item x="4077"/>
        <item x="4682"/>
        <item x="3651"/>
        <item x="2050"/>
        <item x="3922"/>
        <item x="1977"/>
        <item x="1847"/>
        <item x="4232"/>
        <item x="3446"/>
        <item x="4596"/>
        <item x="4539"/>
        <item x="1782"/>
        <item x="4462"/>
        <item x="2284"/>
        <item x="3306"/>
        <item x="4317"/>
        <item x="892"/>
        <item x="2415"/>
        <item x="116"/>
        <item x="1436"/>
        <item x="1593"/>
        <item x="4663"/>
        <item x="3417"/>
        <item x="3184"/>
        <item x="3046"/>
        <item x="3303"/>
        <item x="3158"/>
        <item x="1143"/>
        <item x="4068"/>
        <item x="983"/>
        <item x="3001"/>
        <item x="1354"/>
        <item x="3857"/>
        <item x="3387"/>
        <item x="1280"/>
        <item x="2668"/>
        <item x="3779"/>
        <item x="3430"/>
        <item x="3757"/>
        <item x="1087"/>
        <item x="4152"/>
        <item x="4106"/>
        <item x="2967"/>
        <item x="918"/>
        <item x="3842"/>
        <item x="1775"/>
        <item x="4616"/>
        <item x="3590"/>
        <item x="3107"/>
        <item x="3820"/>
        <item x="516"/>
        <item x="198"/>
        <item x="449"/>
        <item x="2842"/>
        <item x="1330"/>
        <item x="2694"/>
        <item x="4316"/>
        <item x="4654"/>
        <item x="2362"/>
        <item x="740"/>
        <item x="4737"/>
        <item x="376"/>
        <item x="925"/>
        <item x="1031"/>
        <item x="519"/>
        <item x="4"/>
        <item x="4671"/>
        <item x="2476"/>
        <item x="4858"/>
        <item x="3856"/>
        <item x="2978"/>
        <item x="2396"/>
        <item x="1809"/>
        <item x="35"/>
        <item x="1668"/>
        <item x="3473"/>
        <item x="4527"/>
        <item x="2290"/>
        <item x="2932"/>
        <item x="1032"/>
        <item x="32"/>
        <item x="1767"/>
        <item x="4444"/>
        <item x="3490"/>
        <item x="1348"/>
        <item x="1953"/>
        <item x="3214"/>
        <item x="4188"/>
        <item x="4111"/>
        <item x="2493"/>
        <item x="1407"/>
        <item x="2796"/>
        <item x="942"/>
        <item x="4777"/>
        <item x="1126"/>
        <item x="286"/>
        <item x="2787"/>
        <item x="3739"/>
        <item x="1946"/>
        <item x="1235"/>
        <item x="1270"/>
        <item x="1498"/>
        <item x="2752"/>
        <item x="2242"/>
        <item x="2582"/>
        <item x="4877"/>
        <item x="2657"/>
        <item x="2644"/>
        <item x="1118"/>
        <item x="2365"/>
        <item x="2674"/>
        <item x="4411"/>
        <item x="3719"/>
        <item x="3241"/>
        <item x="1745"/>
        <item x="2231"/>
        <item x="3712"/>
        <item x="3527"/>
        <item x="3470"/>
        <item x="1073"/>
        <item x="536"/>
        <item x="3135"/>
        <item x="3866"/>
        <item x="188"/>
        <item x="1506"/>
        <item x="683"/>
        <item x="4374"/>
        <item x="1488"/>
        <item x="2945"/>
        <item x="2355"/>
        <item x="2545"/>
        <item x="457"/>
        <item x="491"/>
        <item x="135"/>
        <item x="2500"/>
        <item x="732"/>
        <item x="2146"/>
        <item x="4005"/>
        <item x="1634"/>
        <item x="1564"/>
        <item x="4276"/>
        <item x="2878"/>
        <item x="537"/>
        <item x="1578"/>
        <item x="769"/>
        <item x="14"/>
        <item x="373"/>
        <item x="2704"/>
        <item x="1389"/>
        <item x="2855"/>
        <item x="3643"/>
        <item x="4717"/>
        <item x="4266"/>
        <item x="4759"/>
        <item x="3697"/>
        <item x="2350"/>
        <item x="2944"/>
        <item x="3635"/>
        <item x="2692"/>
        <item x="3365"/>
        <item x="4828"/>
        <item x="4104"/>
        <item x="3360"/>
        <item x="2003"/>
        <item x="677"/>
        <item x="2864"/>
        <item x="4735"/>
        <item x="1625"/>
        <item x="445"/>
        <item x="4446"/>
        <item x="750"/>
        <item x="2140"/>
        <item x="1654"/>
        <item x="253"/>
        <item x="748"/>
        <item x="2721"/>
        <item x="4818"/>
        <item x="930"/>
        <item x="1560"/>
        <item x="644"/>
        <item x="2799"/>
        <item x="3987"/>
        <item x="1428"/>
        <item x="3630"/>
        <item x="3173"/>
        <item x="1405"/>
        <item x="2196"/>
        <item x="796"/>
        <item x="201"/>
        <item x="150"/>
        <item x="1012"/>
        <item x="1464"/>
        <item x="1968"/>
        <item x="3338"/>
        <item x="2213"/>
        <item x="2"/>
        <item x="2416"/>
        <item x="3841"/>
        <item x="40"/>
        <item x="781"/>
        <item x="2699"/>
        <item x="4383"/>
        <item x="3094"/>
        <item x="698"/>
        <item x="3580"/>
        <item x="2473"/>
        <item x="4389"/>
        <item x="381"/>
        <item x="2576"/>
        <item x="756"/>
        <item x="4065"/>
        <item x="3292"/>
        <item x="808"/>
        <item x="646"/>
        <item x="58"/>
        <item x="2916"/>
        <item x="2482"/>
        <item x="1261"/>
        <item x="1527"/>
        <item x="1176"/>
        <item x="679"/>
        <item x="4385"/>
        <item x="1821"/>
        <item x="4433"/>
        <item x="1754"/>
        <item x="2494"/>
        <item x="4050"/>
        <item x="2333"/>
        <item x="2425"/>
        <item x="2191"/>
        <item x="3299"/>
        <item x="2649"/>
        <item x="907"/>
        <item x="1917"/>
        <item x="662"/>
        <item x="1404"/>
        <item x="342"/>
        <item x="2507"/>
        <item x="994"/>
        <item x="1320"/>
        <item x="2624"/>
        <item x="223"/>
        <item x="4797"/>
        <item x="1975"/>
        <item x="3403"/>
        <item x="3014"/>
        <item x="1336"/>
        <item x="2174"/>
        <item x="2521"/>
        <item x="1243"/>
        <item x="540"/>
        <item x="448"/>
        <item x="4368"/>
        <item x="1390"/>
        <item x="4851"/>
        <item x="4257"/>
        <item x="4669"/>
        <item x="2457"/>
        <item x="219"/>
        <item x="2886"/>
        <item x="1448"/>
        <item x="4480"/>
        <item x="3335"/>
        <item x="4133"/>
        <item x="1286"/>
        <item x="125"/>
        <item x="534"/>
        <item x="853"/>
        <item x="4236"/>
        <item x="2770"/>
        <item x="2123"/>
        <item x="1061"/>
        <item x="1351"/>
        <item x="958"/>
        <item x="869"/>
        <item x="4816"/>
        <item x="1179"/>
        <item x="819"/>
        <item x="1838"/>
        <item x="1469"/>
        <item x="2828"/>
        <item x="3265"/>
        <item x="4757"/>
        <item x="3200"/>
        <item x="2614"/>
        <item x="1040"/>
        <item x="2596"/>
        <item x="82"/>
        <item x="3004"/>
        <item x="1829"/>
        <item x="1254"/>
        <item x="700"/>
        <item x="3205"/>
        <item x="954"/>
        <item x="3761"/>
        <item x="3806"/>
        <item x="2906"/>
        <item x="1961"/>
        <item x="3801"/>
        <item x="166"/>
        <item x="1141"/>
        <item x="2235"/>
        <item x="2422"/>
        <item x="3855"/>
        <item x="4521"/>
        <item x="4834"/>
        <item x="3114"/>
        <item x="870"/>
        <item x="1248"/>
        <item x="3961"/>
        <item x="4097"/>
        <item x="2138"/>
        <item x="2568"/>
        <item x="410"/>
        <item x="2335"/>
        <item x="2120"/>
        <item x="4350"/>
        <item x="3760"/>
        <item x="2726"/>
        <item x="1017"/>
        <item x="1692"/>
        <item x="4153"/>
        <item x="3867"/>
        <item x="4019"/>
        <item x="1359"/>
        <item x="1730"/>
        <item x="3818"/>
        <item x="4810"/>
        <item x="4674"/>
        <item x="3770"/>
        <item x="3881"/>
        <item x="584"/>
        <item x="854"/>
        <item x="716"/>
        <item x="2060"/>
        <item x="1232"/>
        <item x="2943"/>
        <item x="4751"/>
        <item x="3172"/>
        <item x="2311"/>
        <item x="4413"/>
        <item x="2618"/>
        <item x="432"/>
        <item x="3596"/>
        <item x="1440"/>
        <item x="2099"/>
        <item x="2616"/>
        <item x="802"/>
        <item x="3624"/>
        <item x="2881"/>
        <item x="1467"/>
        <item x="2534"/>
        <item x="155"/>
        <item x="386"/>
        <item x="1068"/>
        <item x="4791"/>
        <item x="2599"/>
        <item x="4190"/>
        <item x="1652"/>
        <item x="3564"/>
        <item x="1476"/>
        <item x="624"/>
        <item x="2651"/>
        <item x="3146"/>
        <item x="2104"/>
        <item x="4673"/>
        <item x="1240"/>
        <item x="384"/>
        <item x="1914"/>
        <item x="1569"/>
        <item x="261"/>
        <item x="526"/>
        <item x="705"/>
        <item x="2958"/>
        <item x="171"/>
        <item x="4588"/>
        <item x="1695"/>
        <item x="2186"/>
        <item x="1557"/>
        <item x="2478"/>
        <item x="348"/>
        <item x="2988"/>
        <item x="2048"/>
        <item x="4571"/>
        <item x="1517"/>
        <item x="4212"/>
        <item x="4856"/>
        <item x="809"/>
        <item x="4786"/>
        <item x="454"/>
        <item x="1741"/>
        <item x="1721"/>
        <item x="3933"/>
        <item x="372"/>
        <item x="2749"/>
        <item x="474"/>
        <item x="1709"/>
        <item x="2936"/>
        <item x="2019"/>
        <item x="1728"/>
        <item x="3495"/>
        <item x="2632"/>
        <item x="1601"/>
        <item x="3499"/>
        <item x="2820"/>
        <item x="500"/>
        <item x="3339"/>
        <item x="3725"/>
        <item x="3609"/>
        <item x="964"/>
        <item x="1600"/>
        <item x="4043"/>
        <item x="880"/>
        <item x="3408"/>
        <item x="3044"/>
        <item x="666"/>
        <item x="374"/>
        <item x="779"/>
        <item x="1213"/>
        <item x="1617"/>
        <item x="2188"/>
        <item x="407"/>
        <item x="93"/>
        <item x="786"/>
        <item x="1612"/>
        <item x="4648"/>
        <item x="3663"/>
        <item x="743"/>
        <item x="1362"/>
        <item x="3860"/>
        <item x="395"/>
        <item x="267"/>
        <item x="760"/>
        <item x="2064"/>
        <item x="1456"/>
        <item x="4443"/>
        <item x="2857"/>
        <item x="2738"/>
        <item x="1316"/>
        <item x="3128"/>
        <item x="4326"/>
        <item x="2697"/>
        <item x="2083"/>
        <item x="4619"/>
        <item x="3349"/>
        <item x="3225"/>
        <item x="1931"/>
        <item x="4736"/>
        <item x="2926"/>
        <item x="2622"/>
        <item x="1250"/>
        <item x="3709"/>
        <item x="586"/>
        <item x="1148"/>
        <item x="62"/>
        <item x="2656"/>
        <item x="1282"/>
        <item x="3311"/>
        <item x="385"/>
        <item x="4809"/>
        <item x="4137"/>
        <item x="3552"/>
        <item x="3442"/>
        <item x="816"/>
        <item x="4597"/>
        <item x="4169"/>
        <item x="522"/>
        <item x="4441"/>
        <item x="770"/>
        <item x="4074"/>
        <item x="1895"/>
        <item x="309"/>
        <item x="3381"/>
        <item x="1705"/>
        <item x="539"/>
        <item x="4174"/>
        <item x="2995"/>
        <item x="3448"/>
        <item x="4338"/>
        <item x="2979"/>
        <item x="308"/>
        <item x="1263"/>
        <item x="1678"/>
        <item x="1338"/>
        <item x="699"/>
        <item x="1229"/>
        <item x="1412"/>
        <item x="4184"/>
        <item x="718"/>
        <item x="439"/>
        <item x="1857"/>
        <item x="4650"/>
        <item x="4456"/>
        <item x="1481"/>
        <item x="936"/>
        <item x="1043"/>
        <item x="232"/>
        <item x="1799"/>
        <item x="1072"/>
        <item x="2407"/>
        <item x="73"/>
        <item x="3789"/>
        <item x="4833"/>
        <item x="3043"/>
        <item x="2165"/>
        <item x="19"/>
        <item x="2536"/>
        <item x="3648"/>
        <item x="2628"/>
        <item x="4611"/>
        <item x="1070"/>
        <item x="4299"/>
        <item x="1725"/>
        <item x="4378"/>
        <item x="4756"/>
        <item x="3518"/>
        <item x="1358"/>
        <item x="3025"/>
        <item x="1616"/>
        <item x="1991"/>
        <item x="3300"/>
        <item x="887"/>
        <item x="3543"/>
        <item x="3210"/>
        <item x="3834"/>
        <item x="3422"/>
        <item x="4500"/>
        <item x="2438"/>
        <item x="1321"/>
        <item x="3196"/>
        <item x="1113"/>
        <item x="1499"/>
        <item x="2561"/>
        <item x="1657"/>
        <item x="1999"/>
        <item x="480"/>
        <item x="2953"/>
        <item x="1259"/>
        <item x="3687"/>
        <item x="4250"/>
        <item x="989"/>
        <item x="1173"/>
        <item x="1928"/>
        <item x="1701"/>
        <item x="2745"/>
        <item x="3644"/>
        <item x="3016"/>
        <item x="834"/>
        <item x="3045"/>
        <item x="4293"/>
        <item x="2452"/>
        <item x="3340"/>
        <item x="4183"/>
        <item x="33"/>
        <item x="290"/>
        <item x="4431"/>
        <item x="462"/>
        <item x="4466"/>
        <item x="2790"/>
        <item x="177"/>
        <item x="3802"/>
        <item x="1409"/>
        <item x="682"/>
        <item x="3433"/>
        <item x="2513"/>
        <item x="755"/>
        <item x="3156"/>
        <item x="1518"/>
        <item x="2675"/>
        <item x="724"/>
        <item x="3297"/>
        <item x="2991"/>
        <item x="1875"/>
        <item x="387"/>
        <item x="1010"/>
        <item x="580"/>
        <item x="2969"/>
        <item x="1827"/>
        <item x="4263"/>
        <item x="3662"/>
        <item x="4398"/>
        <item x="4599"/>
        <item x="4628"/>
        <item x="23"/>
        <item x="784"/>
        <item x="571"/>
        <item x="886"/>
        <item x="2354"/>
        <item x="2687"/>
        <item x="2054"/>
        <item x="3951"/>
        <item x="2736"/>
        <item x="61"/>
        <item x="3546"/>
        <item x="4701"/>
        <item x="741"/>
        <item x="1686"/>
        <item x="1300"/>
        <item x="3401"/>
        <item x="4280"/>
        <item x="1677"/>
        <item x="1997"/>
        <item x="2094"/>
        <item x="4018"/>
        <item x="1794"/>
        <item x="1177"/>
        <item x="1542"/>
        <item x="311"/>
        <item x="4042"/>
        <item x="4003"/>
        <item x="773"/>
        <item x="1907"/>
        <item x="2652"/>
        <item x="1570"/>
        <item x="3812"/>
        <item x="1843"/>
        <item x="1145"/>
        <item x="1666"/>
        <item x="4543"/>
        <item x="414"/>
        <item x="3248"/>
        <item x="2360"/>
        <item x="3508"/>
        <item x="1037"/>
        <item x="3935"/>
        <item x="2761"/>
        <item x="4058"/>
        <item x="2463"/>
        <item x="4695"/>
        <item x="5"/>
        <item x="641"/>
        <item x="3164"/>
        <item x="945"/>
        <item x="2693"/>
        <item x="2162"/>
        <item x="1500"/>
        <item x="1508"/>
        <item x="4614"/>
        <item x="408"/>
        <item x="4523"/>
        <item x="2074"/>
        <item x="3753"/>
        <item x="130"/>
        <item x="3425"/>
        <item x="217"/>
        <item x="78"/>
        <item x="1127"/>
        <item x="2109"/>
        <item x="794"/>
        <item x="1780"/>
        <item x="4170"/>
        <item x="2530"/>
        <item x="2964"/>
        <item x="1161"/>
        <item x="4206"/>
        <item x="3461"/>
        <item x="4324"/>
        <item x="3614"/>
        <item x="2981"/>
        <item x="2508"/>
        <item x="4561"/>
        <item x="508"/>
        <item x="1797"/>
        <item x="1954"/>
        <item x="2946"/>
        <item x="3463"/>
        <item x="1381"/>
        <item x="54"/>
        <item x="298"/>
        <item x="4784"/>
        <item x="4476"/>
        <item x="3240"/>
        <item x="4841"/>
        <item x="4451"/>
        <item x="3882"/>
        <item x="2963"/>
        <item x="2552"/>
        <item x="1870"/>
        <item x="2410"/>
        <item x="2578"/>
        <item x="2427"/>
        <item x="4534"/>
        <item x="4001"/>
        <item x="2027"/>
        <item x="2824"/>
        <item x="4494"/>
        <item x="2017"/>
        <item x="2894"/>
        <item x="4030"/>
        <item x="2291"/>
        <item x="866"/>
        <item x="3831"/>
        <item x="2045"/>
        <item x="2781"/>
        <item x="2431"/>
        <item x="2863"/>
        <item x="349"/>
        <item x="2314"/>
        <item x="1084"/>
        <item x="1988"/>
        <item x="1435"/>
        <item x="657"/>
        <item x="4685"/>
        <item x="1092"/>
        <item x="4875"/>
        <item x="2281"/>
        <item x="2765"/>
        <item x="2444"/>
        <item x="3797"/>
        <item x="4478"/>
        <item x="4565"/>
        <item x="3489"/>
        <item x="1813"/>
        <item x="2442"/>
        <item x="1153"/>
        <item x="4706"/>
        <item x="2654"/>
        <item x="4275"/>
        <item x="420"/>
        <item x="1874"/>
        <item x="2319"/>
        <item x="2733"/>
        <item x="4580"/>
        <item x="3152"/>
        <item x="4011"/>
        <item x="1910"/>
        <item x="1204"/>
        <item x="1181"/>
        <item x="3976"/>
        <item x="2181"/>
        <item x="1029"/>
        <item x="2550"/>
        <item x="83"/>
        <item x="2043"/>
        <item x="4102"/>
        <item x="4089"/>
        <item x="1995"/>
        <item x="797"/>
        <item x="320"/>
        <item x="838"/>
        <item x="4165"/>
        <item x="322"/>
        <item x="2730"/>
        <item x="2780"/>
        <item x="4323"/>
        <item x="3188"/>
        <item x="2455"/>
        <item x="2718"/>
        <item x="3610"/>
        <item x="4482"/>
        <item x="4635"/>
        <item x="962"/>
        <item x="3096"/>
        <item x="1878"/>
        <item x="1285"/>
        <item x="183"/>
        <item x="3233"/>
        <item x="3732"/>
        <item x="629"/>
        <item x="4632"/>
        <item x="3431"/>
        <item x="638"/>
        <item x="2987"/>
        <item x="573"/>
        <item x="3459"/>
        <item x="3512"/>
        <item x="4149"/>
        <item x="1209"/>
        <item x="1086"/>
        <item x="3982"/>
        <item x="2836"/>
        <item x="4278"/>
        <item x="3346"/>
        <item x="2768"/>
        <item x="2748"/>
        <item x="1531"/>
        <item x="2446"/>
        <item x="2834"/>
        <item x="2367"/>
        <item x="2546"/>
        <item x="360"/>
        <item x="1475"/>
        <item x="312"/>
        <item x="4115"/>
        <item x="3833"/>
        <item x="3705"/>
        <item x="1164"/>
        <item x="208"/>
        <item x="65"/>
        <item x="1307"/>
        <item x="3251"/>
        <item x="1089"/>
        <item x="1298"/>
        <item x="4151"/>
        <item x="1142"/>
        <item x="2940"/>
        <item x="2292"/>
        <item x="1682"/>
        <item x="1925"/>
        <item x="2274"/>
        <item x="361"/>
        <item x="937"/>
        <item x="3323"/>
        <item x="2385"/>
        <item x="3627"/>
        <item x="433"/>
        <item x="1041"/>
        <item x="1989"/>
        <item x="4787"/>
        <item x="1462"/>
        <item x="882"/>
        <item x="2977"/>
        <item x="4640"/>
        <item x="3534"/>
        <item x="91"/>
        <item x="3394"/>
        <item x="946"/>
        <item x="1879"/>
        <item x="3069"/>
        <item x="3747"/>
        <item x="620"/>
        <item x="2865"/>
        <item x="578"/>
        <item x="1806"/>
        <item x="233"/>
        <item x="4775"/>
        <item x="3165"/>
        <item x="4321"/>
        <item x="507"/>
        <item x="4724"/>
        <item x="3250"/>
        <item x="973"/>
        <item x="585"/>
        <item x="3699"/>
        <item x="57"/>
        <item x="872"/>
        <item x="1301"/>
        <item x="205"/>
        <item x="3378"/>
        <item x="4054"/>
        <item x="2544"/>
        <item x="2227"/>
        <item x="2939"/>
        <item x="811"/>
        <item x="3874"/>
        <item x="2574"/>
        <item x="691"/>
        <item x="527"/>
        <item x="1066"/>
        <item x="2619"/>
        <item x="4711"/>
        <item x="4720"/>
        <item x="3883"/>
        <item x="2103"/>
        <item x="0"/>
        <item x="3020"/>
        <item x="4198"/>
        <item x="4499"/>
        <item x="1021"/>
        <item x="3702"/>
        <item x="3547"/>
        <item x="2443"/>
        <item x="1246"/>
        <item x="1902"/>
        <item x="2244"/>
        <item x="3990"/>
        <item x="1334"/>
        <item x="757"/>
        <item x="3033"/>
        <item x="1660"/>
        <item x="971"/>
        <item x="3008"/>
        <item x="1623"/>
        <item x="3226"/>
        <item x="3927"/>
        <item x="1160"/>
        <item x="2164"/>
        <item x="1198"/>
        <item x="1046"/>
        <item x="2433"/>
        <item x="4202"/>
        <item x="998"/>
        <item x="763"/>
        <item x="482"/>
        <item x="2910"/>
        <item x="538"/>
        <item x="3217"/>
        <item x="3993"/>
        <item x="1765"/>
        <item x="4049"/>
        <item x="4667"/>
        <item x="1096"/>
        <item x="2275"/>
        <item x="3892"/>
        <item x="244"/>
        <item x="3235"/>
        <item x="2021"/>
        <item x="4173"/>
        <item x="1803"/>
        <item x="1222"/>
        <item x="2460"/>
        <item x="3899"/>
        <item x="1386"/>
        <item x="4365"/>
        <item x="2451"/>
        <item x="675"/>
        <item x="4502"/>
        <item x="1820"/>
        <item x="2132"/>
        <item x="3908"/>
        <item x="2914"/>
        <item x="3050"/>
        <item x="703"/>
        <item x="356"/>
        <item x="2801"/>
        <item x="2959"/>
        <item x="4467"/>
        <item x="4578"/>
        <item x="4396"/>
        <item x="3166"/>
        <item x="3375"/>
        <item x="2466"/>
        <item x="3909"/>
        <item x="1698"/>
        <item x="3622"/>
        <item x="541"/>
        <item x="4721"/>
        <item x="2376"/>
        <item x="1076"/>
        <item x="1890"/>
        <item x="642"/>
        <item x="1045"/>
        <item x="2562"/>
        <item x="1757"/>
        <item x="2847"/>
        <item x="2996"/>
        <item x="1059"/>
        <item x="71"/>
        <item x="4373"/>
        <item x="2629"/>
        <item x="4061"/>
        <item x="2156"/>
        <item x="637"/>
        <item x="583"/>
        <item x="4035"/>
        <item x="2232"/>
        <item x="4171"/>
        <item x="394"/>
        <item x="2361"/>
        <item x="3680"/>
        <item x="905"/>
        <item x="1112"/>
        <item x="3603"/>
        <item x="3924"/>
        <item x="2440"/>
        <item x="2719"/>
        <item x="2788"/>
        <item x="4504"/>
        <item x="2813"/>
        <item x="4031"/>
        <item x="2092"/>
        <item x="3143"/>
        <item x="3679"/>
        <item x="1530"/>
        <item x="3700"/>
        <item x="4295"/>
        <item x="2000"/>
        <item x="744"/>
        <item x="3949"/>
        <item x="1882"/>
        <item x="899"/>
        <item x="2511"/>
        <item x="2826"/>
        <item x="1581"/>
        <item x="3051"/>
        <item x="2942"/>
        <item x="4733"/>
        <item x="2382"/>
        <item x="3674"/>
        <item x="3721"/>
        <item x="1808"/>
        <item x="4452"/>
        <item x="501"/>
        <item x="1837"/>
        <item x="202"/>
        <item x="4320"/>
        <item x="3894"/>
        <item x="813"/>
        <item x="4485"/>
        <item x="2414"/>
        <item x="4006"/>
        <item x="4551"/>
        <item x="2306"/>
        <item x="4676"/>
        <item x="3877"/>
        <item x="1673"/>
        <item x="3861"/>
        <item x="704"/>
        <item x="1602"/>
        <item x="1103"/>
        <item x="1943"/>
        <item x="4155"/>
        <item x="2322"/>
        <item x="1691"/>
        <item x="2011"/>
        <item x="3970"/>
        <item x="1150"/>
        <item x="2173"/>
        <item x="3563"/>
        <item x="1445"/>
        <item x="3967"/>
        <item x="3213"/>
        <item x="3481"/>
        <item x="2666"/>
        <item x="3652"/>
        <item x="2405"/>
        <item x="1310"/>
        <item x="991"/>
        <item x="3037"/>
        <item x="1839"/>
        <item x="4552"/>
        <item x="3177"/>
        <item x="3929"/>
        <item x="3745"/>
        <item x="4758"/>
        <item x="2114"/>
        <item x="1642"/>
        <item x="2058"/>
        <item x="2168"/>
        <item x="4213"/>
        <item x="2210"/>
        <item x="2331"/>
        <item x="697"/>
        <item x="929"/>
        <item x="2633"/>
        <item x="2224"/>
        <item x="4306"/>
        <item x="2949"/>
        <item x="3618"/>
        <item x="1516"/>
        <item x="1942"/>
        <item x="547"/>
        <item x="1371"/>
        <item x="2037"/>
        <item x="3141"/>
        <item x="3751"/>
        <item x="4172"/>
        <item x="4598"/>
        <item x="561"/>
        <item x="1186"/>
        <item x="2954"/>
        <item x="2880"/>
        <item x="2470"/>
        <item x="4060"/>
        <item x="1663"/>
        <item x="1926"/>
        <item x="771"/>
        <item x="4612"/>
        <item x="594"/>
        <item x="3756"/>
        <item x="4036"/>
        <item x="1526"/>
        <item x="38"/>
        <item x="4866"/>
        <item x="1927"/>
        <item x="3121"/>
        <item x="3397"/>
        <item x="4624"/>
        <item x="3791"/>
        <item x="2379"/>
        <item x="3243"/>
        <item x="855"/>
        <item x="801"/>
        <item x="505"/>
        <item x="3372"/>
        <item x="4557"/>
        <item x="4071"/>
        <item x="1982"/>
        <item x="409"/>
        <item x="4121"/>
        <item x="4270"/>
        <item x="1750"/>
        <item x="107"/>
        <item x="999"/>
        <item x="782"/>
        <item x="1129"/>
        <item x="4832"/>
        <item x="2063"/>
        <item x="160"/>
      </items>
    </pivotField>
    <pivotField showAll="0" defaultSubtotal="0">
      <items count="2">
        <item x="0"/>
        <item x="1"/>
      </items>
    </pivotField>
    <pivotField numFmtId="1" showAll="0" defaultSubtotal="0">
      <items count="5">
        <item x="4"/>
        <item x="1"/>
        <item x="0"/>
        <item x="2"/>
        <item x="3"/>
      </items>
    </pivotField>
  </pivotFields>
  <rowFields count="2">
    <field x="3"/>
    <field x="0"/>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2">
    <chartFormat chart="11"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7B9176-342D-4781-9A7A-EF637533D67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64:B67" firstHeaderRow="1" firstDataRow="1" firstDataCol="1"/>
  <pivotFields count="10">
    <pivotField axis="axisRow"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axis="axisRow" showAll="0">
      <items count="3">
        <item sd="0" x="1"/>
        <item sd="0" x="0"/>
        <item t="default"/>
      </items>
    </pivotField>
    <pivotField showAll="0"/>
    <pivotField showAll="0"/>
    <pivotField showAll="0"/>
    <pivotField numFmtId="1" showAll="0"/>
    <pivotField numFmtId="8" showAll="0"/>
    <pivotField showAll="0"/>
    <pivotField numFmtId="1" showAll="0"/>
  </pivotFields>
  <rowFields count="2">
    <field x="2"/>
    <field x="0"/>
  </rowFields>
  <rowItems count="3">
    <i>
      <x/>
    </i>
    <i>
      <x v="1"/>
    </i>
    <i t="grand">
      <x/>
    </i>
  </rowItems>
  <colItems count="1">
    <i/>
  </colItems>
  <dataFields count="1">
    <dataField name="Count of Patient_ID" fld="0" subtotal="count" baseField="0" baseItem="0"/>
  </dataFields>
  <chartFormats count="2">
    <chartFormat chart="15"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238F6D-A0C4-40F5-8158-4CC61172F62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8:C59" firstHeaderRow="0" firstDataRow="1" firstDataCol="1"/>
  <pivotFields count="1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11">
        <item x="2"/>
        <item x="6"/>
        <item x="5"/>
        <item x="0"/>
        <item x="8"/>
        <item x="3"/>
        <item x="9"/>
        <item x="7"/>
        <item x="1"/>
        <item x="4"/>
        <item t="default"/>
      </items>
    </pivotField>
    <pivotField showAll="0"/>
    <pivotField showAll="0"/>
    <pivotField numFmtId="1" showAll="0"/>
    <pivotField dataField="1" numFmtId="8" showAll="0"/>
    <pivotField showAll="0">
      <items count="3">
        <item x="0"/>
        <item x="1"/>
        <item t="default"/>
      </items>
    </pivotField>
    <pivotField numFmtId="1"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Treatment_Cost" fld="7" baseField="0" baseItem="0" numFmtId="8"/>
    <dataField name="Sum of Treatment_Cost2" fld="7" baseField="0" baseItem="0" numFmtId="8"/>
  </dataFields>
  <chartFormats count="22">
    <chartFormat chart="20" format="132" series="1">
      <pivotArea type="data" outline="0" fieldPosition="0">
        <references count="1">
          <reference field="4294967294" count="1" selected="0">
            <x v="0"/>
          </reference>
        </references>
      </pivotArea>
    </chartFormat>
    <chartFormat chart="20" format="133">
      <pivotArea type="data" outline="0" fieldPosition="0">
        <references count="2">
          <reference field="4294967294" count="1" selected="0">
            <x v="0"/>
          </reference>
          <reference field="3" count="1" selected="0">
            <x v="0"/>
          </reference>
        </references>
      </pivotArea>
    </chartFormat>
    <chartFormat chart="20" format="134">
      <pivotArea type="data" outline="0" fieldPosition="0">
        <references count="2">
          <reference field="4294967294" count="1" selected="0">
            <x v="0"/>
          </reference>
          <reference field="3" count="1" selected="0">
            <x v="1"/>
          </reference>
        </references>
      </pivotArea>
    </chartFormat>
    <chartFormat chart="20" format="135">
      <pivotArea type="data" outline="0" fieldPosition="0">
        <references count="2">
          <reference field="4294967294" count="1" selected="0">
            <x v="0"/>
          </reference>
          <reference field="3" count="1" selected="0">
            <x v="2"/>
          </reference>
        </references>
      </pivotArea>
    </chartFormat>
    <chartFormat chart="20" format="136">
      <pivotArea type="data" outline="0" fieldPosition="0">
        <references count="2">
          <reference field="4294967294" count="1" selected="0">
            <x v="0"/>
          </reference>
          <reference field="3" count="1" selected="0">
            <x v="3"/>
          </reference>
        </references>
      </pivotArea>
    </chartFormat>
    <chartFormat chart="20" format="137">
      <pivotArea type="data" outline="0" fieldPosition="0">
        <references count="2">
          <reference field="4294967294" count="1" selected="0">
            <x v="0"/>
          </reference>
          <reference field="3" count="1" selected="0">
            <x v="4"/>
          </reference>
        </references>
      </pivotArea>
    </chartFormat>
    <chartFormat chart="20" format="138">
      <pivotArea type="data" outline="0" fieldPosition="0">
        <references count="2">
          <reference field="4294967294" count="1" selected="0">
            <x v="0"/>
          </reference>
          <reference field="3" count="1" selected="0">
            <x v="5"/>
          </reference>
        </references>
      </pivotArea>
    </chartFormat>
    <chartFormat chart="20" format="139">
      <pivotArea type="data" outline="0" fieldPosition="0">
        <references count="2">
          <reference field="4294967294" count="1" selected="0">
            <x v="0"/>
          </reference>
          <reference field="3" count="1" selected="0">
            <x v="6"/>
          </reference>
        </references>
      </pivotArea>
    </chartFormat>
    <chartFormat chart="20" format="140">
      <pivotArea type="data" outline="0" fieldPosition="0">
        <references count="2">
          <reference field="4294967294" count="1" selected="0">
            <x v="0"/>
          </reference>
          <reference field="3" count="1" selected="0">
            <x v="7"/>
          </reference>
        </references>
      </pivotArea>
    </chartFormat>
    <chartFormat chart="20" format="141">
      <pivotArea type="data" outline="0" fieldPosition="0">
        <references count="2">
          <reference field="4294967294" count="1" selected="0">
            <x v="0"/>
          </reference>
          <reference field="3" count="1" selected="0">
            <x v="8"/>
          </reference>
        </references>
      </pivotArea>
    </chartFormat>
    <chartFormat chart="20" format="142">
      <pivotArea type="data" outline="0" fieldPosition="0">
        <references count="2">
          <reference field="4294967294" count="1" selected="0">
            <x v="0"/>
          </reference>
          <reference field="3" count="1" selected="0">
            <x v="9"/>
          </reference>
        </references>
      </pivotArea>
    </chartFormat>
    <chartFormat chart="20" format="143" series="1">
      <pivotArea type="data" outline="0" fieldPosition="0">
        <references count="1">
          <reference field="4294967294" count="1" selected="0">
            <x v="1"/>
          </reference>
        </references>
      </pivotArea>
    </chartFormat>
    <chartFormat chart="20" format="144">
      <pivotArea type="data" outline="0" fieldPosition="0">
        <references count="2">
          <reference field="4294967294" count="1" selected="0">
            <x v="1"/>
          </reference>
          <reference field="3" count="1" selected="0">
            <x v="0"/>
          </reference>
        </references>
      </pivotArea>
    </chartFormat>
    <chartFormat chart="20" format="145">
      <pivotArea type="data" outline="0" fieldPosition="0">
        <references count="2">
          <reference field="4294967294" count="1" selected="0">
            <x v="1"/>
          </reference>
          <reference field="3" count="1" selected="0">
            <x v="1"/>
          </reference>
        </references>
      </pivotArea>
    </chartFormat>
    <chartFormat chart="20" format="146">
      <pivotArea type="data" outline="0" fieldPosition="0">
        <references count="2">
          <reference field="4294967294" count="1" selected="0">
            <x v="1"/>
          </reference>
          <reference field="3" count="1" selected="0">
            <x v="2"/>
          </reference>
        </references>
      </pivotArea>
    </chartFormat>
    <chartFormat chart="20" format="147">
      <pivotArea type="data" outline="0" fieldPosition="0">
        <references count="2">
          <reference field="4294967294" count="1" selected="0">
            <x v="1"/>
          </reference>
          <reference field="3" count="1" selected="0">
            <x v="3"/>
          </reference>
        </references>
      </pivotArea>
    </chartFormat>
    <chartFormat chart="20" format="148">
      <pivotArea type="data" outline="0" fieldPosition="0">
        <references count="2">
          <reference field="4294967294" count="1" selected="0">
            <x v="1"/>
          </reference>
          <reference field="3" count="1" selected="0">
            <x v="4"/>
          </reference>
        </references>
      </pivotArea>
    </chartFormat>
    <chartFormat chart="20" format="149">
      <pivotArea type="data" outline="0" fieldPosition="0">
        <references count="2">
          <reference field="4294967294" count="1" selected="0">
            <x v="1"/>
          </reference>
          <reference field="3" count="1" selected="0">
            <x v="5"/>
          </reference>
        </references>
      </pivotArea>
    </chartFormat>
    <chartFormat chart="20" format="150">
      <pivotArea type="data" outline="0" fieldPosition="0">
        <references count="2">
          <reference field="4294967294" count="1" selected="0">
            <x v="1"/>
          </reference>
          <reference field="3" count="1" selected="0">
            <x v="6"/>
          </reference>
        </references>
      </pivotArea>
    </chartFormat>
    <chartFormat chart="20" format="151">
      <pivotArea type="data" outline="0" fieldPosition="0">
        <references count="2">
          <reference field="4294967294" count="1" selected="0">
            <x v="1"/>
          </reference>
          <reference field="3" count="1" selected="0">
            <x v="7"/>
          </reference>
        </references>
      </pivotArea>
    </chartFormat>
    <chartFormat chart="20" format="152">
      <pivotArea type="data" outline="0" fieldPosition="0">
        <references count="2">
          <reference field="4294967294" count="1" selected="0">
            <x v="1"/>
          </reference>
          <reference field="3" count="1" selected="0">
            <x v="8"/>
          </reference>
        </references>
      </pivotArea>
    </chartFormat>
    <chartFormat chart="20" format="153">
      <pivotArea type="data" outline="0" fieldPosition="0">
        <references count="2">
          <reference field="4294967294" count="1" selected="0">
            <x v="1"/>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C0BA9E-EF0F-4161-93A9-8DEDC57423ED}"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8:B45" firstHeaderRow="1" firstDataRow="1" firstDataCol="1"/>
  <pivotFields count="10">
    <pivotField axis="axisRow"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numFmtId="1" showAll="0">
      <items count="9">
        <item x="0"/>
        <item sd="0" x="1"/>
        <item sd="0" x="2"/>
        <item sd="0" x="3"/>
        <item sd="0" x="4"/>
        <item sd="0" x="5"/>
        <item sd="0" x="6"/>
        <item x="7"/>
        <item t="default"/>
      </items>
    </pivotField>
    <pivotField showAll="0"/>
    <pivotField showAll="0"/>
    <pivotField showAll="0"/>
    <pivotField showAll="0"/>
    <pivotField numFmtId="1" showAll="0"/>
    <pivotField numFmtId="8" showAll="0"/>
    <pivotField showAll="0"/>
    <pivotField numFmtId="1" showAll="0"/>
  </pivotFields>
  <rowFields count="2">
    <field x="1"/>
    <field x="0"/>
  </rowFields>
  <rowItems count="7">
    <i>
      <x v="1"/>
    </i>
    <i>
      <x v="2"/>
    </i>
    <i>
      <x v="3"/>
    </i>
    <i>
      <x v="4"/>
    </i>
    <i>
      <x v="5"/>
    </i>
    <i>
      <x v="6"/>
    </i>
    <i t="grand">
      <x/>
    </i>
  </rowItems>
  <colItems count="1">
    <i/>
  </colItems>
  <dataFields count="1">
    <dataField name="Count of Patient_ID" fld="0" subtotal="count" baseField="0" baseItem="0"/>
  </dataFields>
  <chartFormats count="7">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1" count="1" selected="0">
            <x v="1"/>
          </reference>
        </references>
      </pivotArea>
    </chartFormat>
    <chartFormat chart="12" format="38">
      <pivotArea type="data" outline="0" fieldPosition="0">
        <references count="2">
          <reference field="4294967294" count="1" selected="0">
            <x v="0"/>
          </reference>
          <reference field="1" count="1" selected="0">
            <x v="2"/>
          </reference>
        </references>
      </pivotArea>
    </chartFormat>
    <chartFormat chart="12" format="39">
      <pivotArea type="data" outline="0" fieldPosition="0">
        <references count="2">
          <reference field="4294967294" count="1" selected="0">
            <x v="0"/>
          </reference>
          <reference field="1" count="1" selected="0">
            <x v="3"/>
          </reference>
        </references>
      </pivotArea>
    </chartFormat>
    <chartFormat chart="12" format="40">
      <pivotArea type="data" outline="0" fieldPosition="0">
        <references count="2">
          <reference field="4294967294" count="1" selected="0">
            <x v="0"/>
          </reference>
          <reference field="1" count="1" selected="0">
            <x v="4"/>
          </reference>
        </references>
      </pivotArea>
    </chartFormat>
    <chartFormat chart="12" format="41">
      <pivotArea type="data" outline="0" fieldPosition="0">
        <references count="2">
          <reference field="4294967294" count="1" selected="0">
            <x v="0"/>
          </reference>
          <reference field="1" count="1" selected="0">
            <x v="5"/>
          </reference>
        </references>
      </pivotArea>
    </chartFormat>
    <chartFormat chart="12" format="4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57A700-735F-4D85-B5BF-C529C2894F74}" name="PivotTable3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20:N31" firstHeaderRow="1" firstDataRow="1" firstDataCol="1"/>
  <pivotFields count="10">
    <pivotField showAll="0"/>
    <pivotField numFmtId="1" showAll="0">
      <items count="9">
        <item x="0"/>
        <item x="1"/>
        <item x="2"/>
        <item x="3"/>
        <item x="4"/>
        <item x="5"/>
        <item x="6"/>
        <item x="7"/>
        <item t="default"/>
      </items>
    </pivotField>
    <pivotField showAll="0"/>
    <pivotField axis="axisRow" showAll="0">
      <items count="11">
        <item sd="0" x="2"/>
        <item sd="0" x="6"/>
        <item sd="0" x="5"/>
        <item sd="0" x="0"/>
        <item sd="0" x="8"/>
        <item sd="0" x="3"/>
        <item sd="0" x="9"/>
        <item sd="0" x="7"/>
        <item sd="0" x="1"/>
        <item sd="0" x="4"/>
        <item t="default"/>
      </items>
    </pivotField>
    <pivotField axis="axisRow" dataField="1" showAll="0">
      <items count="11">
        <item x="9"/>
        <item x="4"/>
        <item x="1"/>
        <item x="3"/>
        <item x="6"/>
        <item x="0"/>
        <item x="5"/>
        <item x="8"/>
        <item x="2"/>
        <item x="7"/>
        <item t="default"/>
      </items>
    </pivotField>
    <pivotField showAll="0"/>
    <pivotField numFmtId="1" showAll="0"/>
    <pivotField numFmtId="8" showAll="0"/>
    <pivotField showAll="0">
      <items count="3">
        <item x="0"/>
        <item x="1"/>
        <item t="default"/>
      </items>
    </pivotField>
    <pivotField numFmtId="1" showAll="0"/>
  </pivotFields>
  <rowFields count="2">
    <field x="3"/>
    <field x="4"/>
  </rowFields>
  <rowItems count="11">
    <i>
      <x/>
    </i>
    <i>
      <x v="1"/>
    </i>
    <i>
      <x v="2"/>
    </i>
    <i>
      <x v="3"/>
    </i>
    <i>
      <x v="4"/>
    </i>
    <i>
      <x v="5"/>
    </i>
    <i>
      <x v="6"/>
    </i>
    <i>
      <x v="7"/>
    </i>
    <i>
      <x v="8"/>
    </i>
    <i>
      <x v="9"/>
    </i>
    <i t="grand">
      <x/>
    </i>
  </rowItems>
  <colItems count="1">
    <i/>
  </colItems>
  <dataFields count="1">
    <dataField name="Count of Doctor" fld="4" subtotal="count" baseField="0" baseItem="0"/>
  </dataFields>
  <chartFormats count="1">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4ED530C-7A87-45F5-B631-2C506ECDE529}" sourceName="Department">
  <pivotTables>
    <pivotTable tabId="4" name="PivotTable28"/>
    <pivotTable tabId="4" name="PivotTable30"/>
    <pivotTable tabId="4" name="PivotTable31"/>
  </pivotTables>
  <data>
    <tabular pivotCacheId="304561666">
      <items count="10">
        <i x="2" s="1"/>
        <i x="6" s="1"/>
        <i x="5" s="1"/>
        <i x="0" s="1"/>
        <i x="8" s="1"/>
        <i x="3" s="1"/>
        <i x="9" s="1"/>
        <i x="7"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1" xr10:uid="{B32705B9-C8B5-4176-BB6C-DF7D4A34AECF}" sourceName="Insurance">
  <pivotTables>
    <pivotTable tabId="4" name="PivotTable32"/>
    <pivotTable tabId="4" name="PivotTable28"/>
    <pivotTable tabId="4" name="PivotTable30"/>
    <pivotTable tabId="4" name="PivotTable31"/>
  </pivotTables>
  <data>
    <tabular pivotCacheId="30456166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BFCE5A72-9436-4B05-9BCD-82E16DFFF020}" sourceName="Department">
  <pivotTables>
    <pivotTable tabId="4" name="PivotTable1"/>
  </pivotTables>
  <data>
    <tabular pivotCacheId="304561666">
      <items count="10">
        <i x="2" s="1"/>
        <i x="6" s="1"/>
        <i x="5" s="1"/>
        <i x="0" s="1"/>
        <i x="8" s="1"/>
        <i x="3" s="1"/>
        <i x="9" s="1"/>
        <i x="7"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2" xr10:uid="{71A1C479-AB9A-494C-8887-FF243CAB95E3}" sourceName="Insurance">
  <pivotTables>
    <pivotTable tabId="4" name="PivotTable1"/>
  </pivotTables>
  <data>
    <tabular pivotCacheId="30456166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48504BF7-DD0F-4D4A-BA3B-D3C390D85CB7}" sourceName="Patient_ID">
  <pivotTables>
    <pivotTable tabId="4" name="PivotTable2"/>
    <pivotTable tabId="4" name="PivotTable1"/>
    <pivotTable tabId="4" name="PivotTable28"/>
  </pivotTables>
  <data>
    <tabular pivotCacheId="304561666">
      <items count="5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ADACF5-B248-4A90-84D7-E5196B8CBBDC}" sourceName="Gender">
  <pivotTables>
    <pivotTable tabId="4" name="PivotTable2"/>
  </pivotTables>
  <data>
    <tabular pivotCacheId="304561666">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7A7E839-AAE2-465A-8ED3-60DE7E1B9271}" sourceName="Age">
  <pivotTables>
    <pivotTable tabId="4" name="PivotTable28"/>
  </pivotTables>
  <data>
    <tabular pivotCacheId="304561666">
      <items count="8">
        <i x="1" s="1"/>
        <i x="2" s="1"/>
        <i x="3" s="1"/>
        <i x="4" s="1"/>
        <i x="5" s="1"/>
        <i x="6" s="1"/>
        <i x="0" s="1" nd="1"/>
        <i x="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132C8C5-20C2-4ABE-BD8B-3BD9241A93F0}" sourceName="Gender">
  <pivotTables>
    <pivotTable tabId="4" name="PivotTable28"/>
  </pivotTables>
  <data>
    <tabular pivotCacheId="304561666">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C930F9DC-0521-4692-8770-C86F31A14988}" sourceName="Doctor">
  <pivotTables>
    <pivotTable tabId="4" name="PivotTable28"/>
  </pivotTables>
  <data>
    <tabular pivotCacheId="304561666">
      <items count="10">
        <i x="9" s="1"/>
        <i x="4" s="1"/>
        <i x="1" s="1"/>
        <i x="3" s="1"/>
        <i x="6" s="1"/>
        <i x="0" s="1"/>
        <i x="5" s="1"/>
        <i x="8" s="1"/>
        <i x="2" s="1"/>
        <i x="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ADFBAE3F-4478-4661-92C7-D3DA603D20A2}" sourceName="Admission_Type">
  <pivotTables>
    <pivotTable tabId="4" name="PivotTable28"/>
  </pivotTables>
  <data>
    <tabular pivotCacheId="304561666">
      <items count="3">
        <i x="2"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_of_Stay" xr10:uid="{6879F4F8-F35D-4C55-A394-14EC9B9D693A}" sourceName="Length_of_Stay">
  <pivotTables>
    <pivotTable tabId="4" name="PivotTable28"/>
  </pivotTables>
  <data>
    <tabular pivotCacheId="304561666">
      <items count="15">
        <i x="10" s="1"/>
        <i x="2" s="1"/>
        <i x="14" s="1"/>
        <i x="13" s="1"/>
        <i x="0" s="1"/>
        <i x="7" s="1"/>
        <i x="5" s="1"/>
        <i x="6" s="1"/>
        <i x="11" s="1"/>
        <i x="12" s="1"/>
        <i x="1" s="1"/>
        <i x="9" s="1"/>
        <i x="8" s="1"/>
        <i x="4"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Cost" xr10:uid="{53FFA5FC-3A44-4598-AAD5-939A5749BA41}" sourceName="Treatment_Cost">
  <pivotTables>
    <pivotTable tabId="4" name="PivotTable28"/>
  </pivotTables>
  <data>
    <tabular pivotCacheId="304561666">
      <items count="4879">
        <i x="752" s="1"/>
        <i x="3843" s="1"/>
        <i x="1586" s="1"/>
        <i x="1831" s="1"/>
        <i x="4344" s="1"/>
        <i x="4128" s="1"/>
        <i x="4774" s="1"/>
        <i x="1679" s="1"/>
        <i x="1122" s="1"/>
        <i x="4064" s="1"/>
        <i x="3002" s="1"/>
        <i x="621" s="1"/>
        <i x="1824" s="1"/>
        <i x="762" s="1"/>
        <i x="4519" s="1"/>
        <i x="1763" s="1"/>
        <i x="1249" s="1"/>
        <i x="3606" s="1"/>
        <i x="2779" s="1"/>
        <i x="79" s="1"/>
        <i x="1892" s="1"/>
        <i x="910" s="1"/>
        <i x="147" s="1"/>
        <i x="3118" s="1"/>
        <i x="3067" s="1"/>
        <i x="1891" s="1"/>
        <i x="2701" s="1"/>
        <i x="1009" s="1"/>
        <i x="4079" s="1"/>
        <i x="2279" s="1"/>
        <i x="1271" s="1"/>
        <i x="2392" s="1"/>
        <i x="1318" s="1"/>
        <i x="783" s="1"/>
        <i x="4799" s="1"/>
        <i x="1818" s="1"/>
        <i x="2381" s="1"/>
        <i x="2243" s="1"/>
        <i x="4110" s="1"/>
        <i x="2972" s="1"/>
        <i x="2084" s="1"/>
        <i x="1370" s="1"/>
        <i x="3533" s="1"/>
        <i x="151" s="1"/>
        <i x="30" s="1"/>
        <i x="1505" s="1"/>
        <i x="1016" s="1"/>
        <i x="1510" s="1"/>
        <i x="2349" s="1"/>
        <i x="921" s="1"/>
        <i x="896" s="1"/>
        <i x="825" s="1"/>
        <i x="4059" s="1"/>
        <i x="1817" s="1"/>
        <i x="3936" s="1"/>
        <i x="1357" s="1"/>
        <i x="1224" s="1"/>
        <i x="1130" s="1"/>
        <i x="1605" s="1"/>
        <i x="986" s="1"/>
        <i x="3722" s="1"/>
        <i x="1631" s="1"/>
        <i x="149" s="1"/>
        <i x="3453" s="1"/>
        <i x="92" s="1"/>
        <i x="3669" s="1"/>
        <i x="1687" s="1"/>
        <i x="1766" s="1"/>
        <i x="3273" s="1"/>
        <i x="47" s="1"/>
        <i x="726" s="1"/>
        <i x="3194" s="1"/>
        <i x="633" s="1"/>
        <i x="3413" s="1"/>
        <i x="3907" s="1"/>
        <i x="1460" s="1"/>
        <i x="2040" s="1"/>
        <i x="4686" s="1"/>
        <i x="3467" s="1"/>
        <i x="2320" s="1"/>
        <i x="4267" s="1"/>
        <i x="13" s="1"/>
        <i x="3875" s="1"/>
        <i x="2468" s="1"/>
        <i x="2241" s="1"/>
        <i x="2200" s="1"/>
        <i x="3099" s="1"/>
        <i x="4637" s="1"/>
        <i x="3570" s="1"/>
        <i x="3616" s="1"/>
        <i x="3198" s="1"/>
        <i x="494" s="1"/>
        <i x="727" s="1"/>
        <i x="4473" s="1"/>
        <i x="553" s="1"/>
        <i x="2529" s="1"/>
        <i x="595" s="1"/>
        <i x="1056" s="1"/>
        <i x="2301" s="1"/>
        <i x="470" s="1"/>
        <i x="3036" s="1"/>
        <i x="749" s="1"/>
        <i x="1522" s="1"/>
        <i x="1608" s="1"/>
        <i x="4568" s="1"/>
        <i x="4335" s="1"/>
        <i x="2403" s="1"/>
        <i x="1537" s="1"/>
        <i x="2609" s="1"/>
        <i x="2594" s="1"/>
        <i x="2825" s="1"/>
        <i x="2195" s="1"/>
        <i x="1861" s="1"/>
        <i x="3218" s="1"/>
        <i x="1159" s="1"/>
        <i x="835" s="1"/>
        <i x="1635" s="1"/>
        <i x="1384" s="1"/>
        <i x="1626" s="1"/>
        <i x="2260" s="1"/>
        <i x="109" s="1"/>
        <i x="2248" s="1"/>
        <i x="795" s="1"/>
        <i x="2542" s="1"/>
        <i x="2553" s="1"/>
        <i x="3195" s="1"/>
        <i x="110" s="1"/>
        <i x="2986" s="1"/>
        <i x="2823" s="1"/>
        <i x="1541" s="1"/>
        <i x="4555" s="1"/>
        <i x="560" s="1"/>
        <i x="187" s="1"/>
        <i x="3581" s="1"/>
        <i x="104" s="1"/>
        <i x="2523" s="1"/>
        <i x="1157" s="1"/>
        <i x="1740" s="1"/>
        <i x="1812" s="1"/>
        <i x="3689" s="1"/>
        <i x="2829" s="1"/>
        <i x="4595" s="1"/>
        <i x="2421" s="1"/>
        <i x="4714" s="1"/>
        <i x="1539" s="1"/>
        <i x="1737" s="1"/>
        <i x="3758" s="1"/>
        <i x="1484" s="1"/>
        <i x="806" s="1"/>
        <i x="1206" s="1"/>
        <i x="1425" s="1"/>
        <i x="3631" s="1"/>
        <i x="4014" s="1"/>
        <i x="2222" s="1"/>
        <i x="4372" s="1"/>
        <i x="2368" s="1"/>
        <i x="924" s="1"/>
        <i x="1994" s="1"/>
        <i x="1993" s="1"/>
        <i x="4022" s="1"/>
        <i x="2989" s="1"/>
        <i x="2209" s="1"/>
        <i x="2612" s="1"/>
        <i x="363" s="1"/>
        <i x="2690" s="1"/>
        <i x="3763" s="1"/>
        <i x="2474" s="1"/>
        <i x="640" s="1"/>
        <i x="1731" s="1"/>
        <i x="2183" s="1"/>
        <i x="2782" s="1"/>
        <i x="2432" s="1"/>
        <i x="1230" s="1"/>
        <i x="2663" s="1"/>
        <i x="1266" s="1"/>
        <i x="94" s="1"/>
        <i x="2176" s="1"/>
        <i x="301" s="1"/>
        <i x="4626" s="1"/>
        <i x="3742" s="1"/>
        <i x="3997" s="1"/>
        <i x="3832" s="1"/>
        <i x="532" s="1"/>
        <i x="1496" s="1"/>
        <i x="4142" s="1"/>
        <i x="3183" s="1"/>
        <i x="1738" s="1"/>
        <i x="185" s="1"/>
        <i x="775" s="1"/>
        <i x="1647" s="1"/>
        <i x="1207" s="1"/>
        <i x="2172" s="1"/>
        <i x="350" s="1"/>
        <i x="4458" s="1"/>
        <i x="1702" s="1"/>
        <i x="1379" s="1"/>
        <i x="3070" s="1"/>
        <i x="302" s="1"/>
        <i x="4203" s="1"/>
        <i x="3520" s="1"/>
        <i x="3783" s="1"/>
        <i x="3267" s="1"/>
        <i x="4298" s="1"/>
        <i x="1082" s="1"/>
        <i x="209" s="1"/>
        <i x="950" s="1"/>
        <i x="3296" s="1"/>
        <i x="1451" s="1"/>
        <i x="2348" s="1"/>
        <i x="1035" s="1"/>
        <i x="4878" s="1"/>
        <i x="1215" s="1"/>
        <i x="3593" s="1"/>
        <i x="2642" s="1"/>
        <i x="4067" s="1"/>
        <i x="2312" s="1"/>
        <i x="3544" s="1"/>
        <i x="423" s="1"/>
        <i x="2135" s="1"/>
        <i x="1205" s="1"/>
        <i x="333" s="1"/>
        <i x="87" s="1"/>
        <i x="4763" s="1"/>
        <i x="1121" s="1"/>
        <i x="7" s="1"/>
        <i x="2175" s="1"/>
        <i x="3329" s="1"/>
        <i x="3175" s="1"/>
        <i x="2091" s="1"/>
        <i x="4204" s="1"/>
        <i x="4484" s="1"/>
        <i x="142" s="1"/>
        <i x="1281" s="1"/>
        <i x="3964" s="1"/>
        <i x="2777" s="1"/>
        <i x="1876" s="1"/>
        <i x="1489" s="1"/>
        <i x="3600" s="1"/>
        <i x="2798" s="1"/>
        <i x="1592" s="1"/>
        <i x="4770" s="1"/>
        <i x="1901" s="1"/>
        <i x="3095" s="1"/>
        <i x="4387" s="1"/>
        <i x="4384" s="1"/>
        <i x="969" s="1"/>
        <i x="664" s="1"/>
        <i x="1947" s="1"/>
        <i x="4496" s="1"/>
        <i x="614" s="1"/>
        <i x="1863" s="1"/>
        <i x="1598" s="1"/>
        <i x="1455" s="1"/>
        <i x="4330" s="1"/>
        <i x="2426" s="1"/>
        <i x="1197" s="1"/>
        <i x="2269" s="1"/>
        <i x="1363" s="1"/>
        <i x="499" s="1"/>
        <i x="1015" s="1"/>
        <i x="961" s="1"/>
        <i x="1684" s="1"/>
        <i x="3236" s="1"/>
        <i x="2364" s="1"/>
        <i x="3206" s="1"/>
        <i x="1851" s="1"/>
        <i x="1790" s="1"/>
        <i x="4461" s="1"/>
        <i x="1192" s="1"/>
        <i x="1000" s="1"/>
        <i x="4290" s="1"/>
        <i x="3649" s="1"/>
        <i x="2524" s="1"/>
        <i x="4746" s="1"/>
        <i x="2885" s="1"/>
        <i x="3931" s="1"/>
        <i x="2683" s="1"/>
        <i x="2918" s="1"/>
        <i x="146" s="1"/>
        <i x="484" s="1"/>
        <i x="1936" s="1"/>
        <i x="2337" s="1"/>
        <i x="846" s="1"/>
        <i x="4645" s="1"/>
        <i x="3079" s="1"/>
        <i x="4063" s="1"/>
        <i x="1919" s="1"/>
        <i x="126" s="1"/>
        <i x="4677" s="1"/>
        <i x="4688" s="1"/>
        <i x="1503" s="1"/>
        <i x="1620" s="1"/>
        <i x="1203" s="1"/>
        <i x="3517" s="1"/>
        <i x="2297" s="1"/>
        <i x="2411" s="1"/>
        <i x="375" s="1"/>
        <i x="1659" s="1"/>
        <i x="269" s="1"/>
        <i x="168" s="1"/>
        <i x="3151" s="1"/>
        <i x="619" s="1"/>
        <i x="2551" s="1"/>
        <i x="2121" s="1"/>
        <i x="101" s="1"/>
        <i x="1303" s="1"/>
        <i x="566" s="1"/>
        <i x="3112" s="1"/>
        <i x="180" s="1"/>
        <i x="1711" s="1"/>
        <i x="179" s="1"/>
        <i x="3795" s="1"/>
        <i x="112" s="1"/>
        <i x="3539" s="1"/>
        <i x="297" s="1"/>
        <i x="3602" s="1"/>
        <i x="1166" s="1"/>
        <i x="2892" s="1"/>
        <i x="2990" s="1"/>
        <i x="823" s="1"/>
        <i x="3738" s="1"/>
        <i x="4533" s="1"/>
        <i x="1471" s="1"/>
        <i x="4600" s="1"/>
        <i x="2750" s="1"/>
        <i x="1939" s="1"/>
        <i x="824" s="1"/>
        <i x="36" s="1"/>
        <i x="2358" s="1"/>
        <i x="3232" s="1"/>
        <i x="4525" s="1"/>
        <i x="1178" s="1"/>
        <i x="4651" s="1"/>
        <i x="3754" s="1"/>
        <i x="389" s="1"/>
        <i x="2472" s="1"/>
        <i x="2604" s="1"/>
        <i x="2102" s="1"/>
        <i x="2548" s="1"/>
        <i x="467" s="1"/>
        <i x="3646" s="1"/>
        <i x="4761" s="1"/>
        <i x="4127" s="1"/>
        <i x="1835" s="1"/>
        <i x="3321" s="1"/>
        <i x="742" s="1"/>
        <i x="4440" s="1"/>
        <i x="1791" s="1"/>
        <i x="4556" s="1"/>
        <i x="2087" s="1"/>
        <i x="4091" s="1"/>
        <i x="4535" s="1"/>
        <i x="778" s="1"/>
        <i x="3696" s="1"/>
        <i x="3359" s="1"/>
        <i x="2584" s="1"/>
        <i x="2093" s="1"/>
        <i x="859" s="1"/>
        <i x="932" s="1"/>
        <i x="1764" s="1"/>
        <i x="569" s="1"/>
        <i x="3545" s="1"/>
        <i x="919" s="1"/>
        <i x="2216" s="1"/>
        <i x="4662" s="1"/>
        <i x="874" s="1"/>
        <i x="4609" s="1"/>
        <i x="1822" s="1"/>
        <i x="1670" s="1"/>
        <i x="3255" s="1"/>
        <i x="4863" s="1"/>
        <i x="72" s="1"/>
        <i x="4760" s="1"/>
        <i x="3667" s="1"/>
        <i x="1909" s="1"/>
        <i x="844" s="1"/>
        <i x="902" s="1"/>
        <i x="6" s="1"/>
        <i x="3571" s="1"/>
        <i x="4548" s="1"/>
        <i x="3497" s="1"/>
        <i x="304" s="1"/>
        <i x="3123" s="1"/>
        <i x="4013" s="1"/>
        <i x="1434" s="1"/>
        <i x="2625" s="1"/>
        <i x="4604" s="1"/>
        <i x="3962" s="1"/>
        <i x="601" s="1"/>
        <i x="446" s="1"/>
        <i x="2012" s="1"/>
        <i x="2571" s="1"/>
        <i x="1789" s="1"/>
        <i x="4420" s="1"/>
        <i x="3468" s="1"/>
        <i x="960" s="1"/>
        <i x="2755" s="1"/>
        <i x="545" s="1"/>
        <i x="1761" s="1"/>
        <i x="1913" s="1"/>
        <i x="1188" s="1"/>
        <i x="3066" s="1"/>
        <i x="3560" s="1"/>
        <i x="2591" s="1"/>
        <i x="680" s="1"/>
        <i x="1671" s="1"/>
        <i x="4734" s="1"/>
        <i x="220" s="1"/>
        <i x="550" s="1"/>
        <i x="1584" s="1"/>
        <i x="4052" s="1"/>
        <i x="379" s="1"/>
        <i x="1873" s="1"/>
        <i x="1696" s="1"/>
        <i x="1343" s="1"/>
        <i x="2832" s="1"/>
        <i x="4145" s="1"/>
        <i x="3741" s="1"/>
        <i x="3312" s="1"/>
        <i x="2130" s="1"/>
        <i x="4449" s="1"/>
        <i x="981" s="1"/>
        <i x="1345" s="1"/>
        <i x="2309" s="1"/>
        <i x="3926" s="1"/>
        <i x="4178" s="1"/>
        <i x="2059" s="1"/>
        <i x="3599" s="1"/>
        <i x="2558" s="1"/>
        <i x="3851" s="1"/>
        <i x="993" s="1"/>
        <i x="3132" s="1"/>
        <i x="458" s="1"/>
        <i x="1497" s="1"/>
        <i x="1528" s="1"/>
        <i x="4739" s="1"/>
        <i x="2771" s="1"/>
        <i x="1715" s="1"/>
        <i x="2066" s="1"/>
        <i x="1027" s="1"/>
        <i x="68" s="1"/>
        <i x="3778" s="1"/>
        <i x="3245" s="1"/>
        <i x="4518" s="1"/>
        <i x="690" s="1"/>
        <i x="1556" s="1"/>
        <i x="2283" s="1"/>
        <i x="4379" s="1"/>
        <i x="3698" s="1"/>
        <i x="3302" s="1"/>
        <i x="3664" s="1"/>
        <i x="44" s="1"/>
        <i x="2160" s="1"/>
        <i x="2004" s="1"/>
        <i x="2778" s="1"/>
        <i x="4728" s="1"/>
        <i x="3492" s="1"/>
        <i x="84" s="1"/>
        <i x="4010" s="1"/>
        <i x="670" s="1"/>
        <i x="2810" s="1"/>
        <i x="2526" s="1"/>
        <i x="879" s="1"/>
        <i x="4360" s="1"/>
        <i x="868" s="1"/>
        <i x="3748" s="1"/>
        <i x="3137" s="1"/>
        <i x="1424" s="1"/>
        <i x="3683" s="1"/>
        <i x="437" s="1"/>
        <i x="2556" s="1"/>
        <i x="4168" s="1"/>
        <i x="3389" s="1"/>
        <i x="2295" s="1"/>
        <i x="4730" s="1"/>
        <i x="4607" s="1"/>
        <i x="926" s="1"/>
        <i x="429" s="1"/>
        <i x="283" s="1"/>
        <i x="2051" s="1"/>
        <i x="3201" s="1"/>
        <i x="696" s="1"/>
        <i x="2025" s="1"/>
        <i x="751" s="1"/>
        <i x="2462" s="1"/>
        <i x="43" s="1"/>
        <i x="2875" s="1"/>
        <i x="3366" s="1"/>
        <i x="200" s="1"/>
        <i x="3325" s="1"/>
        <i x="4000" s="1"/>
        <i x="2424" s="1"/>
        <i x="4319" s="1"/>
        <i x="2835" s="1"/>
        <i x="3932" s="1"/>
        <i x="672" s="1"/>
        <i x="2062" s="1"/>
        <i x="543" s="1"/>
        <i x="3650" s="1"/>
        <i x="4804" s="1"/>
        <i x="157" s="1"/>
        <i x="2520" s="1"/>
        <i x="2085" s="1"/>
        <i x="2163" s="1"/>
        <i x="396" s="1"/>
        <i x="4815" s="1"/>
        <i x="2383" s="1"/>
        <i x="3574" s="1"/>
        <i x="3895" s="1"/>
        <i x="206" s="1"/>
        <i x="837" s="1"/>
        <i x="3351" s="1"/>
        <i x="3328" s="1"/>
        <i x="1075" s="1"/>
        <i x="1237" s="1"/>
        <i x="4725" s="1"/>
        <i x="4138" s="1"/>
        <i x="1905" s="1"/>
        <i x="214" s="1"/>
        <i x="3655" s="1"/>
        <i x="3953" s="1"/>
        <i x="956" s="1"/>
        <i x="4722" s="1"/>
        <i x="2108" s="1"/>
        <i x="1171" s="1"/>
        <i x="175" s="1"/>
        <i x="485" s="1"/>
        <i x="3713" s="1"/>
        <i x="3660" s="1"/>
        <i x="1391" s="1"/>
        <i x="3807" s="1"/>
        <i x="2660" s="1"/>
        <i x="59" s="1"/>
        <i x="4268" s="1"/>
        <i x="3493" s="1"/>
        <i x="739" s="1"/>
        <i x="1760" s="1"/>
        <i x="2389" s="1"/>
        <i x="1501" s="1"/>
        <i x="1442" s="1"/>
        <i x="4124" s="1"/>
        <i x="800" s="1"/>
        <i x="4670" s="1"/>
        <i x="1019" s="1"/>
        <i x="4767" s="1"/>
        <i x="121" s="1"/>
        <i x="3946" s="1"/>
        <i x="995" s="1"/>
        <i x="2763" s="1"/>
        <i x="3479" s="1"/>
        <i x="1639" s="1"/>
        <i x="4447" s="1"/>
        <i x="4113" s="1"/>
        <i x="788" s="1"/>
        <i x="2001" s="1"/>
        <i x="2716" s="1"/>
        <i x="1065" s="1"/>
        <i x="1841" s="1"/>
        <i x="2201" s="1"/>
        <i x="2166" s="1"/>
        <i x="3396" s="1"/>
        <i x="3898" s="1"/>
        <i x="3119" s="1"/>
        <i x="2879" s="1"/>
        <i x="1062" s="1"/>
        <i x="3800" s="1"/>
        <i x="4776" s="1"/>
        <i x="2606" s="1"/>
        <i x="3353" s="1"/>
        <i x="3392" s="1"/>
        <i x="1842" s="1"/>
        <i x="211" s="1"/>
        <i x="4069" s="1"/>
        <i x="1110" s="1"/>
        <i x="3645" s="1"/>
        <i x="465" s="1"/>
        <i x="4180" s="1"/>
        <i x="1352" s="1"/>
        <i x="4752" s="1"/>
        <i x="2802" s="1"/>
        <i x="612" s="1"/>
        <i x="1026" s="1"/>
        <i x="1609" s="1"/>
        <i x="3204" s="1"/>
        <i x="598" s="1"/>
        <i x="3815" s="1"/>
        <i x="1805" s="1"/>
        <i x="4186" s="1"/>
        <i x="100" s="1"/>
        <i x="4665" s="1"/>
        <i x="3212" s="1"/>
        <i x="4109" s="1"/>
        <i x="1972" s="1"/>
        <i x="3577" s="1"/>
        <i x="3295" s="1"/>
        <i x="3734" s="1"/>
        <i x="1486" s="1"/>
        <i x="3416" s="1"/>
        <i x="442" s="1"/>
        <i x="3344" s="1"/>
        <i x="259" s="1"/>
        <i x="935" s="1"/>
        <i x="3395" s="1"/>
        <i x="3505" s="1"/>
        <i x="152" s="1"/>
        <i x="1396" s="1"/>
        <i x="31" s="1"/>
        <i x="3411" s="1"/>
        <i x="2258" s="1"/>
        <i x="1561" s="1"/>
        <i x="2075" s="1"/>
        <i x="2057" s="1"/>
        <i x="2662" s="1"/>
        <i x="2069" s="1"/>
        <i x="2458" s="1"/>
        <i x="3290" s="1"/>
        <i x="15" s="1"/>
        <i x="2067" s="1"/>
        <i x="60" s="1"/>
        <i x="2904" s="1"/>
        <i x="3239" s="1"/>
        <i x="3100" s="1"/>
        <i x="3589" s="1"/>
        <i x="3675" s="1"/>
        <i x="1289" s="1"/>
        <i x="1025" s="1"/>
        <i x="1296" s="1"/>
        <i x="3572" s="1"/>
        <i x="2794" s="1"/>
        <i x="927" s="1"/>
        <i x="289" s="1"/>
        <i x="4136" s="1"/>
        <i x="4220" s="1"/>
        <i x="850" s="1"/>
        <i x="1273" s="1"/>
        <i x="1945" s="1"/>
        <i x="4846" s="1"/>
        <i x="428" s="1"/>
        <i x="2492" s="1"/>
        <i x="2310" s="1"/>
        <i x="1427" s="1"/>
        <i x="4023" s="1"/>
        <i x="3144" s="1"/>
        <i x="2712" s="1"/>
        <i x="2811" s="1"/>
        <i x="949" s="1"/>
        <i x="4095" s="1"/>
        <i x="4501" s="1"/>
        <i x="996" s="1"/>
        <i x="2171" s="1"/>
        <i x="2219" s="1"/>
        <i x="897" s="1"/>
        <i x="4864" s="1"/>
        <i x="4486" s="1"/>
        <i x="3845" s="1"/>
        <i x="4390" s="1"/>
        <i x="2783" s="1"/>
        <i x="639" s="1"/>
        <i x="2491" s="1"/>
        <i x="1107" s="1"/>
        <i x="3625" s="1"/>
        <i x="4380" s="1"/>
        <i x="3133" s="1"/>
        <i x="4495" s="1"/>
        <i x="3591" s="1"/>
        <i x="2974" s="1"/>
        <i x="368" s="1"/>
        <i x="3203" s="1"/>
        <i x="1052" s="1"/>
        <i x="1969" s="1"/>
        <i x="3288" s="1"/>
        <i x="3708" s="1"/>
        <i x="4158" s="1"/>
        <i x="1700" s="1"/>
        <i x="3819" s="1"/>
        <i x="1039" s="1"/>
        <i x="1814" s="1"/>
        <i x="339" s="1"/>
        <i x="2223" s="1"/>
        <i x="3960" s="1"/>
        <i x="3787" s="1"/>
        <i x="3280" s="1"/>
        <i x="4410" s="1"/>
        <i x="515" s="1"/>
        <i x="1916" s="1"/>
        <i x="3825" s="1"/>
        <i x="2325" s="1"/>
        <i x="513" s="1"/>
        <i x="3808" s="1"/>
        <i x="4185" s="1"/>
        <i x="3012" s="1"/>
        <i x="4265" s="1"/>
        <i x="3594" s="1"/>
        <i x="2032" s="1"/>
        <i x="483" s="1"/>
        <i x="2871" s="1"/>
        <i x="3317" s="1"/>
        <i x="1582" s="1"/>
        <i x="4225" s="1"/>
        <i x="3814" s="1"/>
        <i x="4135" s="1"/>
        <i x="2854" s="1"/>
        <i x="344" s="1"/>
        <i x="4342" s="1"/>
        <i x="2948" s="1"/>
        <i x="3038" s="1"/>
        <i x="1309" s="1"/>
        <i x="2658" s="1"/>
        <i x="3983" s="1"/>
        <i x="2598" s="1"/>
        <i x="3744" s="1"/>
        <i x="1123" s="1"/>
        <i x="4573" s="1"/>
        <i x="1854" s="1"/>
        <i x="3191" s="1"/>
        <i x="4559" s="1"/>
        <i x="615" s="1"/>
        <i x="3950" s="1"/>
        <i x="3944" s="1"/>
        <i x="768" s="1"/>
        <i x="3462" s="1"/>
        <i x="4208" s="1"/>
        <i x="1437" s="1"/>
        <i x="655" s="1"/>
        <i x="4086" s="1"/>
        <i x="4264" s="1"/>
        <i x="1233" s="1"/>
        <i x="2402" s="1"/>
        <i x="1544" s="1"/>
        <i x="3451" s="1"/>
        <i x="4117" s="1"/>
        <i x="597" s="1"/>
        <i x="2681" s="1"/>
        <i x="2454" s="1"/>
        <i x="1195" s="1"/>
        <i x="1492" s="1"/>
        <i x="1708" s="1"/>
        <i x="3918" s="1"/>
        <i x="1540" s="1"/>
        <i x="4812" s="1"/>
        <i x="405" s="1"/>
        <i x="1402" s="1"/>
        <i x="1658" s="1"/>
        <i x="3031" s="1"/>
        <i x="3759" s="1"/>
        <i x="497" s="1"/>
        <i x="2869" s="1"/>
        <i x="2626" s="1"/>
        <i x="3115" s="1"/>
        <i x="3169" s="1"/>
        <i x="1912" s="1"/>
        <i x="2229" s="1"/>
        <i x="2029" s="1"/>
        <i x="793" s="1"/>
        <i x="4408" s="1"/>
        <i x="1294" s="1"/>
        <i x="1871" s="1"/>
        <i x="413" s="1"/>
        <i x="225" s="1"/>
        <i x="2328" s="1"/>
        <i x="221" s="1"/>
        <i x="4643" s="1"/>
        <i x="4699" s="1"/>
        <i x="4305" s="1"/>
        <i x="4807" s="1"/>
        <i x="3529" s="1"/>
        <i x="2412" s="1"/>
        <i x="610" s="1"/>
        <i x="871" s="1"/>
        <i x="3541" s="1"/>
        <i x="4166" s="1"/>
        <i x="695" s="1"/>
        <i x="1587" s="1"/>
        <i x="3327" s="1"/>
        <i x="1380" s="1"/>
        <i x="3159" s="1"/>
        <i x="4405" s="1"/>
        <i x="4191" s="1"/>
        <i x="1957" s="1"/>
        <i x="2330" s="1"/>
        <i x="2038" s="1"/>
        <i x="2785" s="1"/>
        <i x="4285" s="1"/>
        <i x="4051" s="1"/>
        <i x="1169" s="1"/>
        <i x="186" s="1"/>
        <i x="524" s="1"/>
        <i x="928" s="1"/>
        <i x="652" s="1"/>
        <i x="2962" s="1"/>
        <i x="1170" s="1"/>
        <i x="4402" s="1"/>
        <i x="3270" s="1"/>
        <i x="3444" s="1"/>
        <i x="951" s="1"/>
        <i x="3523" s="1"/>
        <i x="3350" s="1"/>
        <i x="4439" s="1"/>
        <i x="1317" s="1"/>
        <i x="3985" s="1"/>
        <i x="3242" s="1"/>
        <i x="1319" s="1"/>
        <i x="3244" s="1"/>
        <i x="1394" s="1"/>
        <i x="3253" s="1"/>
        <i x="1116" s="1"/>
        <i x="3110" s="1"/>
        <i x="3085" s="1"/>
        <i x="4181" s="1"/>
        <i x="3180" s="1"/>
        <i x="647" s="1"/>
        <i x="2142" s="1"/>
        <i x="1014" s="1"/>
        <i x="4505" s="1"/>
        <i x="2036" s="1"/>
        <i x="3093" s="1"/>
        <i x="1341" s="1"/>
        <i x="2467" s="1"/>
        <i x="2747" s="1"/>
        <i x="4008" s="1"/>
        <i x="3853" s="1"/>
        <i x="3170" s="1"/>
        <i x="2572" s="1"/>
        <i x="1470" s="1"/>
        <i x="1047" s="1"/>
        <i x="4448" s="1"/>
        <i x="4455" s="1"/>
        <i x="2208" s="1"/>
        <i x="1147" s="1"/>
        <i x="1547" s="1"/>
        <i x="353" s="1"/>
        <i x="4288" s="1"/>
        <i x="335" s="1"/>
        <i x="438" s="1"/>
        <i x="4218" s="1"/>
        <i x="131" s="1"/>
        <i x="2215" s="1"/>
        <i x="785" s="1"/>
        <i x="17" s="1"/>
        <i x="235" s="1"/>
        <i x="3746" s="1"/>
        <i x="4615" s="1"/>
        <i x="1225" s="1"/>
        <i x="3435" s="1"/>
        <i x="4854" s="1"/>
        <i x="4472" s="1"/>
        <i x="684" s="1"/>
        <i x="767" s="1"/>
        <i x="2409" s="1"/>
        <i x="2512" s="1"/>
        <i x="1227" s="1"/>
        <i x="847" s="1"/>
        <i x="822" s="1"/>
        <i x="1485" s="1"/>
        <i x="3078" s="1"/>
        <i x="2345" s="1"/>
        <i x="2154" s="1"/>
        <i x="3464" s="1"/>
        <i x="273" s="1"/>
        <i x="790" s="1"/>
        <i x="3690" s="1"/>
        <i x="102" s="1"/>
        <i x="1057" s="1"/>
        <i x="1619" s="1"/>
        <i x="2056" s="1"/>
        <i x="2356" s="1"/>
        <i x="1978" s="1"/>
        <i x="3216" s="1"/>
        <i x="1987" s="1"/>
        <i x="4200" s="1"/>
        <i x="4492" s="1"/>
        <i x="4182" s="1"/>
        <i x="52" s="1"/>
        <i x="2386" s="1"/>
        <i x="450" s="1"/>
        <i x="4572" s="1"/>
        <i x="3407" s="1"/>
        <i x="4602" s="1"/>
        <i x="378" s="1"/>
        <i x="1784" s="1"/>
        <i x="3695" s="1"/>
        <i x="471" s="1"/>
        <i x="1007" s="1"/>
        <i x="4419" s="1"/>
        <i x="4772" s="1"/>
        <i x="3736" s="1"/>
        <i x="1187" s="1"/>
        <i x="1413" s="1"/>
        <i x="258" s="1"/>
        <i x="2893" s="1"/>
        <i x="3060" s="1"/>
        <i x="1573" s="1"/>
        <i x="3901" s="1"/>
        <i x="3524" s="1"/>
        <i x="2506" s="1"/>
        <i x="3398" s="1"/>
        <i x="3084" s="1"/>
        <i x="1848" s="1"/>
        <i x="3498" s="1"/>
        <i x="1272" s="1"/>
        <i x="1048" s="1"/>
        <i x="2903" s="1"/>
        <i x="3487" s="1"/>
        <i x="1387" s="1"/>
        <i x="4080" s="1"/>
        <i x="1672" s="1"/>
        <i x="839" s="1"/>
        <i x="1885" s="1"/>
        <i x="2848" s="1"/>
        <i x="227" s="1"/>
        <i x="1621" s="1"/>
        <i x="1720" s="1"/>
        <i x="2516" s="1"/>
        <i x="4039" s="1"/>
        <i x="4047" s="1"/>
        <i x="2849" s="1"/>
        <i x="2814" s="1"/>
        <i x="1979" s="1"/>
        <i x="643" s="1"/>
        <i x="4517" s="1"/>
        <i x="1312" s="1"/>
        <i x="4226" s="1"/>
        <i x="365" s="1"/>
        <i x="3294" s="1"/>
        <i x="723" s="1"/>
        <i x="3796" s="1"/>
        <i x="1064" s="1"/>
        <i x="1099" s="1"/>
        <i x="1342" s="1"/>
        <i x="4366" s="1"/>
        <i x="3685" s="1"/>
        <i x="3945" s="1"/>
        <i x="1138" s="1"/>
        <i x="3279" s="1"/>
        <i x="576" s="1"/>
        <i x="4421" s="1"/>
        <i x="1036" s="1"/>
        <i x="1344" s="1"/>
        <i x="4528" s="1"/>
        <i x="4606" s="1"/>
        <i x="2937" s="1"/>
        <i x="1543" s="1"/>
        <i x="1446" s="1"/>
        <i x="400" s="1"/>
        <i x="1826" s="1"/>
        <i x="2096" s="1"/>
        <i x="275" s="1"/>
        <i x="3530" s="1"/>
        <i x="307" s="1"/>
        <i x="64" s="1"/>
        <i x="4491" s="1"/>
        <i x="2735" s="1"/>
        <i x="330" s="1"/>
        <i x="1676" s="1"/>
        <i x="3628" s="1"/>
        <i x="761" s="1"/>
        <i x="3958" s="1"/>
        <i x="1262" s="1"/>
        <i x="4240" s="1"/>
        <i x="2912" s="1"/>
        <i x="4666" s="1"/>
        <i x="1365" s="1"/>
        <i x="3540" s="1"/>
        <i x="383" s="1"/>
        <i x="735" s="1"/>
        <i x="456" s="1"/>
        <i x="3345" s="1"/>
        <i x="1748" s="1"/>
        <i x="3642" s="1"/>
        <i x="196" s="1"/>
        <i x="2635" s="1"/>
        <i x="2647" s="1"/>
        <i x="4401" s="1"/>
        <i x="1597" s="1"/>
        <i x="1770" s="1"/>
        <i x="1771" s="1"/>
        <i x="4062" s="1"/>
        <i x="417" s="1"/>
        <i x="392" s="1"/>
        <i x="3197" s="1"/>
        <i x="487" s="1"/>
        <i x="3355" s="1"/>
        <i x="4160" s="1"/>
        <i x="3000" s="1"/>
        <i x="3441" s="1"/>
        <i x="1060" s="1"/>
        <i x="1377" s="1"/>
        <i x="2144" s="1"/>
        <i x="2895" s="1"/>
        <i x="2590" s="1"/>
        <i x="2535" s="1"/>
        <i x="3691" s="1"/>
        <i x="1845" s="1"/>
        <i x="1055" s="1"/>
        <i x="2882" s="1"/>
        <i x="346" s="1"/>
        <i x="328" s="1"/>
        <i x="4764" s="1"/>
        <i x="4325" s="1"/>
        <i x="4861" s="1"/>
        <i x="1053" s="1"/>
        <i x="2430" s="1"/>
        <i x="2214" s="1"/>
        <i x="3113" s="1"/>
        <i x="3811" s="1"/>
        <i x="2705" s="1"/>
        <i x="138" s="1"/>
        <i x="4159" s="1"/>
        <i x="1322" s="1"/>
        <i x="2277" s="1"/>
        <i x="4747" s="1"/>
        <i x="1382" s="1"/>
        <i x="1967" s="1"/>
        <i x="3640" s="1"/>
        <i x="3799" s="1"/>
        <i x="2640" s="1"/>
        <i x="2623" s="1"/>
        <i x="1811" s="1"/>
        <i x="3386" s="1"/>
        <i x="4617" s="1"/>
        <i x="37" s="1"/>
        <i x="1562" s="1"/>
        <i x="3515" s="1"/>
        <i x="3716" s="1"/>
        <i x="1840" s="1"/>
        <i x="2563" s="1"/>
        <i x="3556" s="1"/>
        <i x="4313" s="1"/>
        <i x="1515" s="1"/>
        <i x="2167" s="1"/>
        <i x="2592" s="1"/>
        <i x="3969" s="1"/>
        <i x="1054" s="1"/>
        <i x="1364" s="1"/>
        <i x="725" s="1"/>
        <i x="3341" s="1"/>
        <i x="3939" s="1"/>
        <i x="1773" s="1"/>
        <i x="4347" s="1"/>
        <i x="3613" s="1"/>
        <i x="56" s="1"/>
        <i x="2670" s="1"/>
        <i x="4490" s="1"/>
        <i x="3383" s="1"/>
        <i x="758" s="1"/>
        <i x="650" s="1"/>
        <i x="2920" s="1"/>
        <i x="3528" s="1"/>
        <i x="1996" s="1"/>
        <i x="3849" s="1"/>
        <i x="2930" s="1"/>
        <i x="1105" s="1"/>
        <i x="3083" s="1"/>
        <i x="2013" s="1"/>
        <i x="2923" s="1"/>
        <i x="3915" s="1"/>
        <i x="4660" s="1"/>
        <i x="1183" s="1"/>
        <i x="444" s="1"/>
        <i x="4608" s="1"/>
        <i x="1373" s="1"/>
        <i x="2517" s="1"/>
        <i x="1714" s="1"/>
        <i x="3665" s="1"/>
        <i x="1255" s="1"/>
        <i x="2984" s="1"/>
        <i x="4468" s="1"/>
        <i x="4307" s="1"/>
        <i x="4327" s="1"/>
        <i x="2907" s="1"/>
        <i x="1970" s="1"/>
        <i x="3972" s="1"/>
        <i x="478" s="1"/>
        <i x="3478" s="1"/>
        <i x="2709" s="1"/>
        <i x="1627" s="1"/>
        <i x="3521" s="1"/>
        <i x="2917" s="1"/>
        <i x="3617" s="1"/>
        <i x="1856" s="1"/>
        <i x="276" s="1"/>
        <i x="3088" s="1"/>
        <i x="3116" s="1"/>
        <i x="948" s="1"/>
        <i x="940" s="1"/>
        <i x="1415" s="1"/>
        <i x="836" s="1"/>
        <i x="581" s="1"/>
        <i x="2369" s="1"/>
        <i x="3775" s="1"/>
        <i x="2023" s="1"/>
        <i x="4630" s="1"/>
        <i x="4471" s="1"/>
        <i x="4362" s="1"/>
        <i x="4613" s="1"/>
        <i x="122" s="1"/>
        <i x="3171" s="1"/>
        <i x="2253" s="1"/>
        <i x="3966" s="1"/>
        <i x="2031" s="1"/>
        <i x="1832" s="1"/>
        <i x="3056" s="1"/>
        <i x="1966" s="1"/>
        <i x="3659" s="1"/>
        <i x="2143" s="1"/>
        <i x="4507" s="1"/>
        <i x="3923" s="1"/>
        <i x="4239" s="1"/>
        <i x="604" s="1"/>
        <i x="3766" s="1"/>
        <i x="4536" s="1"/>
        <i x="3793" s="1"/>
        <i x="2873" s="1"/>
        <i x="2061" s="1"/>
        <i x="50" s="1"/>
        <i x="3308" s="1"/>
        <i x="2010" s="1"/>
        <i x="1202" s="1"/>
        <i x="1611" s="1"/>
        <i x="1013" s="1"/>
        <i x="213" s="1"/>
        <i x="2583" s="1"/>
        <i x="3061" s="1"/>
        <i x="3385" s="1"/>
        <i x="2608" s="1"/>
        <i x="1134" s="1"/>
        <i x="3209" s="1"/>
        <i x="3364" s="1"/>
        <i x="551" s="1"/>
        <i x="1443" s="1"/>
        <i x="1825" s="1"/>
        <i x="2672" s="1"/>
        <i x="4245" s="1"/>
        <i x="3465" s="1"/>
        <i x="1719" s="1"/>
        <i x="3729" s="1"/>
        <i x="3026" s="1"/>
        <i x="2883" s="1"/>
        <i x="4016" s="1"/>
        <i x="2645" s="1"/>
        <i x="11" s="1"/>
        <i x="1636" s="1"/>
        <i x="2815" s="1"/>
        <i x="4690" s="1"/>
        <i x="1630" s="1"/>
        <i x="1376" s="1"/>
        <i x="2341" s="1"/>
        <i x="1083" s="1"/>
        <i x="627" s="1"/>
        <i x="987" s="1"/>
        <i x="3193" s="1"/>
        <i x="1744" s="1"/>
        <i x="2429" s="1"/>
        <i x="2417" s="1"/>
        <i x="2725" s="1"/>
        <i x="4282" s="1"/>
        <i x="4437" s="1"/>
        <i x="3432" s="1"/>
        <i x="2922" s="1"/>
        <i x="967" s="1"/>
        <i x="4806" s="1"/>
        <i x="529" s="1"/>
        <i x="1685" s="1"/>
        <i x="2352" s="1"/>
        <i x="4037" s="1"/>
        <i x="4425" s="1"/>
        <i x="3237" s="1"/>
        <i x="2655" s="1"/>
        <i x="1951" s="1"/>
        <i x="4025" s="1"/>
        <i x="1236" s="1"/>
        <i x="3595" s="1"/>
        <i x="1097" s="1"/>
        <i x="2065" s="1"/>
        <i x="562" s="1"/>
        <i x="4558" s="1"/>
        <i x="1915" s="1"/>
        <i x="3971" s="1"/>
        <i x="419" s="1"/>
        <i x="1439" s="1"/>
        <i x="2620" s="1"/>
        <i x="1218" s="1"/>
        <i x="1024" s="1"/>
        <i x="1120" s="1"/>
        <i x="4868" s="1"/>
        <i x="2833" s="1"/>
        <i x="4125" s="1"/>
        <i x="4857" s="1"/>
        <i x="2477" s="1"/>
        <i x="4512" s="1"/>
        <i x="4493" s="1"/>
        <i x="2602" s="1"/>
        <i x="1257" s="1"/>
        <i x="3537" s="1"/>
        <i x="506" s="1"/>
        <i x="1753" s="1"/>
        <i x="230" s="1"/>
        <i x="579" s="1"/>
        <i x="4176" s="1"/>
        <i x="305" s="1"/>
        <i x="4546" s="1"/>
        <i x="1422" s="1"/>
        <i x="3822" s="1"/>
        <i x="1680" s="1"/>
        <i x="1756" s="1"/>
        <i x="3896" s="1"/>
        <i x="1512" s="1"/>
        <i x="2189" s="1"/>
        <i x="3414" s="1"/>
        <i x="4300" s="1"/>
        <i x="1940" s="1"/>
        <i x="237" s="1"/>
        <i x="3804" s="1"/>
        <i x="990" s="1"/>
        <i x="2992" s="1"/>
        <i x="324" s="1"/>
        <i x="2564" s="1"/>
        <i x="4702" s="1"/>
        <i x="4105" s="1"/>
        <i x="609" s="1"/>
        <i x="1360" s="1"/>
        <i x="759" s="1"/>
        <i x="4146" s="1"/>
        <i x="1093" s="1"/>
        <i x="1548" s="1"/>
        <i x="764" s="1"/>
        <i x="4647" s="1"/>
        <i x="574" s="1"/>
        <i x="1146" s="1"/>
        <i x="4749" s="1"/>
        <i x="2293" s="1"/>
        <i x="4803" s="1"/>
        <i x="2133" s="1"/>
        <i x="4779" s="1"/>
        <i x="3447" s="1"/>
        <i x="4076" s="1"/>
        <i x="4575" s="1"/>
        <i x="1858" s="1"/>
        <i x="2573" s="1"/>
        <i x="3134" s="1"/>
        <i x="582" s="1"/>
        <i x="3884" s="1"/>
        <i x="2717" s="1"/>
        <i x="2308" s="1"/>
        <i x="4216" s="1"/>
        <i x="4825" s="1"/>
        <i x="1453" s="1"/>
        <i x="4678" s="1"/>
        <i x="4195" s="1"/>
        <i x="3727" s="1"/>
        <i x="3670" s="1"/>
        <i x="1538" s="1"/>
        <i x="26" s="1"/>
        <i x="1950" s="1"/>
        <i x="1893" s="1"/>
        <i x="4157" s="1"/>
        <i x="172" s="1"/>
        <i x="2758" s="1"/>
        <i x="391" s="1"/>
        <i x="3011" s="1"/>
        <i x="754" s="1"/>
        <i x="3073" s="1"/>
        <i x="1504" s="1"/>
        <i x="3755" s="1"/>
        <i x="4745" s="1"/>
        <i x="2746" s="1"/>
        <i x="3494" s="1"/>
        <i x="521" s="1"/>
        <i x="4129" s="1"/>
        <i x="2872" s="1"/>
        <i x="85" s="1"/>
        <i x="3629" s="1"/>
        <i x="2514" s="1"/>
        <i x="2193" s="1"/>
        <i x="3293" s="1"/>
        <i x="2589" s="1"/>
        <i x="546" s="1"/>
        <i x="1283" s="1"/>
        <i x="425" s="1"/>
        <i x="1210" s="1"/>
        <i x="4639" s="1"/>
        <i x="2999" s="1"/>
        <i x="77" s="1"/>
        <i x="1514" s="1"/>
        <i x="1228" s="1"/>
        <i x="1410" s="1"/>
        <i x="1815" s="1"/>
        <i x="613" s="1"/>
        <i x="278" s="1"/>
        <i x="1291" s="1"/>
        <i x="3097" s="1"/>
        <i x="3992" s="1"/>
        <i x="279" s="1"/>
        <i x="876" s="1"/>
        <i x="4497" s="1"/>
        <i x="2610" s="1"/>
        <i x="4715" s="1"/>
        <i x="1033" s="1"/>
        <i x="1553" s="1"/>
        <i x="4189" s="1"/>
        <i x="4228" s="1"/>
        <i x="3283" s="1"/>
        <i x="4371" s="1"/>
        <i x="3409" s="1"/>
        <i x="511" s="1"/>
        <i x="4584" s="1"/>
        <i x="2994" s="1"/>
        <i x="1020" s="1"/>
        <i x="3809" s="1"/>
        <i x="3612" s="1"/>
        <i x="4363" s="1"/>
        <i x="599" s="1"/>
        <i x="2199" s="1"/>
        <i x="3771" s="1"/>
        <i x="3906" s="1"/>
        <i x="1042" s="1"/>
        <i x="2198" s="1"/>
        <i x="2689" s="1"/>
        <i x="2807" s="1"/>
        <i x="4840" s="1"/>
        <i x="2039" s="1"/>
        <i x="2265" s="1"/>
        <i x="2585" s="1"/>
        <i x="390" s="1"/>
        <i x="242" s="1"/>
        <i x="338" s="1"/>
        <i x="4027" s="1"/>
        <i x="1868" s="1"/>
        <i x="2184" s="1"/>
        <i x="4024" s="1"/>
        <i x="3074" s="1"/>
        <i x="1877" s="1"/>
        <i x="1653" s="1"/>
        <i x="1253" s="1"/>
        <i x="656" s="1"/>
        <i x="2897" s="1"/>
        <i x="663" s="1"/>
        <i x="2843" s="1"/>
        <i x="1965" s="1"/>
        <i x="2052" s="1"/>
        <i x="3427" s="1"/>
        <i x="463" s="1"/>
        <i x="4530" s="1"/>
        <i x="2845" s="1"/>
        <i x="141" s="1"/>
        <i x="3434" s="1"/>
        <i x="818" s="1"/>
        <i x="2908" s="1"/>
        <i x="181" s="1"/>
        <i x="2398" s="1"/>
        <i x="2720" s="1"/>
        <i x="2147" s="1"/>
        <i x="488" s="1"/>
        <i x="4418" s="1"/>
        <i x="418" s="1"/>
        <i x="1558" s="1"/>
        <i x="4644" s="1"/>
        <i x="1149" s="1"/>
        <i x="3954" s="1"/>
        <i x="2696" s="1"/>
        <i x="2475" s="1"/>
        <i x="1859" s="1"/>
        <i x="1231" s="1"/>
        <i x="878" s="1"/>
        <i x="4070" s="1"/>
        <i x="3608" s="1"/>
        <i x="3484" s="1"/>
        <i x="1712" s="1"/>
        <i x="1776" s="1"/>
        <i x="1104" s="1"/>
        <i x="3989" s="1"/>
        <i x="980" s="1"/>
        <i x="1697" s="1"/>
        <i x="4210" s="1"/>
        <i x="2860" s="1"/>
        <i x="1575" s="1"/>
        <i x="1374" s="1"/>
        <i x="572" s="1"/>
        <i x="3948" s="1"/>
        <i x="1579" s="1"/>
        <i x="3830" s="1"/>
        <i x="3221" s="1"/>
        <i x="2499" s="1"/>
        <i x="3307" s="1"/>
        <i x="2033" s="1"/>
        <i x="461" s="1"/>
        <i x="4445" s="1"/>
        <i x="4826" s="1"/>
        <i x="2024" s="1"/>
        <i x="3019" s="1"/>
        <i x="1743" s="1"/>
        <i x="262" s="1"/>
        <i x="2484" s="1"/>
        <i x="4150" s="1"/>
        <i x="3263" s="1"/>
        <i x="475" s="1"/>
        <i x="357" s="1"/>
        <i x="4114" s="1"/>
        <i x="303" s="1"/>
        <i x="4508" s="1"/>
        <i x="4034" s="1"/>
        <i x="669" s="1"/>
        <i x="1165" s="1"/>
        <i x="3598" s="1"/>
        <i x="327" s="1"/>
        <i x="486" s="1"/>
        <i x="4855" s="1"/>
        <i x="1438" s="1"/>
        <i x="558" s="1"/>
        <i x="1314" s="1"/>
        <i x="4346" s="1"/>
        <i x="841" s="1"/>
        <i x="441" s="1"/>
        <i x="4048" s="1"/>
        <i x="4329" s="1"/>
        <i x="2445" s="1"/>
        <i x="1865" s="1"/>
        <i x="2639" s="1"/>
        <i x="857" s="1"/>
        <i x="399" s="1"/>
        <i x="3542" s="1"/>
        <i x="1011" s="1"/>
        <i x="568" s="1"/>
        <i x="3476" s="1"/>
        <i x="1244" s="1"/>
        <i x="1081" s="1"/>
        <i x="2095" s="1"/>
        <i x="3145" s="1"/>
        <i x="1372" s="1"/>
        <i x="1085" s="1"/>
        <i x="4259" s="1"/>
        <i x="3262" s="1"/>
        <i x="469" s="1"/>
        <i x="4560" s="1"/>
        <i x="1098" s="1"/>
        <i x="1716" s="1"/>
        <i x="3126" s="1"/>
        <i x="490" s="1"/>
        <i x="542" s="1"/>
        <i x="294" s="1"/>
        <i x="2961" s="1"/>
        <i x="1267" s="1"/>
        <i x="1441" s="1"/>
        <i x="3075" s="1"/>
        <i x="4046" s="1"/>
        <i x="334" s="1"/>
        <i x="3064" s="1"/>
        <i x="1366" s="1"/>
        <i x="2809" s="1"/>
        <i x="1846" s="1"/>
        <i x="3076" s="1"/>
        <i x="636" s="1"/>
        <i x="3337" s="1"/>
        <i x="701" s="1"/>
        <i x="364" s="1"/>
        <i x="4214" s="1"/>
        <i x="401" s="1"/>
        <i x="397" s="1"/>
        <i x="3460" s="1"/>
        <i x="4794" s="1"/>
        <i x="2278" s="1"/>
        <i x="1102" s="1"/>
        <i x="1819" s="1"/>
        <i x="4567" s="1"/>
        <i x="4281" s="1"/>
        <i x="1431" s="1"/>
        <i x="2276" s="1"/>
        <i x="53" s="1"/>
        <i x="2714" s="1"/>
        <i x="1594" s="1"/>
        <i x="1823" s="1"/>
        <i x="2669" s="1"/>
        <i x="1124" s="1"/>
        <i x="3673" s="1"/>
        <i x="2340" s="1"/>
        <i x="681" s="1"/>
        <i x="260" s="1"/>
        <i x="1650" s="1"/>
        <i x="3575" s="1"/>
        <i x="3343" s="1"/>
        <i x="1135" s="1"/>
        <i x="3977" s="1"/>
        <i x="3601" s="1"/>
        <i x="1465" s="1"/>
        <i x="3893" s="1"/>
        <i x="4680" s="1"/>
        <i x="4361" s="1"/>
        <i x="4020" s="1"/>
        <i x="4694" s="1"/>
        <i x="3782" s="1"/>
        <i x="914" s="1"/>
        <i x="4487" s="1"/>
        <i x="2703" s="1"/>
        <i x="1030" s="1"/>
        <i x="2819" s="1"/>
        <i x="3724" s="1"/>
        <i x="1304" s="1"/>
        <i x="4139" s="1"/>
        <i x="4820" s="1"/>
        <i x="3324" s="1"/>
        <i x="4426" s="1"/>
        <i x="2157" s="1"/>
        <i x="1474" s="1"/>
        <i x="45" s="1"/>
        <i x="4847" s="1"/>
        <i x="4381" s="1"/>
        <i x="2837" s="1"/>
        <i x="3928" s="1"/>
        <i x="464" s="1"/>
        <i x="3956" s="1"/>
        <i x="1980" s="1"/>
        <i x="830" s="1"/>
        <i x="2270" s="1"/>
        <i x="1156" s="1"/>
        <i x="901" s="1"/>
        <i x="377" s="1"/>
        <i x="4438" s="1"/>
        <i x="944" s="1"/>
        <i x="2246" s="1"/>
        <i x="2479" s="1"/>
        <i x="3777" s="1"/>
        <i x="1746" s="1"/>
        <i x="4099" s="1"/>
        <i x="3509" s="1"/>
        <i x="134" s="1"/>
        <i x="3161" s="1"/>
        <i x="1328" s="1"/>
        <i x="1067" s="1"/>
        <i x="2797" s="1"/>
        <i x="2192" s="1"/>
        <i x="4093" s="1"/>
        <i x="248" s="1"/>
        <i x="860" s="1"/>
        <i x="3419" s="1"/>
        <i x="3621" s="1"/>
        <i x="3641" s="1"/>
        <i x="4697" s="1"/>
        <i x="1408" s="1"/>
        <i x="3513" s="1"/>
        <i x="204" s="1"/>
        <i x="240" s="1"/>
        <i x="3784" s="1"/>
        <i x="3558" s="1"/>
        <i x="4823" s="1"/>
        <i x="1897" s="1"/>
        <i x="2302" s="1"/>
        <i x="593" s="1"/>
        <i x="848" s="1"/>
        <i x="1732" s="1"/>
        <i x="3658" s="1"/>
        <i x="2413" s="1"/>
        <i x="2035" s="1"/>
        <i x="888" s="1"/>
        <i x="2439" s="1"/>
        <i x="1713" s="1"/>
        <i x="2686" s="1"/>
        <i x="1426" s="1"/>
        <i x="3347" s="1"/>
        <i x="427" s="1"/>
        <i x="3707" s="1"/>
        <i x="3230" s="1"/>
        <i x="1646" s="1"/>
        <i x="2786" s="1"/>
        <i x="3278" s="1"/>
        <i x="2197" s="1"/>
        <i x="4481" s="1"/>
        <i x="4591" s="1"/>
        <i x="3868" s="1"/>
        <i x="623" s="1"/>
        <i x="2532" s="1"/>
        <i x="3974" s="1"/>
        <i x="4554" s="1"/>
        <i x="4311" s="1"/>
        <i x="4742" s="1"/>
        <i x="2366" s="1"/>
        <i x="3965" s="1"/>
        <i x="1302" s="1"/>
        <i x="2315" s="1"/>
        <i x="908" s="1"/>
        <i x="1346" s="1"/>
        <i x="18" s="1"/>
        <i x="745" s="1"/>
        <i x="3301" s="1"/>
        <i x="2861" s="1"/>
        <i x="3034" s="1"/>
        <i x="466" s="1"/>
        <i x="2070" s="1"/>
        <i x="42" s="1"/>
        <i x="2435" s="1"/>
        <i x="2960" s="1"/>
        <i x="3148" s="1"/>
        <i x="3862" s="1"/>
        <i x="1920" s="1"/>
        <i x="3246" s="1"/>
        <i x="3768" s="1"/>
        <i x="2159" s="1"/>
        <i x="812" s="1"/>
        <i x="2928" s="1"/>
        <i x="343" s="1"/>
        <i x="4415" s="1"/>
        <i x="2236" s="1"/>
        <i x="1079" s="1"/>
        <i x="3792" s="1"/>
        <i x="371" s="1"/>
        <i x="4771" s="1"/>
        <i x="2042" s="1"/>
        <i x="2800" s="1"/>
        <i x="2206" s="1"/>
        <i x="4262" s="1"/>
        <i x="3496" s="1"/>
        <i x="1137" s="1"/>
        <i x="555" s="1"/>
        <i x="2852" s="1"/>
        <i x="2760" s="1"/>
        <i x="3101" s="1"/>
        <i x="708" s="1"/>
        <i x="1095" s="1"/>
        <i x="1395" s="1"/>
        <i x="1200" s="1"/>
        <i x="1637" s="1"/>
        <i x="651" s="1"/>
        <i x="3305" s="1"/>
        <i x="4033" s="1"/>
        <i x="618" s="1"/>
        <i x="3410" s="1"/>
        <i x="2627" s="1"/>
        <i x="1565" s="1"/>
        <i x="4328" s="1"/>
        <i x="904" s="1"/>
        <i x="3507" s="1"/>
        <i x="602" s="1"/>
        <i x="815" s="1"/>
        <i x="2518" s="1"/>
        <i x="3826" s="1"/>
        <i x="1333" s="1"/>
        <i x="3082" s="1"/>
        <i x="1290" s="1"/>
        <i x="2053" s="1"/>
        <i x="1468" s="1"/>
        <i x="4255" s="1"/>
        <i x="2976" s="1"/>
        <i x="668" s="1"/>
        <i x="3090" s="1"/>
        <i x="4289" s="1"/>
        <i x="4144" s="1"/>
        <i x="1604" s="1"/>
        <i x="3412" s="1"/>
        <i x="2851" s="1"/>
        <i x="3415" s="1"/>
        <i x="148" s="1"/>
        <i x="3684" s="1"/>
        <i x="2975" s="1"/>
        <i x="1477" s="1"/>
        <i x="4634" s="1"/>
        <i x="2441" s="1"/>
        <i x="2973" s="1"/>
        <i x="103" s="1"/>
        <i x="3062" s="1"/>
        <i x="4345" s="1"/>
        <i x="4297" s="1"/>
        <i x="3228" s="1"/>
        <i x="133" s="1"/>
        <i x="2014" s="1"/>
        <i x="2890" s="1"/>
        <i x="1295" s="1"/>
        <i x="4261" s="1"/>
        <i x="2395" s="1"/>
        <i x="4041" s="1"/>
        <i x="434" s="1"/>
        <i x="979" s="1"/>
        <i x="851" s="1"/>
        <i x="239" s="1"/>
        <i x="2375" s="1"/>
        <i x="2254" s="1"/>
        <i x="1211" s="1"/>
        <i x="4808" s="1"/>
        <i x="1533" s="1"/>
        <i x="1559" s="1"/>
        <i x="673" s="1"/>
        <i x="1219" s="1"/>
        <i x="1641" s="1"/>
        <i x="4540" s="1"/>
        <i x="1665" s="1"/>
        <i x="4712" s="1"/>
        <i x="3436" s="1"/>
        <i x="4503" s="1"/>
        <i x="1284" s="1"/>
        <i x="4227" s="1"/>
        <i x="955" s="1"/>
        <i x="2106" s="1"/>
        <i x="3227" s="1"/>
        <i x="658" s="1"/>
        <i x="2754" s="1"/>
        <i x="1297" s="1"/>
        <i x="3289" s="1"/>
        <i x="2503" s="1"/>
        <i x="4223" s="1"/>
        <i x="4762" s="1"/>
        <i x="2846" s="1"/>
        <i x="4400" s="1"/>
        <i x="2049" s="1"/>
        <i x="2806" s="1"/>
        <i x="3973" s="1"/>
        <i x="4352" s="1"/>
        <i x="229" s="1"/>
        <i x="909" s="1"/>
        <i x="2537" s="1"/>
        <i x="4230" s="1"/>
        <i x="1459" s="1"/>
        <i x="1158" s="1"/>
        <i x="4652" s="1"/>
        <i x="4148" s="1"/>
        <i x="3975" s="1"/>
        <i x="1898" s="1"/>
        <i x="512" s="1"/>
        <i x="2346" s="1"/>
        <i x="709" s="1"/>
        <i x="1872" s="1"/>
        <i x="132" s="1"/>
        <i x="2870" s="1"/>
        <i x="16" s="1"/>
        <i x="4743" s="1"/>
        <i x="2453" s="1"/>
        <i x="3526" s="1"/>
        <i x="4623" s="1"/>
        <i x="4427" s="1"/>
        <i x="2496" s="1"/>
        <i x="265" s="1"/>
        <i x="129" s="1"/>
        <i x="3869" s="1"/>
        <i x="1383" s="1"/>
        <i x="1669" s="1"/>
        <i x="923" s="1"/>
        <i x="3129" s="1"/>
        <i x="3199" s="1"/>
        <i x="1241" s="1"/>
        <i x="4862" s="1"/>
        <i x="3006" s="1"/>
        <i x="3027" s="1"/>
        <i x="388" s="1"/>
        <i x="911" s="1"/>
        <i x="3848" s="1"/>
        <i x="4469" s="1"/>
        <i x="2924" s="1"/>
        <i x="1109" s="1"/>
        <i x="1828" s="1"/>
        <i x="1523" s="1"/>
        <i x="1269" s="1"/>
        <i x="178" s="1"/>
        <i x="4221" s="1"/>
        <i x="2776" s="1"/>
        <i x="965" s="1"/>
        <i x="352" s="1"/>
        <i x="1956" s="1"/>
        <i x="1937" s="1"/>
        <i x="3406" s="1"/>
        <i x="4199" s="1"/>
        <i x="938" s="1"/>
        <i x="4842" s="1"/>
        <i x="4605" s="1"/>
        <i x="3506" s="1"/>
        <i x="1423" s="1"/>
        <i x="4057" s="1"/>
        <i x="4869" s="1"/>
        <i x="1463" s="1"/>
        <i x="3863" s="1"/>
        <i x="2428" s="1"/>
        <i x="2280" s="1"/>
        <i x="3502" s="1"/>
        <i x="4364" s="1"/>
        <i x="1115" s="1"/>
        <i x="1008" s="1"/>
        <i x="3654" s="1"/>
        <i x="4848" s="1"/>
        <i x="2090" s="1"/>
        <i x="2437" s="1"/>
        <i x="3805" s="1"/>
        <i x="4792" s="1"/>
        <i x="1355" s="1"/>
        <i x="4538" s="1"/>
        <i x="3686" s="1"/>
        <i x="3890" s="1"/>
        <i x="193" s="1"/>
        <i x="570" s="1"/>
        <i x="2018" s="1"/>
        <i x="893" s="1"/>
        <i x="922" s="1"/>
        <i x="1421" s="1"/>
        <i x="1119" s="1"/>
        <i x="1717" s="1"/>
        <i x="4341" s="1"/>
        <i x="1132" s="1"/>
        <i x="653" s="1"/>
        <i x="2098" s="1"/>
        <i x="4112" s="1"/>
        <i x="3474" s="1"/>
        <i x="380" s="1"/>
        <i x="2866" s="1"/>
        <i x="2110" s="1"/>
        <i x="2803" s="1"/>
        <i x="2488" s="1"/>
        <i x="2702" s="1"/>
        <i x="2119" s="1"/>
        <i x="1718" s="1"/>
        <i x="453" s="1"/>
        <i x="3122" s="1"/>
        <i x="1335" s="1"/>
        <i x="4322" s="1"/>
        <i x="4026" s="1"/>
        <i x="1941" s="1"/>
        <i x="3373" s="1"/>
        <i x="715" s="1"/>
        <i x="4829" s="1"/>
        <i x="1252" s="1"/>
        <i x="3207" s="1"/>
        <i x="4793" s="1"/>
        <i x="4107" s="1"/>
        <i x="3332" s="1"/>
        <i x="29" s="1"/>
        <i x="4668" s="1"/>
        <i x="4582" s="1"/>
        <i x="3764" s="1"/>
        <i x="1406" s="1"/>
        <i x="3561" s="1"/>
        <i x="4403" s="1"/>
        <i x="4017" s="1"/>
        <i x="592" s="1"/>
        <i x="321" s="1"/>
        <i x="2605" s="1"/>
        <i x="4356" s="1"/>
        <i x="2002" s="1"/>
        <i x="3604" s="1"/>
        <i x="222" s="1"/>
        <i x="4541" s="1"/>
        <i x="4641" s="1"/>
        <i x="931" s="1"/>
        <i x="3887" s="1"/>
        <i x="3382" s="1"/>
        <i x="451" s="1"/>
        <i x="934" s="1"/>
        <i x="3619" s="1"/>
        <i x="2739" s="1"/>
        <i x="4357" s="1"/>
        <i x="3988" s="1"/>
        <i x="4871" s="1"/>
        <i x="1922" s="1"/>
        <i x="2397" s="1"/>
        <i x="4465" s="1"/>
        <i x="1251" s="1"/>
        <i x="3331" s="1"/>
        <i x="4406" s="1"/>
        <i x="55" s="1"/>
        <i x="4241" s="1"/>
        <i x="4164" s="1"/>
        <i x="988" s="1"/>
        <i x="2603" s="1"/>
        <i x="4055" s="1"/>
        <i x="4488" s="1"/>
        <i x="792" s="1"/>
        <i x="2251" s="1"/>
        <i x="4318" s="1"/>
        <i x="318" s="1"/>
        <i x="2601" s="1"/>
        <i x="2676" s="1"/>
        <i x="2347" s="1"/>
        <i x="252" s="1"/>
        <i x="496" s="1"/>
        <i x="145" s="1"/>
        <i x="3348" s="1"/>
        <i x="492" s="1"/>
        <i x="266" s="1"/>
        <i x="2137" s="1"/>
        <i x="1699" s="1"/>
        <i x="2423" s="1"/>
        <i x="549" s="1"/>
        <i x="2342" s="1"/>
        <i x="1461" s="1"/>
        <i x="2700" s="1"/>
        <i x="2150" s="1"/>
        <i x="2841" s="1"/>
        <i x="226" s="1"/>
        <i x="1929" s="1"/>
        <i x="3615" s="1"/>
        <i x="3287" s="1"/>
        <i x="4788" s="1"/>
        <i x="412" s="1"/>
        <i x="3449" s="1"/>
        <i x="3821" s="1"/>
        <i x="3666" s="1"/>
        <i x="224" s="1"/>
        <i x="2226" s="1"/>
        <i x="873" s="1"/>
        <i x="2450" s="1"/>
        <i x="2155" s="1"/>
        <i x="4175" s="1"/>
        <i x="3846" s="1"/>
        <i x="4453" s="1"/>
        <i x="1101" s="1"/>
        <i x="2116" s="1"/>
        <i x="1201" s="1"/>
        <i x="292" s="1"/>
        <i x="325" s="1"/>
        <i x="1487" s="1"/>
        <i x="1457" s="1"/>
        <i x="1629" s="1"/>
        <i x="3557" s="1"/>
        <i x="554" s="1"/>
        <i x="1184" s="1"/>
        <i x="1774" s="1"/>
        <i x="654" s="1"/>
        <i x="2927" s="1"/>
        <i x="1414" s="1"/>
        <i x="4217" s="1"/>
        <i x="3934" s="1"/>
        <i x="3750" s="1"/>
        <i x="753" s="1"/>
        <i x="3585" s="1"/>
        <i x="3402" s="1"/>
        <i x="1078" s="1"/>
        <i x="4801" s="1"/>
        <i x="4132" s="1"/>
        <i x="2105" s="1"/>
        <i x="4274" s="1"/>
        <i x="3902" s="1"/>
        <i x="3368" s="1"/>
        <i x="4590" s="1"/>
        <i x="4271" s="1"/>
        <i x="2911" s="1"/>
        <i x="4377" s="1"/>
        <i x="1332" s="1"/>
        <i x="4576" s="1"/>
        <i x="2487" s="1"/>
        <i x="3510" s="1"/>
        <i x="2884" s="1"/>
        <i x="154" s="1"/>
        <i x="2317" s="1"/>
        <i x="1392" s="1"/>
        <i x="3501" s="1"/>
        <i x="4375" s="1"/>
        <i x="3573" s="1"/>
        <i x="340" s="1"/>
        <i x="3275" s="1"/>
        <i x="1952" s="1"/>
        <i x="591" s="1"/>
        <i x="1949" s="1"/>
        <i x="3455" s="1"/>
        <i x="2107" s="1"/>
        <i x="3957" s="1"/>
        <i x="2461" s="1"/>
        <i x="933" s="1"/>
        <i x="4755" s="1"/>
        <i x="2597" s="1"/>
        <i x="2218" s="1"/>
        <i x="2595" s="1"/>
        <i x="1308" s="1"/>
        <i x="1984" s="1"/>
        <i x="4247" s="1"/>
        <i x="2817" s="1"/>
        <i x="1603" s="1"/>
        <i x="4277" s="1"/>
        <i x="3140" s="1"/>
        <i x="3788" s="1"/>
        <i x="3823" s="1"/>
        <i x="81" s="1"/>
        <i x="867" s="1"/>
        <i x="4134" s="1"/>
        <i x="1417" s="1"/>
        <i x="1217" s="1"/>
        <i x="4369" s="1"/>
        <i x="2225" s="1"/>
        <i x="2202" s="1"/>
        <i x="2233" s="1"/>
        <i x="4569" s="1"/>
        <i x="2016" s="1"/>
        <i x="978" s="1"/>
        <i x="4653" s="1"/>
        <i x="2152" s="1"/>
        <i x="3057" s="1"/>
        <i x="631" s="1"/>
        <i x="3592" s="1"/>
        <i x="2406" s="1"/>
        <i x="2077" s="1"/>
        <i x="4506" s="1"/>
        <i x="4162" s="1"/>
        <i x="1401" s="1"/>
        <i x="256" s="1"/>
        <i x="3504" s="1"/>
        <i x="3477" s="1"/>
        <i x="1768" s="1"/>
        <i x="4544" s="1"/>
        <i x="2100" s="1"/>
        <i x="21" s="1"/>
        <i x="3535" s="1"/>
        <i x="4196" s="1"/>
        <i x="4655" s="1"/>
        <i x="4692" s="1"/>
        <i x="293" s="1"/>
        <i x="4348" s="1"/>
        <i x="3943" s="1"/>
        <i x="4819" s="1"/>
        <i x="2877" s="1"/>
        <i x="2678" s="1"/>
        <i x="966" s="1"/>
        <i x="1411" s="1"/>
        <i x="3912" s="1"/>
        <i x="2136" s="1"/>
        <i x="3639" s="1"/>
        <i x="2575" s="1"/>
        <i x="1908" s="1"/>
        <i x="1884" s="1"/>
        <i x="4805" s="1"/>
        <i x="4547" s="1"/>
        <i x="2129" s="1"/>
        <i x="1655" s="1"/>
        <i x="4589" s="1"/>
        <i x="3109" s="1"/>
        <i x="4147" s="1"/>
        <i x="1340" s="1"/>
        <i x="502" s="1"/>
        <i x="4331" s="1"/>
        <i x="411" s="1"/>
        <i x="3706" s="1"/>
        <i x="25" s="1"/>
        <i x="2399" s="1"/>
        <i x="1976" s="1"/>
        <i x="2971" s="1"/>
        <i x="2303" s="1"/>
        <i x="2169" s="1"/>
        <i x="4659" s="1"/>
        <i x="111" s="1"/>
        <i x="3657" s="1"/>
        <i x="2374" s="1"/>
        <i x="2637" s="1"/>
        <i x="2862" s="1"/>
        <i x="3864" s="1"/>
        <i x="1432" s="1"/>
        <i x="4683" s="1"/>
        <i x="4012" s="1"/>
        <i x="3726" s="1"/>
        <i x="590" s="1"/>
        <i x="1739" s="1"/>
        <i x="4837" s="1"/>
        <i x="255" s="1"/>
        <i x="4085" s="1"/>
        <i x="4096" s="1"/>
        <i x="3538" s="1"/>
        <i x="557" s="1"/>
        <i x="4394" s="1"/>
        <i x="3827" s="1"/>
        <i x="4028" s="1"/>
        <i x="163" s="1"/>
        <i x="1628" s="1"/>
        <i x="2419" s="1"/>
        <i x="2363" s="1"/>
        <i x="2611" s="1"/>
        <i x="1003" s="1"/>
        <i x="2593" s="1"/>
        <i x="238" s="1"/>
        <i x="4732" s="1"/>
        <i x="1550" s="1"/>
        <i x="2722" s="1"/>
        <i x="2830" s="1"/>
        <i x="2952" s="1"/>
        <i x="2082" s="1"/>
        <i x="3229" s="1"/>
        <i x="287" s="1"/>
        <i x="787" s="1"/>
        <i x="3765" s="1"/>
        <i x="3376" s="1"/>
        <i x="3905" s="1"/>
        <i x="3656" s="1"/>
        <i x="3522" s="1"/>
        <i x="2965" s="1"/>
        <i x="720" s="1"/>
        <i x="1866" s="1"/>
        <i x="2525" s="1"/>
        <i x="3108" s="1"/>
        <i x="51" s="1"/>
        <i x="2264" s="1"/>
        <i x="1482" s="1"/>
        <i x="1836" s="1"/>
        <i x="1520" s="1"/>
        <i x="1212" s="1"/>
        <i x="4309" s="1"/>
        <i x="738" s="1"/>
        <i x="3919" s="1"/>
        <i x="2485" s="1"/>
        <i x="194" s="1"/>
        <i x="2740" s="1"/>
        <i x="510" s="1"/>
        <i x="48" s="1"/>
        <i x="4235" s="1"/>
        <i x="4302" s="1"/>
        <i x="3959" s="1"/>
        <i x="3871" s="1"/>
        <i x="1904" s="1"/>
        <i x="2891" s="1"/>
        <i x="2615" s="1"/>
        <i x="4853" s="1"/>
        <i x="2539" s="1"/>
        <i x="2006" s="1"/>
        <i x="4009" s="1"/>
        <i x="2338" s="1"/>
        <i x="4719" s="1"/>
        <i x="4242" s="1"/>
        <i x="2638" s="1"/>
        <i x="3281" s="1"/>
        <i x="3013" s="1"/>
        <i x="2547" s="1"/>
        <i x="136" s="1"/>
        <i x="4633" s="1"/>
        <i x="4333" s="1"/>
        <i x="3500" s="1"/>
        <i x="4075" s="1"/>
        <i x="4859" s="1"/>
        <i x="1452" s="1"/>
        <i x="3286" s="1"/>
        <i x="2316" s="1"/>
        <i x="2636" s="1"/>
        <i x="2899" s="1"/>
        <i x="4549" s="1"/>
        <i x="1588" s="1"/>
        <i x="1798" s="1"/>
        <i x="1962" s="1"/>
        <i x="1734" s="1"/>
        <i x="4219" s="1"/>
        <i x="4781" s="1"/>
        <i x="1305" s="1"/>
        <i x="3469" s="1"/>
        <i x="864" s="1"/>
        <i x="589" s="1"/>
        <i x="4450" s="1"/>
        <i x="1191" s="1"/>
        <i x="2715" s="1"/>
        <i x="2822" s="1"/>
        <i x="4705" s="1"/>
        <i x="3234" s="1"/>
        <i x="674" s="1"/>
        <i x="4811" s="1"/>
        <i x="4782" s="1"/>
        <i x="805" s="1"/>
        <i x="34" s="1"/>
        <i x="4553" s="1"/>
        <i x="4610" s="1"/>
        <i x="2321" s="1"/>
        <i x="2569" s="1"/>
        <i x="3058" s="1"/>
        <i x="422" s="1"/>
        <i x="3485" s="1"/>
        <i x="3054" s="1"/>
        <i x="347" s="1"/>
        <i x="1194" s="1"/>
        <i x="1175" s="1"/>
        <i x="3391" s="1"/>
        <i x="4045" s="1"/>
        <i x="1521" s="1"/>
        <i x="2055" s="1"/>
        <i x="3677" s="1"/>
        <i x="881" s="1"/>
        <i x="3238" s="1"/>
        <i x="366" s="1"/>
        <i x="3445" s="1"/>
        <i x="2661" s="1"/>
        <i x="676" s="1"/>
        <i x="1375" s="1"/>
        <i x="2044" s="1"/>
        <i x="4545" s="1"/>
        <i x="3163" s="1"/>
        <i x="2220" s="1"/>
        <i x="3681" s="1"/>
        <i x="3443" s="1"/>
        <i x="3231" s="1"/>
        <i x="2502" s="1"/>
        <i x="2876" s="1"/>
        <i x="4177" s="1"/>
        <i x="2983" s="1"/>
        <i x="3438" s="1"/>
        <i x="4211" s="1"/>
        <i x="404" s="1"/>
        <i x="119" s="1"/>
        <i x="4087" s="1"/>
        <i x="1525" s="1"/>
        <i x="1971" s="1"/>
        <i x="2343" s="1"/>
        <i x="1577" s="1"/>
        <i x="2118" s="1"/>
        <i x="3018" s="1"/>
        <i x="2641" s="1"/>
        <i x="3052" s="1"/>
        <i x="1536" s="1"/>
        <i x="4464" s="1"/>
        <i x="3704" s="1"/>
        <i x="4083" s="1"/>
        <i x="3182" s="1"/>
        <i x="2387" s="1"/>
        <i x="199" s="1"/>
        <i x="1867" s="1"/>
        <i x="898" s="1"/>
        <i x="2889" s="1"/>
        <i x="3653" s="1"/>
        <i x="4101" s="1"/>
        <i x="1180" s="1"/>
        <i x="3103" s="1"/>
        <i x="2447" s="1"/>
        <i x="2691" s="1"/>
        <i x="2980" s="1"/>
        <i x="4729" s="1"/>
        <i x="634" s="1"/>
        <i x="167" s="1"/>
        <i x="2831" s="1"/>
        <i x="4529" s="1"/>
        <i x="4727" s="1"/>
        <i x="3261" s="1"/>
        <i x="2469" s="1"/>
        <i x="170" s="1"/>
        <i x="1932" s="1"/>
        <i x="772" s="1"/>
        <i x="1493" s="1"/>
        <i x="3844" s="1"/>
        <i x="4423" s="1"/>
        <i x="1632" s="1"/>
        <i x="1529" s="1"/>
        <i x="2519" s="1"/>
        <i x="4509" s="1"/>
        <i x="635" s="1"/>
        <i x="1599" s="1"/>
        <i x="4296" s="1"/>
        <i x="3519" s="1"/>
        <i x="241" s="1"/>
        <i x="1707" s="1"/>
        <i x="20" s="1"/>
        <i x="2921" s="1"/>
        <i x="694" s="1"/>
        <i x="2464" s="1"/>
        <i x="3063" s="1"/>
        <i x="1458" s="1"/>
        <i x="730" s="1"/>
        <i x="843" s="1"/>
        <i x="916" s="1"/>
        <i x="108" s="1"/>
        <i x="2723" s="1"/>
        <i x="1276" s="1"/>
        <i x="4234" s="1"/>
        <i x="3039" s="1"/>
        <i x="2707" s="1"/>
        <i x="2420" s="1"/>
        <i x="447" s="1"/>
        <i x="2757" s="1"/>
        <i x="1478" s="1"/>
        <i x="982" s="1"/>
        <i x="1958" s="1"/>
        <i x="3215" s="1"/>
        <i x="1278" s="1"/>
        <i x="4273" s="1"/>
        <i x="4789" s="1"/>
        <i x="4620" s="1"/>
        <i x="4332" s="1"/>
        <i x="1172" s="1"/>
        <i x="4822" s="1"/>
        <i x="49" s="1"/>
        <i x="1349" s="1"/>
        <i x="2706" s="1"/>
        <i x="3921" s="1"/>
        <i x="2234" s="1"/>
        <i x="3189" s="1"/>
        <i x="4287" s="1"/>
        <i x="903" s="1"/>
        <i x="2791" s="1"/>
        <i x="271" s="1"/>
        <i x="3318" s="1"/>
        <i x="2673" s="1"/>
        <i x="2249" s="1"/>
        <i x="2009" s="1"/>
        <i x="2255" s="1"/>
        <i x="1881" s="1"/>
        <i x="2334" s="1"/>
        <i x="1265" s="1"/>
        <i x="3458" s="1"/>
        <i x="4498" s="1"/>
        <i x="611" s="1"/>
        <i x="455" s="1"/>
        <i x="4537" s="1"/>
        <i x="1864" s="1"/>
        <i x="737" s="1"/>
        <i x="3914" s="1"/>
        <i x="4393" s="1"/>
        <i x="1430" s="1"/>
        <i x="3005" s="1"/>
        <i x="4229" s="1"/>
        <i x="814" s="1"/>
        <i x="426" s="1"/>
        <i x="2298" s="1"/>
        <i x="3551" s="1"/>
        <i x="1644" s="1"/>
        <i x="2682" s="1"/>
        <i x="2998" s="1"/>
        <i x="156" s="1"/>
        <i x="1311" s="1"/>
        <i x="3888" s="1"/>
        <i x="22" s="1"/>
        <i x="719" s="1"/>
        <i x="1785" s="1"/>
        <i x="2527" s="1"/>
        <i x="3940" s="1"/>
        <i x="2631" s="1"/>
        <i x="2285" s="1"/>
        <i x="4078" s="1"/>
        <i x="1199" s="1"/>
        <i x="2840" s="1"/>
        <i x="3980" s="1"/>
        <i x="4524" s="1"/>
        <i x="1293" s="1"/>
        <i x="2766" s="1"/>
        <i x="2307" s="1"/>
        <i x="3728" s="1"/>
        <i x="3357" s="1"/>
        <i x="3291" s="1"/>
        <i x="4416" s="1"/>
        <i x="370" s="1"/>
        <i x="2408" s="1"/>
        <i x="4514" s="1"/>
        <i x="3124" s="1"/>
        <i x="96" s="1"/>
        <i x="4656" s="1"/>
        <i x="4649" s="1"/>
        <i x="1152" s="1"/>
        <i x="403" s="1"/>
        <i x="3440" s="1"/>
        <i x="3550" s="1"/>
        <i x="398" s="1"/>
        <i x="810" s="1"/>
        <i x="4661" s="1"/>
        <i x="3891" s="1"/>
        <i x="1167" s="1"/>
        <i x="2005" s="1"/>
        <i x="667" s="1"/>
        <i x="2956" s="1"/>
        <i x="717" s="1"/>
        <i x="3514" s="1"/>
        <i x="3671" s="1"/>
        <i x="3785" s="1"/>
        <i x="3786" s="1"/>
        <i x="4391" s="1"/>
        <i x="791" s="1"/>
        <i x="713" s="1"/>
        <i x="2378" s="1"/>
        <i x="2372" s="1"/>
        <i x="1074" s="1"/>
        <i x="3220" s="1"/>
        <i x="563" s="1"/>
        <i x="3162" s="1"/>
        <i x="3952" s="1"/>
        <i x="2449" s="1"/>
        <i x="3858" s="1"/>
        <i x="3773" s="1"/>
        <i x="780" s="1"/>
        <i x="1472" s="1"/>
        <i x="2073" s="1"/>
        <i x="4414" s="1"/>
        <i x="4367" s="1"/>
        <i x="2221" s="1"/>
        <i x="2966" s="1"/>
        <i x="359" s="1"/>
        <i x="2194" s="1"/>
        <i x="2113" s="1"/>
        <i x="3017" s="1"/>
        <i x="992" s="1"/>
        <i x="4510" s="1"/>
        <i x="1786" s="1"/>
        <i x="3634" s="1"/>
        <i x="3925" s="1"/>
        <i x="3676" s="1"/>
        <i x="67" s="1"/>
        <i x="2151" s="1"/>
        <i x="4800" s="1"/>
        <i x="1216" s="1"/>
        <i x="3737" s="1"/>
        <i x="1393" s="1"/>
        <i x="3941" s="1"/>
        <i x="3720" s="1"/>
        <i x="2818" s="1"/>
        <i x="3829" s="1"/>
        <i x="281" s="1"/>
        <i x="319" s="1"/>
        <i x="4744" s="1"/>
        <i x="4672" s="1"/>
        <i x="1369" s="1"/>
        <i x="4741" s="1"/>
        <i x="2731" s="1"/>
        <i x="4849" s="1"/>
        <i x="2793" s="1"/>
        <i x="804" s="1"/>
        <i x="3072" s="1"/>
        <i x="2856" s="1"/>
        <i x="2489" s="1"/>
        <i x="4315" s="1"/>
        <i x="1580" s="1"/>
        <i x="2282" s="1"/>
        <i x="4522" s="1"/>
        <i x="3889" s="1"/>
        <i x="4118" s="1"/>
        <i x="2570" s="1"/>
        <i x="1532" s="1"/>
        <i x="4081" s="1"/>
        <i x="4664" s="1"/>
        <i x="1777" s="1"/>
        <i x="1781" s="1"/>
        <i x="3399" s="1"/>
        <i x="875" s="1"/>
        <i x="4621" s="1"/>
        <i x="3607" s="1"/>
        <i x="4424" s="1"/>
        <i x="1974" s="1"/>
        <i x="27" s="1"/>
        <i x="1223" s="1"/>
        <i x="1933" s="1"/>
        <i x="2510" s="1"/>
        <i x="2261" s="1"/>
        <i x="3587" s="1"/>
        <i x="858" s="1"/>
        <i x="2929" s="1"/>
        <i x="817" s="1"/>
        <i x="2256" s="1"/>
        <i x="1288" s="1"/>
        <i x="4032" s="1"/>
        <i x="2480" s="1"/>
        <i x="587" s="1"/>
        <i x="1238" s="1"/>
        <i x="190" s="1"/>
        <i x="2600" s="1"/>
        <i x="3358" s="1"/>
        <i x="3106" s="1"/>
        <i x="842" s="1"/>
        <i x="4002" s="1"/>
        <i x="4704" s="1"/>
        <i x="2588" s="1"/>
        <i x="1483" s="1"/>
        <i x="821" s="1"/>
        <i x="2902" s="1"/>
        <i x="920" s="1"/>
        <i x="4123" s="1"/>
        <i x="4479" s="1"/>
        <i x="2772" s="1"/>
        <i x="2418" s="1"/>
        <i x="472" s="1"/>
        <i x="1108" s="1"/>
        <i x="3160" s="1"/>
        <i x="4592" s="1"/>
        <i x="4370" s="1"/>
        <i x="354" s="1"/>
        <i x="3532" s="1"/>
        <i x="3582" s="1"/>
        <i x="4073" s="1"/>
        <i x="4579" s="1"/>
        <i x="2774" s="1"/>
        <i x="4526" s="1"/>
        <i x="3003" s="1"/>
        <i x="862" s="1"/>
        <i x="3192" s="1"/>
        <i x="2909" s="1"/>
        <i x="12" s="1"/>
        <i x="2634" s="1"/>
        <i x="1555" s="1"/>
        <i x="2250" s="1"/>
        <i x="4312" s="1"/>
        <i x="2177" s="1"/>
        <i x="300" s="1"/>
        <i x="1077" s="1"/>
        <i x="3155" s="1"/>
        <i x="1613" s="1"/>
        <i x="264" s="1"/>
        <i x="362" s="1"/>
        <i x="3837" s="1"/>
        <i x="4284" s="1"/>
        <i x="323" s="1"/>
        <i x="231" s="1"/>
        <i x="659" s="1"/>
        <i x="1624" s="1"/>
        <i x="1234" s="1"/>
        <i x="1830" s="1"/>
        <i x="263" s="1"/>
        <i x="3994" s="1"/>
        <i x="4353" s="1"/>
        <i x="2326" s="1"/>
        <i x="1168" s="1"/>
        <i x="195" s="1"/>
        <i x="459" s="1"/>
        <i x="3979" s="1"/>
        <i x="4874" s="1"/>
        <i x="1869" s="1"/>
        <i x="3127" s="1"/>
        <i x="1792" s="1"/>
        <i x="3028" s="1"/>
        <i x="3266" s="1"/>
        <i x="4292" s="1"/>
        <i x="2203" s="1"/>
        <i x="3185" s="1"/>
        <i x="2867" s="1"/>
        <i x="4253" s="1"/>
        <i x="2068" s="1"/>
        <i x="2970" s="1"/>
        <i x="3418" s="1"/>
        <i x="1449" s="1"/>
        <i x="3579" s="1"/>
        <i x="3176" s="1"/>
        <i x="4272" s="1"/>
        <i x="75" s="1"/>
        <i x="528" s="1"/>
        <i x="1006" s="1"/>
        <i x="630" s="1"/>
        <i x="1051" s="1"/>
        <i x="648" s="1"/>
        <i x="4625" s="1"/>
        <i x="3041" s="1"/>
        <i x="3569" s="1"/>
        <i x="117" s="1"/>
        <i x="2753" s="1"/>
        <i x="3223" s="1"/>
        <i x="4040" s="1"/>
        <i x="2859" s="1"/>
        <i x="1572" s="1"/>
        <i x="3605" s="1"/>
        <i x="4646" s="1"/>
        <i x="203" s="1"/>
        <i x="4094" s="1"/>
        <i x="1675" s="1"/>
        <i x="3091" s="1"/>
        <i x="1703" s="1"/>
        <i x="915" s="1"/>
        <i x="3369" s="1"/>
        <i x="2391" s="1"/>
        <i x="2384" s="1"/>
        <i x="4163" s="1"/>
        <i x="1034" s="1"/>
        <i x="4100" s="1"/>
        <i x="2737" s="1"/>
        <i x="3559" s="1"/>
        <i x="3661" s="1"/>
        <i x="9" s="1"/>
        <i x="702" s="1"/>
        <i x="3138" s="1"/>
        <i x="4084" s="1"/>
        <i x="406" s="1"/>
        <i x="4351" s="1"/>
        <i x="1833" s="1"/>
        <i x="4004" s="1"/>
        <i x="4531" s="1"/>
        <i x="1986" s="1"/>
        <i x="4483" s="1"/>
        <i x="1640" s="1"/>
        <i x="799" s="1"/>
        <i x="2336" s="1"/>
        <i x="4718" s="1"/>
        <i x="941" s="1"/>
        <i x="4798" s="1"/>
        <i x="3154" s="1"/>
        <i x="4708" s="1"/>
        <i x="884" s="1"/>
        <i x="1256" s="1"/>
        <i x="2938" s="1"/>
        <i x="2122" s="1"/>
        <i x="1242" s="1"/>
        <i x="1963" s="1"/>
        <i x="2997" s="1"/>
        <i x="4703" s="1"/>
        <i x="3429" s="1"/>
        <i x="3361" s="1"/>
        <i x="4460" s="1"/>
        <i x="707" s="1"/>
        <i x="3379" s="1"/>
        <i x="1535" s="1"/>
        <i x="2919" s="1"/>
        <i x="1454" s="1"/>
        <i x="1704" s="1"/>
        <i x="228" s="1"/>
        <i x="1326" s="1"/>
        <i x="4237" s="1"/>
        <i x="4459" s="1"/>
        <i x="41" s="1"/>
        <i x="4258" s="1"/>
        <i x="1894" s="1"/>
        <i x="4304" s="1"/>
        <i x="4279" s="1"/>
        <i x="890" s="1"/>
        <i x="1325" s="1"/>
        <i x="2621" s="1"/>
        <i x="3071" s="1"/>
        <i x="840" s="1"/>
        <i x="251" s="1"/>
        <i x="1807" s="1"/>
        <i x="2565" s="1"/>
        <i x="4269" s="1"/>
        <i x="3531" s="1"/>
        <i x="1662" s="1"/>
        <i x="207" s="1"/>
        <i x="4238" s="1"/>
        <i x="1921" s="1"/>
        <i x="530" s="1"/>
        <i x="1163" s="1"/>
        <i x="1400" s="1"/>
        <i x="2579" s="1"/>
        <i x="4852" s="1"/>
        <i x="2305" s="1"/>
        <i x="883" s="1"/>
        <i x="1667" s="1"/>
        <i x="1447" s="1"/>
        <i x="326" s="1"/>
        <i x="2685" s="1"/>
        <i x="3835" s="1"/>
        <i x="4738" s="1"/>
        <i x="2767" s="1"/>
        <i x="1534" s="1"/>
        <i x="2434" s="1"/>
        <i x="1419" s="1"/>
        <i x="1511" s="1"/>
        <i x="997" s="1"/>
        <i x="3421" s="1"/>
        <i x="1479" s="1"/>
        <i x="1339" s="1"/>
        <i x="288" s="1"/>
        <i x="1590" s="1"/>
        <i x="4044" s="1"/>
        <i x="2580" s="1"/>
        <i x="3384" s="1"/>
        <i x="382" s="1"/>
        <i x="4436" s="1"/>
        <i x="3284" s="1"/>
        <i x="2240" s="1"/>
        <i x="3021" s="1"/>
        <i x="2115" s="1"/>
        <i x="3260" s="1"/>
        <i x="402" s="1"/>
        <i x="313" s="1"/>
        <i x="1938" s="1"/>
        <i x="1752" s="1"/>
        <i x="2643" s="1"/>
        <i x="4710" s="1"/>
        <i x="939" s="1"/>
        <i x="1860" s="1"/>
        <i x="164" s="1"/>
        <i x="4399" s="1"/>
        <i x="1747" s="1"/>
        <i x="2586" s="1"/>
        <i x="660" s="1"/>
        <i x="2238" s="1"/>
        <i x="3986" s="1"/>
        <i x="28" s="1"/>
        <i x="3304" s="1"/>
        <i x="3566" s="1"/>
        <i x="2388" s="1"/>
        <i x="4563" s="1"/>
        <i x="766" s="1"/>
        <i x="4696" s="1"/>
        <i x="4314" s="1"/>
        <i x="1337" s="1"/>
        <i x="1606" s="1"/>
        <i x="4768" s="1"/>
        <i x="1350" s="1"/>
        <i x="4130" s="1"/>
        <i x="4814" s="1"/>
        <i x="608" s="1"/>
        <i x="2294" s="1"/>
        <i x="2344" s="1"/>
        <i x="1924" s="1"/>
        <i x="2812" s="1"/>
        <i x="3781" s="1"/>
        <i x="4689" s="1"/>
        <i x="606" s="1"/>
        <i x="3772" s="1"/>
        <i x="98" s="1"/>
        <i x="1742" s="1"/>
        <i x="3718" s="1"/>
        <i x="3098" s="1"/>
        <i x="2646" s="1"/>
        <i x="1524" s="1"/>
        <i x="2262" s="1"/>
        <i x="1729" s="1"/>
        <i x="1651" s="1"/>
        <i x="4585" s="1"/>
        <i x="331" s="1"/>
        <i x="632" s="1"/>
        <i x="1733" s="1"/>
        <i x="2286" s="1"/>
        <i x="504" s="1"/>
        <i x="2728" s="1"/>
        <i x="2239" s="1"/>
        <i x="295" s="1"/>
        <i x="1622" s="1"/>
        <i x="1313" s="1"/>
        <i x="4340" s="1"/>
        <i x="3319" s="1"/>
        <i x="4209" s="1"/>
        <i x="3817" s="1"/>
        <i x="4435" s="1"/>
        <i x="968" s="1"/>
        <i x="722" s="1"/>
        <i x="1220" s="1"/>
        <i x="284" s="1"/>
        <i x="3120" s="1"/>
        <i x="3139" s="1"/>
        <i x="2789" s="1"/>
        <i x="1239" s="1"/>
        <i x="4876" s="1"/>
        <i x="4156" s="1"/>
        <i x="115" s="1"/>
        <i x="4773" s="1"/>
        <i x="4542" s="1"/>
        <i x="2318" s="1"/>
        <i x="1998" s="1"/>
        <i x="4622" s="1"/>
        <i x="2898" s="1"/>
        <i x="424" s="1"/>
        <i x="46" s="1"/>
        <i x="4783" s="1"/>
        <i x="4349" s="1"/>
        <i x="798" s="1"/>
        <i x="4657" s="1"/>
        <i x="3092" s="1"/>
        <i x="3125" s="1"/>
        <i x="1855" s="1"/>
        <i x="2495" s="1"/>
        <i x="4679" s="1"/>
        <i x="2268" s="1"/>
        <i x="3247" s="1"/>
        <i x="1656" s="1"/>
        <i x="1888" s="1"/>
        <i x="2901" s="1"/>
        <i x="3452" s="1"/>
        <i x="182" s="1"/>
        <i x="3930" s="1"/>
        <i x="3678" s="1"/>
        <i x="3588" s="1"/>
        <i x="2665" s="1"/>
        <i x="4254" s="1"/>
        <i x="671" s="1"/>
        <i x="316" s="1"/>
        <i x="661" s="1"/>
        <i x="2724" s="1"/>
        <i x="2022" s="1"/>
        <i x="3450" s="1"/>
        <i x="124" s="1"/>
        <i x="2821" s="1"/>
        <i x="4636" s="1"/>
        <i x="2148" s="1"/>
        <i x="2648" s="1"/>
        <i x="277" s="1"/>
        <i x="1049" s="1"/>
        <i x="143" s="1"/>
        <i x="3380" s="1"/>
        <i x="3202" s="1"/>
        <i x="3322" s="1"/>
        <i x="4454" s="1"/>
        <i x="3692" s="1"/>
        <i x="3252" s="1"/>
        <i x="3187" s="1"/>
        <i x="86" s="1"/>
        <i x="1849" s="1"/>
        <i x="622" s="1"/>
        <i x="2007" s="1"/>
        <i x="4407" s="1"/>
        <i x="345" s="1"/>
        <i x="2566" s="1"/>
        <i x="1723" s="1"/>
        <i x="4376" s="1"/>
        <i x="3879" s="1"/>
        <i x="1850" s="1"/>
        <i x="2531" s="1"/>
        <i x="1862" s="1"/>
        <i x="3942" s="1"/>
        <i x="3102" s="1"/>
        <i x="4343" s="1"/>
        <i x="1190" s="1"/>
        <i x="777" s="1"/>
        <i x="1258" s="1"/>
        <i x="4658" s="1"/>
        <i x="603" s="1"/>
        <i x="2101" s="1"/>
        <i x="4693" s="1"/>
        <i x="1610" s="1"/>
        <i x="153" s="1"/>
        <i x="2327" s="1"/>
        <i x="3743" s="1"/>
        <i x="1959" s="1"/>
        <i x="1793" s="1"/>
        <i x="1018" s="1"/>
        <i x="2131" s="1"/>
        <i x="959" s="1"/>
        <i x="184" s="1"/>
        <i x="1117" s="1"/>
        <i x="161" s="1"/>
        <i x="1277" s="1"/>
        <i x="95" s="1"/>
        <i x="4256" s="1"/>
        <i x="2228" s="1"/>
        <i x="3828" s="1"/>
        <i x="2659" s="1"/>
        <i x="1964" s="1"/>
        <i x="2448" s="1"/>
        <i x="4082" s="1"/>
        <i x="1566" s="1"/>
        <i x="1091" s="1"/>
        <i x="1509" s="1"/>
        <i x="3423" s="1"/>
        <i x="99" s="1"/>
        <i x="1494" s="1"/>
        <i x="2217" s="1"/>
        <i x="2400" s="1"/>
        <i x="1114" s="1"/>
        <i x="1208" s="1"/>
        <i x="4224" s="1"/>
        <i x="197" s="1"/>
        <i x="2211" s="1"/>
        <i x="4566" s="1"/>
        <i x="4249" s="1"/>
        <i x="1615" s="1"/>
        <i x="2436" s="1"/>
        <i x="4489" s="1"/>
        <i x="2351" s="1"/>
        <i x="1749" s="1"/>
        <i x="4197" s="1"/>
        <i x="332" s="1"/>
        <i x="2141" s="1"/>
        <i x="66" s="1"/>
        <i x="2088" s="1"/>
        <i x="2289" s="1"/>
        <i x="4126" s="1"/>
        <i x="4831" s="1"/>
        <i x="247" s="1"/>
        <i x="296" s="1"/>
        <i x="144" s="1"/>
        <i x="4824" s="1"/>
        <i x="4709" s="1"/>
        <i x="1726" s="1"/>
        <i x="3947" s="1"/>
        <i x="3326" s="1"/>
        <i x="1930" s="1"/>
        <i x="88" s="1"/>
        <i x="3153" s="1"/>
        <i x="4404" s="1"/>
        <i x="2212" s="1"/>
        <i x="4119" s="1"/>
        <i x="2390" s="1"/>
        <i x="3457" s="1"/>
        <i x="1810" s="1"/>
        <i x="2047" s="1"/>
        <i x="3548" s="1"/>
        <i x="4359" s="1"/>
        <i x="3042" s="1"/>
        <i x="2299" s="1"/>
        <i x="3009" s="1"/>
        <i x="2179" s="1"/>
        <i x="1193" s="1"/>
        <i x="280" s="1"/>
        <i x="4434" s="1"/>
        <i x="692" s="1"/>
        <i x="436" s="1"/>
        <i x="4795" s="1"/>
        <i x="1906" s="1"/>
        <i x="1144" s="1"/>
        <i x="2931" s="1"/>
        <i x="747" s="1"/>
        <i x="1292" s="1"/>
        <i x="746" s="1"/>
        <i x="3730" s="1"/>
        <i x="440" s="1"/>
        <i x="3454" s="1"/>
        <i x="4354" s="1"/>
        <i x="4336" s="1"/>
        <i x="4291" s="1"/>
        <i x="1568" s="1"/>
        <i x="415" s="1"/>
        <i x="1214" s="1"/>
        <i x="731" s="1"/>
        <i x="2795" s="1"/>
        <i x="2028" s="1"/>
        <i x="435" s="1"/>
        <i x="3081" s="1"/>
        <i x="3439" s="1"/>
        <i x="4143" s="1"/>
        <i x="728" s="1"/>
        <i x="1136" s="1"/>
        <i x="4339" s="1"/>
        <i x="2751" s="1"/>
        <i x="2030" s="1"/>
        <i x="1595" s="1"/>
        <i x="4707" s="1"/>
        <i x="4867" s="1"/>
        <i x="3503" s="1"/>
        <i x="3105" s="1"/>
        <i x="3147" s="1"/>
        <i x="270" s="1"/>
        <i x="3222" s="1"/>
        <i x="2190" s="1"/>
        <i x="3847" s="1"/>
        <i x="4769" s="1"/>
        <i x="355" s="1"/>
        <i x="1450" s="1"/>
        <i x="192" s="1"/>
        <i x="2182" s="1"/>
        <i x="2259" s="1"/>
        <i x="369" s="1"/>
        <i x="1028" s="1"/>
        <i x="2743" s="1"/>
        <i x="70" s="1"/>
        <i x="3525" s="1"/>
        <i x="1420" s="1"/>
        <i x="3810" s="1"/>
        <i x="2888" s="1"/>
        <i x="3334" s="1"/>
        <i x="2764" s="1"/>
        <i x="2538" s="1"/>
        <i x="1574" s="1"/>
        <i x="2161" s="1"/>
        <i x="4108" s="1"/>
        <i x="128" s="1"/>
        <i x="4122" s="1"/>
        <i x="2252" s="1"/>
        <i x="2329" s="1"/>
        <i x="4843" s="1"/>
        <i x="1638" s="1"/>
        <i x="3313" s="1"/>
        <i x="2097" s="1"/>
        <i x="3181" s="1"/>
        <i x="1772" s="1"/>
        <i x="1329" s="1"/>
        <i x="803" s="1"/>
        <i x="3190" s="1"/>
        <i x="123" s="1"/>
        <i x="3774" s="1"/>
        <i x="831" s="1"/>
        <i x="4638" s="1"/>
        <i x="1614" s="1"/>
        <i x="1852" s="1"/>
        <i x="1361" s="1"/>
        <i x="3578" s="1"/>
        <i x="4860" s="1"/>
        <i x="514" s="1"/>
        <i x="2688" s="1"/>
        <i x="1133" s="1"/>
        <i x="523" s="1"/>
        <i x="1226" s="1"/>
        <i x="3330" s="1"/>
        <i x="4161" s="1"/>
        <i x="249" s="1"/>
        <i x="2501" s="1"/>
        <i x="2149" s="1"/>
        <i x="686" s="1"/>
        <i x="3840" s="1"/>
        <i x="1125" s="1"/>
        <i x="1128" s="1"/>
        <i x="3999" s="1"/>
        <i x="600" s="1"/>
        <i x="3682" s="1"/>
        <i x="4873" s="1"/>
        <i x="2742" s="1"/>
        <i x="1433" s="1"/>
        <i x="588" s="1"/>
        <i x="174" s="1"/>
        <i x="4090" s="1"/>
        <i x="1683" s="1"/>
        <i x="4865" s="1"/>
        <i x="210" s="1"/>
        <i x="4740" s="1"/>
        <i x="3035" s="1"/>
        <i x="776" s="1"/>
        <i x="2650" s="1"/>
        <i x="975" s="1"/>
        <i x="1" s="1"/>
        <i x="2498" s="1"/>
        <i x="2560" s="1"/>
        <i x="212" s="1"/>
        <i x="533" s="1"/>
        <i x="315" s="1"/>
        <i x="4283" s="1"/>
        <i x="4587" s="1"/>
        <i x="1023" s="1"/>
        <i x="2456" s="1"/>
        <i x="943" s="1"/>
        <i x="2838" s="1"/>
        <i x="2744" s="1"/>
        <i x="3400" s="1"/>
        <i x="3611" s="1"/>
        <i x="3258" s="1"/>
        <i x="1900" s="1"/>
        <i x="2613" s="1"/>
        <i x="118" s="1"/>
        <i x="274" s="1"/>
        <i x="729" s="1"/>
        <i x="4382" s="1"/>
        <i x="3576" s="1"/>
        <i x="4470" s="1"/>
        <i x="1886" s="1"/>
        <i x="1944" s="1"/>
        <i x="314" s="1"/>
        <i x="1507" s="1"/>
        <i x="3838" s="1"/>
        <i x="1911" s="1"/>
        <i x="2982" s="1"/>
        <i x="4754" s="1"/>
        <i x="2541" s="1"/>
        <i x="4131" s="1"/>
        <i x="1174" s="1"/>
        <i x="1088" s="1"/>
        <i x="947" s="1"/>
        <i x="336" s="1"/>
        <i x="4222" s="1"/>
        <i x="498" s="1"/>
        <i x="3565" s="1"/>
        <i x="774" s="1"/>
        <i x="829" s="1"/>
        <i x="2026" s="1"/>
        <i x="733" s="1"/>
        <i x="4120" s="1"/>
        <i x="246" s="1"/>
        <i x="1140" s="1"/>
        <i x="2134" s="1"/>
        <i x="3567" s="1"/>
        <i x="3710" s="1"/>
        <i x="2915" s="1"/>
        <i x="1800" s="1"/>
        <i x="2371" s="1"/>
        <i x="1788" s="1"/>
        <i x="1554" s="1"/>
        <i x="1751" s="1"/>
        <i x="3374" s="1"/>
        <i x="984" s="1"/>
        <i x="39" s="1"/>
        <i x="2245" s="1"/>
        <i x="4463" s="1"/>
        <i x="24" s="1"/>
        <i x="885" s="1"/>
        <i x="3040" s="1"/>
        <i x="3168" s="1"/>
        <i x="3178" s="1"/>
        <i x="3839" s="1"/>
        <i x="4021" s="1"/>
        <i x="1260" s="1"/>
        <i x="1331" s="1"/>
        <i x="234" s="1"/>
        <i x="63" s="1"/>
        <i x="393" s="1"/>
        <i x="4154" s="1"/>
        <i x="2549" s="1"/>
        <i x="4765" s="1"/>
        <i x="1416" s="1"/>
        <i x="1688" s="1"/>
        <i x="1022" s="1"/>
        <i x="189" s="1"/>
        <i x="852" s="1"/>
        <i x="1899" s="1"/>
        <i x="3080" s="1"/>
        <i x="2680" s="1"/>
        <i x="3723" s="1"/>
        <i x="3693" s="1"/>
        <i x="3813" s="1"/>
        <i x="1727" s="1"/>
        <i x="3632" s="1"/>
        <i x="628" s="1"/>
        <i x="616" s="1"/>
        <i x="2230" s="1"/>
        <i x="2677" s="1"/>
        <i x="3259" s="1"/>
        <i x="1279" s="1"/>
        <i x="2727" s="1"/>
        <i x="678" s="1"/>
        <i x="1323" s="1"/>
        <i x="4872" s="1"/>
        <i x="1589" s="1"/>
        <i x="3694" s="1"/>
        <i x="120" s="1"/>
        <i x="544" s="1"/>
        <i x="1664" s="1"/>
        <i x="2713" s="1"/>
        <i x="1816" s="1"/>
        <i x="4029" s="1"/>
        <i x="4532" s="1"/>
        <i x="3714" s="1"/>
        <i x="2015" s="1"/>
        <i x="3136" s="1"/>
        <i x="617" s="1"/>
        <i x="1985" s="1"/>
        <i x="215" s="1"/>
        <i x="4116" s="1"/>
        <i x="2304" s="1"/>
        <i x="254" s="1"/>
        <i x="3208" s="1"/>
        <i x="2178" s="1"/>
        <i x="849" s="1"/>
        <i x="1935" s="1"/>
        <i x="1418" s="1"/>
        <i x="4675" s="1"/>
        <i x="4358" s="1"/>
        <i x="4308" s="1"/>
        <i x="4409" s="1"/>
        <i x="4303" s="1"/>
        <i x="3179" s="1"/>
        <i x="913" s="1"/>
        <i x="689" s="1"/>
        <i x="4072" s="1"/>
        <i x="2117" s="1"/>
        <i x="4687" s="1"/>
        <i x="2481" s="1"/>
        <i x="1162" s="1"/>
        <i x="1245" s="1"/>
        <i x="2509" s="1"/>
        <i x="3735" s="1"/>
        <i x="1674" s="1"/>
        <i x="1690" s="1"/>
        <i x="1563" s="1"/>
        <i x="4231" s="1"/>
        <i x="3715" s="1"/>
        <i x="4098" s="1"/>
        <i x="2934" s="1"/>
        <i x="1264" s="1"/>
        <i x="2339" s="1"/>
        <i x="520" s="1"/>
        <i x="489" s="1"/>
        <i x="3916" s="1"/>
        <i x="1889" s="1"/>
        <i x="575" s="1"/>
        <i x="1050" s="1"/>
        <i x="4516" s="1"/>
        <i x="1762" s="1"/>
        <i x="257" s="1"/>
        <i x="828" s="1"/>
        <i x="2273" s="1"/>
        <i x="2581" s="1"/>
        <i x="2684" s="1"/>
        <i x="1992" s="1"/>
        <i x="3089" s="1"/>
        <i x="306" s="1"/>
        <i x="3636" s="1"/>
        <i x="3803" s="1"/>
        <i x="2950" s="1"/>
        <i x="2905" s="1"/>
        <i x="1546" s="1"/>
        <i x="4731" s="1"/>
        <i x="2111" s="1"/>
        <i x="1693" s="1"/>
        <i x="3555" s="1"/>
        <i x="3554" s="1"/>
        <i x="97" s="1"/>
        <i x="2145" s="1"/>
        <i x="2266" s="1"/>
        <i x="4252" s="1"/>
        <i x="3968" s="1"/>
        <i x="3486" s="1"/>
        <i x="1661" s="1"/>
        <i x="4581" s="1"/>
        <i x="1397" s="1"/>
        <i x="1903" s="1"/>
        <i x="2698" s="1"/>
        <i x="3752" s="1"/>
        <i x="2323" s="1"/>
        <i x="4201" s="1"/>
        <i x="3516" s="1"/>
        <i x="525" s="1"/>
        <i x="3623" s="1"/>
        <i x="3068" s="1"/>
        <i x="2185" s="1"/>
        <i x="3048" s="1"/>
        <i x="191" s="1"/>
        <i x="3672" s="1"/>
        <i x="861" s="1"/>
        <i x="3620" s="1"/>
        <i x="1795" s="1"/>
        <i x="4205" s="1"/>
        <i x="2710" s="1"/>
        <i x="481" s="1"/>
        <i x="4601" s="1"/>
        <i x="3" s="1"/>
        <i x="4457" s="1"/>
        <i x="3315" s="1"/>
        <i x="430" s="1"/>
        <i x="4594" s="1"/>
        <i x="2769" s="1"/>
        <i x="1090" s="1"/>
        <i x="1182" s="1"/>
        <i x="69" s="1"/>
        <i x="3111" s="1"/>
        <i x="3174" s="1"/>
        <i x="3371" s="1"/>
        <i x="1694" s="1"/>
        <i x="243" s="1"/>
        <i x="891" s="1"/>
        <i x="1071" s="1"/>
        <i x="4845" s="1"/>
        <i x="688" s="1"/>
        <i x="1495" s="1"/>
        <i x="1154" s="1"/>
        <i x="1100" s="1"/>
        <i x="3978" s="1"/>
        <i x="687" s="1"/>
        <i x="421" s="1"/>
        <i x="1275" s="1"/>
        <i x="105" s="1"/>
        <i x="1796" s="1"/>
        <i x="3568" s="1"/>
        <i x="1429" s="1"/>
        <i x="1268" s="1"/>
        <i x="3285" s="1"/>
        <i x="4790" s="1"/>
        <i x="3254" s="1"/>
        <i x="4412" s="1"/>
        <i x="889" s="1"/>
        <i x="2607" s="1"/>
        <i x="2808" s="1"/>
        <i x="268" s="1"/>
        <i x="3277" s="1"/>
        <i x="4713" s="1"/>
        <i x="3150" s="1"/>
        <i x="4103" s="1"/>
        <i x="1274" s="1"/>
        <i x="2925" s="1"/>
        <i x="3426" s="1"/>
        <i x="3794" s="1"/>
        <i x="3913" s="1"/>
        <i x="1399" s="1"/>
        <i x="2128" s="1"/>
        <i x="4627" s="1"/>
        <i x="4477" s="1"/>
        <i x="976" s="1"/>
        <i x="479" s="1"/>
        <i x="3480" s="1"/>
        <i x="3336" s="1"/>
        <i x="3482" s="1"/>
        <i x="1706" s="1"/>
        <i x="3903" s="1"/>
        <i x="577" s="1"/>
        <i x="173" s="1"/>
        <i x="2844" s="1"/>
        <i x="3282" s="1"/>
        <i x="3780" s="1"/>
        <i x="460" s="1"/>
        <i x="3310" s="1"/>
        <i x="2775" s="1"/>
        <i x="1618" s="1"/>
        <i x="4827" s="1"/>
        <i x="3731" s="1"/>
        <i x="2076" s="1"/>
        <i x="4748" s="1"/>
        <i x="3390" s="1"/>
        <i x="2617" s="1"/>
        <i x="3298" s="1"/>
        <i x="106" s="1"/>
        <i x="2125" s="1"/>
        <i x="4475" s="1"/>
        <i x="1139" s="1"/>
        <i x="4750" s="1"/>
        <i x="1444" s="1"/>
        <i x="3268" s="1"/>
        <i x="2204" s="1"/>
        <i x="564" s="1"/>
        <i x="3219" s="1"/>
        <i x="1189" s="1"/>
        <i x="1585" s="1"/>
        <i x="2465" s="1"/>
        <i x="1681" s="1"/>
        <i x="2263" s="1"/>
        <i x="3269" s="1"/>
        <i x="1583" s="1"/>
        <i x="1645" s="1"/>
        <i x="3077" s="1"/>
        <i x="3309" s="1"/>
        <i x="4796" s="1"/>
        <i x="2543" s="1"/>
        <i x="3271" s="1"/>
        <i x="3955" s="1"/>
        <i x="1315" s="1"/>
        <i x="4337" s="1"/>
        <i x="3420" s="1"/>
        <i x="4780" s="1"/>
        <i x="1131" s="1"/>
        <i x="4700" s="1"/>
        <i x="3029" s="1"/>
        <i x="1247" s="1"/>
        <i x="2805" s="1"/>
        <i x="2759" s="1"/>
        <i x="3769" s="1"/>
        <i x="3393" s="1"/>
        <i x="1466" s="1"/>
        <i x="127" s="1"/>
        <i x="137" s="1"/>
        <i x="1367" s="1"/>
        <i x="3790" s="1"/>
        <i x="1883" s="1"/>
        <i x="607" s="1"/>
        <i x="3963" s="1"/>
        <i x="645" s="1"/>
        <i x="1689" s="1"/>
        <i x="4088" s="1"/>
        <i x="3276" s="1"/>
        <i x="4830" s="1"/>
        <i x="4839" s="1"/>
        <i x="4838" s="1"/>
        <i x="4844" s="1"/>
        <i x="1576" s="1"/>
        <i x="3117" s="1"/>
        <i x="4570" s="1"/>
        <i x="1934" s="1"/>
        <i x="4334" s="1"/>
        <i x="1038" s="1"/>
        <i x="4586" s="1"/>
        <i x="8" s="1"/>
        <i x="1880" s="1"/>
        <i x="2153" s="1"/>
        <i x="3186" s="1"/>
        <i x="2734" s="1"/>
        <i x="1356" s="1"/>
        <i x="517" s="1"/>
        <i x="3633" s="1"/>
        <i x="477" s="1"/>
        <i x="74" s="1"/>
        <i x="3854" s="1"/>
        <i x="2373" s="1"/>
        <i x="531" s="1"/>
        <i x="10" s="1"/>
        <i x="3638" s="1"/>
        <i x="4723" s="1"/>
        <i x="2158" s="1"/>
        <i x="2247" s="1"/>
        <i x="4355" s="1"/>
        <i x="4813" s="1"/>
        <i x="963" s="1"/>
        <i x="2046" s="1"/>
        <i x="2557" s="1"/>
        <i x="1591" s="1"/>
        <i x="1648" s="1"/>
        <i x="1853" s="1"/>
        <i x="712" s="1"/>
        <i x="985" s="1"/>
        <i x="1306" s="1"/>
        <i x="2559" s="1"/>
        <i x="1567" s="1"/>
        <i x="2080" s="1"/>
        <i x="2957" s="1"/>
        <i x="2664" s="1"/>
        <i x="845" s="1"/>
        <i x="567" s="1"/>
        <i x="2695" s="1"/>
        <i x="2816" s="1"/>
        <i x="1502" s="1"/>
        <i x="367" s="1"/>
        <i x="3816" s="1"/>
        <i x="2756" s="1"/>
        <i x="4753" s="1"/>
        <i x="3320" s="1"/>
        <i x="476" s="1"/>
        <i x="3717" s="1"/>
        <i x="1722" s="1"/>
        <i x="3249" s="1"/>
        <i x="1480" s="1"/>
        <i x="76" s="1"/>
        <i x="1353" s="1"/>
        <i x="2127" s="1"/>
        <i x="3703" s="1"/>
        <i x="4821" s="1"/>
        <i x="1571" s="1"/>
        <i x="3876" s="1"/>
        <i x="2300" s="1"/>
        <i x="3130" s="1"/>
        <i x="1596" s="1"/>
        <i x="2784" s="1"/>
        <i x="2497" s="1"/>
        <i x="1887" s="1"/>
        <i x="1633" s="1"/>
        <i x="2577" s="1"/>
        <i x="1005" s="1"/>
        <i x="3850" s="1"/>
        <i x="1519" s="1"/>
        <i x="3024" s="1"/>
        <i x="3536" s="1"/>
        <i x="1551" s="1"/>
        <i x="2081" s="1"/>
        <i x="2207" s="1"/>
        <i x="3224" s="1"/>
        <i x="1004" s="1"/>
        <i x="473" s="1"/>
        <i x="3920" s="1"/>
        <i x="3852" s="1"/>
        <i x="1347" s="1"/>
        <i x="3900" s="1"/>
        <i x="218" s="1"/>
        <i x="2034" s="1"/>
        <i x="2490" s="1"/>
        <i x="706" s="1"/>
        <i x="2353" s="1"/>
        <i x="832" s="1"/>
        <i x="2486" s="1"/>
        <i x="518" s="1"/>
        <i x="693" s="1"/>
        <i x="4053" s="1"/>
        <i x="3998" s="1"/>
        <i x="4260" s="1"/>
        <i x="2528" s="1"/>
        <i x="977" s="1"/>
        <i x="895" s="1"/>
        <i x="1948" s="1"/>
        <i x="3007" s="1"/>
        <i x="865" s="1"/>
        <i x="337" s="1"/>
        <i x="3157" s="1"/>
        <i x="596" s="1"/>
        <i x="2941" s="1"/>
        <i x="4430" s="1"/>
        <i x="2947" s="1"/>
        <i x="4386" s="1"/>
        <i x="4631" s="1"/>
        <i x="3911" s="1"/>
        <i x="2993" s="1"/>
        <i x="1058" s="1"/>
        <i x="503" s="1"/>
        <i x="734" s="1"/>
        <i x="605" s="1"/>
        <i x="4192" s="1"/>
        <i x="4513" s="1"/>
        <i x="2401" s="1"/>
        <i x="3491" s="1"/>
        <i x="4520" s="1"/>
        <i x="863" s="1"/>
        <i x="4310" s="1"/>
        <i x="3087" s="1"/>
        <i x="1918" s="1"/>
        <i x="176" s="1"/>
        <i x="1779" s="1"/>
        <i x="358" s="1"/>
        <i x="765" s="1"/>
        <i x="917" s="1"/>
        <i x="452" s="1"/>
        <i x="2868" s="1"/>
        <i x="1735" s="1"/>
        <i x="1834" s="1"/>
        <i x="2357" s="1"/>
        <i x="80" s="1"/>
        <i x="3637" s="1"/>
        <i x="4870" s="1"/>
        <i x="2955" s="1"/>
        <i x="952" s="1"/>
        <i x="3352" s="1"/>
        <i x="4038" s="1"/>
        <i x="4167" s="1"/>
        <i x="3333" s="1"/>
        <i x="3597" s="1"/>
        <i x="970" s="1"/>
        <i x="3256" s="1"/>
        <i x="4778" s="1"/>
        <i x="2124" s="1"/>
        <i x="833" s="1"/>
        <i x="1981" s="1"/>
        <i x="1983" s="1"/>
        <i x="3356" s="1"/>
        <i x="1802" s="1"/>
        <i x="1643" s="1"/>
        <i x="3488" s="1"/>
        <i x="2555" s="1"/>
        <i x="1758" s="1"/>
        <i x="2313" s="1"/>
        <i x="789" s="1"/>
        <i x="3824" s="1"/>
        <i x="4618" s="1"/>
        <i x="2459" s="1"/>
        <i x="1787" s="1"/>
        <i x="291" s="1"/>
        <i x="2741" s="1"/>
        <i x="2630" s="1"/>
        <i x="114" s="1"/>
        <i x="3015" s="1"/>
        <i x="1844" s="1"/>
        <i x="1801" s="1"/>
        <i x="4785" s="1"/>
        <i x="4056" s="1"/>
        <i x="4817" s="1"/>
        <i x="3104" s="1"/>
        <i x="2257" s="1"/>
        <i x="3437" s="1"/>
        <i x="2522" s="1"/>
        <i x="2792" s="1"/>
        <i x="216" s="1"/>
        <i x="113" s="1"/>
        <i x="3274" s="1"/>
        <i x="2671" s="1"/>
        <i x="4422" s="1"/>
        <i x="953" s="1"/>
        <i x="3466" s="1"/>
        <i x="4593" s="1"/>
        <i x="1778" s="1"/>
        <i x="1001" s="1"/>
        <i x="4681" s="1"/>
        <i x="626" s="1"/>
        <i x="2332" s="1"/>
        <i x="3405" s="1"/>
        <i x="310" s="1"/>
        <i x="3047" s="1"/>
        <i x="4577" s="1"/>
        <i x="90" s="1"/>
        <i x="1063" s="1"/>
        <i x="3055" s="1"/>
        <i x="2554" s="1"/>
        <i x="4684" s="1"/>
        <i x="3086" s="1"/>
        <i x="826" s="1"/>
        <i x="3873" s="1"/>
        <i x="3749" s="1"/>
        <i x="3404" s="1"/>
        <i x="625" s="1"/>
        <i x="3938" s="1"/>
        <i x="820" s="1"/>
        <i x="1287" s="1"/>
        <i x="906" s="1"/>
        <i x="3584" s="1"/>
        <i x="2324" s="1"/>
        <i x="1196" s="1"/>
        <i x="2170" s="1"/>
        <i x="900" s="1"/>
        <i x="2505" s="1"/>
        <i x="158" s="1"/>
        <i x="1724" s="1"/>
        <i x="1649" s="1"/>
        <i x="548" s="1"/>
        <i x="4244" s="1"/>
        <i x="1221" s="1"/>
        <i x="2900" s="1"/>
        <i x="1473" s="1"/>
        <i x="2086" s="1"/>
        <i x="4243" s="1"/>
        <i x="4564" s="1"/>
        <i x="4474" s="1"/>
        <i x="3549" s="1"/>
        <i x="1804" s="1"/>
        <i x="495" s="1"/>
        <i x="4233" s="1"/>
        <i x="711" s="1"/>
        <i x="1185" s="1"/>
        <i x="3367" s="1"/>
        <i x="1990" s="1"/>
        <i x="2913" s="1"/>
        <i x="4397" s="1"/>
        <i x="4515" s="1"/>
        <i x="565" s="1"/>
        <i x="2839" s="1"/>
        <i x="162" s="1"/>
        <i x="3984" s="1"/>
        <i x="974" s="1"/>
        <i x="3904" s="1"/>
        <i x="4007" s="1"/>
        <i x="250" s="1"/>
        <i x="3456" s="1"/>
        <i x="4726" s="1"/>
        <i x="1403" s="1"/>
        <i x="2041" s="1"/>
        <i x="2985" s="1"/>
        <i x="552" s="1"/>
        <i x="509" s="1"/>
        <i x="3264" s="1"/>
        <i x="1896" s="1"/>
        <i x="2020" s="1"/>
        <i x="2729" s="1"/>
        <i x="4388" s="1"/>
        <i x="272" s="1"/>
        <i x="1368" s="1"/>
        <i x="2933" s="1"/>
        <i x="3885" s="1"/>
        <i x="4603" s="1"/>
        <i x="4187" s="1"/>
        <i x="2267" s="1"/>
        <i x="685" s="1"/>
        <i x="1155" s="1"/>
        <i x="1385" s="1"/>
        <i x="1388" s="1"/>
        <i x="329" s="1"/>
        <i x="2732" s="1"/>
        <i x="1044" s="1"/>
        <i x="236" s="1"/>
        <i x="2187" s="1"/>
        <i x="1299" s="1"/>
        <i x="4294" s="1"/>
        <i x="3363" s="1"/>
        <i x="3897" s="1"/>
        <i x="4836" s="1"/>
        <i x="665" s="1"/>
        <i x="2874" s="1"/>
        <i x="1955" s="1"/>
        <i x="3880" s="1"/>
        <i x="3872" s="1"/>
        <i x="4141" s="1"/>
        <i x="2935" s="1"/>
        <i x="4194" s="1"/>
        <i x="3065" s="1"/>
        <i x="3272" s="1"/>
        <i x="827" s="1"/>
        <i x="2079" s="1"/>
        <i x="4429" s="1"/>
        <i x="4246" s="1"/>
        <i x="2287" s="1"/>
        <i x="1106" s="1"/>
        <i x="3032" s="1"/>
        <i x="2126" s="1"/>
        <i x="2827" s="1"/>
        <i x="972" s="1"/>
        <i x="1545" s="1"/>
        <i x="2567" s="1"/>
        <i x="3149" s="1"/>
        <i x="1923" s="1"/>
        <i x="468" s="1"/>
        <i x="721" s="1"/>
        <i x="2858" s="1"/>
        <i x="4428" s="1"/>
        <i x="3475" s="1"/>
        <i x="4392" s="1"/>
        <i x="3511" s="1"/>
        <i x="1973" s="1"/>
        <i x="4802" s="1"/>
        <i x="2773" s="1"/>
        <i x="3010" s="1"/>
        <i x="3472" s="1"/>
        <i x="2504" s="1"/>
        <i x="807" s="1"/>
        <i x="2653" s="1"/>
        <i x="3870" s="1"/>
        <i x="4417" s="1"/>
        <i x="957" s="1"/>
        <i x="3583" s="1"/>
        <i x="1769" s="1"/>
        <i x="4835" s="1"/>
        <i x="4691" s="1"/>
        <i x="4432" s="1"/>
        <i x="1069" s="1"/>
        <i x="1398" s="1"/>
        <i x="1151" s="1"/>
        <i x="2377" s="1"/>
        <i x="2237" s="1"/>
        <i x="3836" s="1"/>
        <i x="4583" s="1"/>
        <i x="2394" s="1"/>
        <i x="3917" s="1"/>
        <i x="89" s="1"/>
        <i x="2370" s="1"/>
        <i x="3701" s="1"/>
        <i x="1736" s="1"/>
        <i x="856" s="1"/>
        <i x="3362" s="1"/>
        <i x="2072" s="1"/>
        <i x="2483" s="1"/>
        <i x="2089" s="1"/>
        <i x="2804" s="1"/>
        <i x="139" s="1"/>
        <i x="3257" s="1"/>
        <i x="4193" s="1"/>
        <i x="1755" s="1"/>
        <i x="2288" s="1"/>
        <i x="3030" s="1"/>
        <i x="3767" s="1"/>
        <i x="165" s="1"/>
        <i x="3711" s="1"/>
        <i x="2540" s="1"/>
        <i x="3211" s="1"/>
        <i x="4251" s="1"/>
        <i x="2533" s="1"/>
        <i x="2139" s="1"/>
        <i x="3370" s="1"/>
        <i x="1759" s="1"/>
        <i x="3428" s="1"/>
        <i x="1710" s="1"/>
        <i x="3059" s="1"/>
        <i x="877" s="1"/>
        <i x="1513" s="1"/>
        <i x="282" s="1"/>
        <i x="4215" s="1"/>
        <i x="3668" s="1"/>
        <i x="3553" s="1"/>
        <i x="894" s="1"/>
        <i x="1080" s="1"/>
        <i x="3996" s="1"/>
        <i x="493" s="1"/>
        <i x="736" s="1"/>
        <i x="4442" s="1"/>
        <i x="3424" s="1"/>
        <i x="4066" s="1"/>
        <i x="4140" s="1"/>
        <i x="431" s="1"/>
        <i x="3022" s="1"/>
        <i x="1324" s="1"/>
        <i x="4286" s="1"/>
        <i x="649" s="1"/>
        <i x="3798" s="1"/>
        <i x="3910" s="1"/>
        <i x="3314" s="1"/>
        <i x="443" s="1"/>
        <i x="3995" s="1"/>
        <i x="3733" s="1"/>
        <i x="4248" s="1"/>
        <i x="4301" s="1"/>
        <i x="1002" s="1"/>
        <i x="140" s="1"/>
        <i x="4511" s="1"/>
        <i x="3316" s="1"/>
        <i x="4015" s="1"/>
        <i x="2708" s="1"/>
        <i x="3937" s="1"/>
        <i x="3878" s="1"/>
        <i x="3647" s="1"/>
        <i x="4716" s="1"/>
        <i x="3865" s="1"/>
        <i x="2296" s="1"/>
        <i x="4395" s="1"/>
        <i x="714" s="1"/>
        <i x="4766" s="1"/>
        <i x="3483" s="1"/>
        <i x="3586" s="1"/>
        <i x="2679" s="1"/>
        <i x="2008" s="1"/>
        <i x="3049" s="1"/>
        <i x="3762" s="1"/>
        <i x="1491" s="1"/>
        <i x="1378" s="1"/>
        <i x="2071" s="1"/>
        <i x="4550" s="1"/>
        <i x="169" s="1"/>
        <i x="559" s="1"/>
        <i x="3131" s="1"/>
        <i x="351" s="1"/>
        <i x="2887" s="1"/>
        <i x="1607" s="1"/>
        <i x="1094" s="1"/>
        <i x="3142" s="1"/>
        <i x="3354" s="1"/>
        <i x="2205" s="1"/>
        <i x="710" s="1"/>
        <i x="4642" s="1"/>
        <i x="3023" s="1"/>
        <i x="912" s="1"/>
        <i x="1111" s="1"/>
        <i x="2180" s="1"/>
        <i x="1783" s="1"/>
        <i x="3688" s="1"/>
        <i x="3991" s="1"/>
        <i x="2380" s="1"/>
        <i x="3388" s="1"/>
        <i x="1552" s="1"/>
        <i x="2850" s="1"/>
        <i x="245" s="1"/>
        <i x="2667" s="1"/>
        <i x="2112" s="1"/>
        <i x="2951" s="1"/>
        <i x="3167" s="1"/>
        <i x="2272" s="1"/>
        <i x="2853" s="1"/>
        <i x="416" s="1"/>
        <i x="3981" s="1"/>
        <i x="285" s="1"/>
        <i x="4698" s="1"/>
        <i x="4629" s="1"/>
        <i x="1327" s="1"/>
        <i x="2078" s="1"/>
        <i x="3626" s="1"/>
        <i x="2968" s="1"/>
        <i x="4092" s="1"/>
        <i x="3740" s="1"/>
        <i x="4179" s="1"/>
        <i x="341" s="1"/>
        <i x="2359" s="1"/>
        <i x="2711" s="1"/>
        <i x="4574" s="1"/>
        <i x="3471" s="1"/>
        <i x="2471" s="1"/>
        <i x="1490" s="1"/>
        <i x="2515" s="1"/>
        <i x="2404" s="1"/>
        <i x="1549" s="1"/>
        <i x="3053" s="1"/>
        <i x="2271" s="1"/>
        <i x="3776" s="1"/>
        <i x="317" s="1"/>
        <i x="2762" s="1"/>
        <i x="535" s="1"/>
        <i x="159" s="1"/>
        <i x="3886" s="1"/>
        <i x="3377" s="1"/>
        <i x="4850" s="1"/>
        <i x="299" s="1"/>
        <i x="3342" s="1"/>
        <i x="2896" s="1"/>
        <i x="1960" s="1"/>
        <i x="2393" s="1"/>
        <i x="556" s="1"/>
        <i x="4562" s="1"/>
        <i x="4207" s="1"/>
        <i x="2587" s="1"/>
        <i x="3859" s="1"/>
        <i x="3562" s="1"/>
        <i x="4077" s="1"/>
        <i x="4682" s="1"/>
        <i x="3651" s="1"/>
        <i x="2050" s="1"/>
        <i x="3922" s="1"/>
        <i x="1977" s="1"/>
        <i x="1847" s="1"/>
        <i x="4232" s="1"/>
        <i x="3446" s="1"/>
        <i x="4596" s="1"/>
        <i x="4539" s="1"/>
        <i x="1782" s="1"/>
        <i x="4462" s="1"/>
        <i x="2284" s="1"/>
        <i x="3306" s="1"/>
        <i x="4317" s="1"/>
        <i x="892" s="1"/>
        <i x="2415" s="1"/>
        <i x="116" s="1"/>
        <i x="1436" s="1"/>
        <i x="1593" s="1"/>
        <i x="4663" s="1"/>
        <i x="3417" s="1"/>
        <i x="3184" s="1"/>
        <i x="3046" s="1"/>
        <i x="3303" s="1"/>
        <i x="3158" s="1"/>
        <i x="1143" s="1"/>
        <i x="4068" s="1"/>
        <i x="983" s="1"/>
        <i x="3001" s="1"/>
        <i x="1354" s="1"/>
        <i x="3857" s="1"/>
        <i x="3387" s="1"/>
        <i x="1280" s="1"/>
        <i x="2668" s="1"/>
        <i x="3779" s="1"/>
        <i x="3430" s="1"/>
        <i x="3757" s="1"/>
        <i x="1087" s="1"/>
        <i x="4152" s="1"/>
        <i x="4106" s="1"/>
        <i x="2967" s="1"/>
        <i x="918" s="1"/>
        <i x="3842" s="1"/>
        <i x="1775" s="1"/>
        <i x="4616" s="1"/>
        <i x="3590" s="1"/>
        <i x="3107" s="1"/>
        <i x="3820" s="1"/>
        <i x="516" s="1"/>
        <i x="198" s="1"/>
        <i x="449" s="1"/>
        <i x="2842" s="1"/>
        <i x="1330" s="1"/>
        <i x="2694" s="1"/>
        <i x="4316" s="1"/>
        <i x="4654" s="1"/>
        <i x="2362" s="1"/>
        <i x="740" s="1"/>
        <i x="4737" s="1"/>
        <i x="376" s="1"/>
        <i x="925" s="1"/>
        <i x="1031" s="1"/>
        <i x="519" s="1"/>
        <i x="4" s="1"/>
        <i x="4671" s="1"/>
        <i x="2476" s="1"/>
        <i x="4858" s="1"/>
        <i x="3856" s="1"/>
        <i x="2978" s="1"/>
        <i x="2396" s="1"/>
        <i x="1809" s="1"/>
        <i x="35" s="1"/>
        <i x="1668" s="1"/>
        <i x="3473" s="1"/>
        <i x="4527" s="1"/>
        <i x="2290" s="1"/>
        <i x="2932" s="1"/>
        <i x="1032" s="1"/>
        <i x="32" s="1"/>
        <i x="1767" s="1"/>
        <i x="4444" s="1"/>
        <i x="3490" s="1"/>
        <i x="1348" s="1"/>
        <i x="1953" s="1"/>
        <i x="3214" s="1"/>
        <i x="4188" s="1"/>
        <i x="4111" s="1"/>
        <i x="2493" s="1"/>
        <i x="1407" s="1"/>
        <i x="2796" s="1"/>
        <i x="942" s="1"/>
        <i x="4777" s="1"/>
        <i x="1126" s="1"/>
        <i x="286" s="1"/>
        <i x="2787" s="1"/>
        <i x="3739" s="1"/>
        <i x="1946" s="1"/>
        <i x="1235" s="1"/>
        <i x="1270" s="1"/>
        <i x="1498" s="1"/>
        <i x="2752" s="1"/>
        <i x="2242" s="1"/>
        <i x="2582" s="1"/>
        <i x="4877" s="1"/>
        <i x="2657" s="1"/>
        <i x="2644" s="1"/>
        <i x="1118" s="1"/>
        <i x="2365" s="1"/>
        <i x="2674" s="1"/>
        <i x="4411" s="1"/>
        <i x="3719" s="1"/>
        <i x="3241" s="1"/>
        <i x="1745" s="1"/>
        <i x="2231" s="1"/>
        <i x="3712" s="1"/>
        <i x="3527" s="1"/>
        <i x="3470" s="1"/>
        <i x="1073" s="1"/>
        <i x="536" s="1"/>
        <i x="3135" s="1"/>
        <i x="3866" s="1"/>
        <i x="188" s="1"/>
        <i x="1506" s="1"/>
        <i x="683" s="1"/>
        <i x="4374" s="1"/>
        <i x="1488" s="1"/>
        <i x="2945" s="1"/>
        <i x="2355" s="1"/>
        <i x="2545" s="1"/>
        <i x="457" s="1"/>
        <i x="491" s="1"/>
        <i x="135" s="1"/>
        <i x="2500" s="1"/>
        <i x="732" s="1"/>
        <i x="2146" s="1"/>
        <i x="4005" s="1"/>
        <i x="1634" s="1"/>
        <i x="1564" s="1"/>
        <i x="4276" s="1"/>
        <i x="2878" s="1"/>
        <i x="537" s="1"/>
        <i x="1578" s="1"/>
        <i x="769" s="1"/>
        <i x="14" s="1"/>
        <i x="373" s="1"/>
        <i x="2704" s="1"/>
        <i x="1389" s="1"/>
        <i x="2855" s="1"/>
        <i x="3643" s="1"/>
        <i x="4717" s="1"/>
        <i x="4266" s="1"/>
        <i x="4759" s="1"/>
        <i x="3697" s="1"/>
        <i x="2350" s="1"/>
        <i x="2944" s="1"/>
        <i x="3635" s="1"/>
        <i x="2692" s="1"/>
        <i x="3365" s="1"/>
        <i x="4828" s="1"/>
        <i x="4104" s="1"/>
        <i x="3360" s="1"/>
        <i x="2003" s="1"/>
        <i x="677" s="1"/>
        <i x="2864" s="1"/>
        <i x="4735" s="1"/>
        <i x="1625" s="1"/>
        <i x="445" s="1"/>
        <i x="4446" s="1"/>
        <i x="750" s="1"/>
        <i x="2140" s="1"/>
        <i x="1654" s="1"/>
        <i x="253" s="1"/>
        <i x="748" s="1"/>
        <i x="2721" s="1"/>
        <i x="4818" s="1"/>
        <i x="930" s="1"/>
        <i x="1560" s="1"/>
        <i x="644" s="1"/>
        <i x="2799" s="1"/>
        <i x="3987" s="1"/>
        <i x="1428" s="1"/>
        <i x="3630" s="1"/>
        <i x="3173" s="1"/>
        <i x="1405" s="1"/>
        <i x="2196" s="1"/>
        <i x="796" s="1"/>
        <i x="201" s="1"/>
        <i x="150" s="1"/>
        <i x="1012" s="1"/>
        <i x="1464" s="1"/>
        <i x="1968" s="1"/>
        <i x="3338" s="1"/>
        <i x="2213" s="1"/>
        <i x="2" s="1"/>
        <i x="2416" s="1"/>
        <i x="3841" s="1"/>
        <i x="40" s="1"/>
        <i x="781" s="1"/>
        <i x="2699" s="1"/>
        <i x="4383" s="1"/>
        <i x="3094" s="1"/>
        <i x="698" s="1"/>
        <i x="3580" s="1"/>
        <i x="2473" s="1"/>
        <i x="4389" s="1"/>
        <i x="381" s="1"/>
        <i x="2576" s="1"/>
        <i x="756" s="1"/>
        <i x="4065" s="1"/>
        <i x="3292" s="1"/>
        <i x="808" s="1"/>
        <i x="646" s="1"/>
        <i x="58" s="1"/>
        <i x="2916" s="1"/>
        <i x="2482" s="1"/>
        <i x="1261" s="1"/>
        <i x="1527" s="1"/>
        <i x="1176" s="1"/>
        <i x="679" s="1"/>
        <i x="4385" s="1"/>
        <i x="1821" s="1"/>
        <i x="4433" s="1"/>
        <i x="1754" s="1"/>
        <i x="2494" s="1"/>
        <i x="4050" s="1"/>
        <i x="2333" s="1"/>
        <i x="2425" s="1"/>
        <i x="2191" s="1"/>
        <i x="3299" s="1"/>
        <i x="2649" s="1"/>
        <i x="907" s="1"/>
        <i x="1917" s="1"/>
        <i x="662" s="1"/>
        <i x="1404" s="1"/>
        <i x="342" s="1"/>
        <i x="2507" s="1"/>
        <i x="994" s="1"/>
        <i x="1320" s="1"/>
        <i x="2624" s="1"/>
        <i x="223" s="1"/>
        <i x="4797" s="1"/>
        <i x="1975" s="1"/>
        <i x="3403" s="1"/>
        <i x="3014" s="1"/>
        <i x="1336" s="1"/>
        <i x="2174" s="1"/>
        <i x="2521" s="1"/>
        <i x="1243" s="1"/>
        <i x="540" s="1"/>
        <i x="448" s="1"/>
        <i x="4368" s="1"/>
        <i x="1390" s="1"/>
        <i x="4851" s="1"/>
        <i x="4257" s="1"/>
        <i x="4669" s="1"/>
        <i x="2457" s="1"/>
        <i x="219" s="1"/>
        <i x="2886" s="1"/>
        <i x="1448" s="1"/>
        <i x="4480" s="1"/>
        <i x="3335" s="1"/>
        <i x="4133" s="1"/>
        <i x="1286" s="1"/>
        <i x="125" s="1"/>
        <i x="534" s="1"/>
        <i x="853" s="1"/>
        <i x="4236" s="1"/>
        <i x="2770" s="1"/>
        <i x="2123" s="1"/>
        <i x="1061" s="1"/>
        <i x="1351" s="1"/>
        <i x="958" s="1"/>
        <i x="869" s="1"/>
        <i x="4816" s="1"/>
        <i x="1179" s="1"/>
        <i x="819" s="1"/>
        <i x="1838" s="1"/>
        <i x="1469" s="1"/>
        <i x="2828" s="1"/>
        <i x="3265" s="1"/>
        <i x="4757" s="1"/>
        <i x="3200" s="1"/>
        <i x="2614" s="1"/>
        <i x="1040" s="1"/>
        <i x="2596" s="1"/>
        <i x="82" s="1"/>
        <i x="3004" s="1"/>
        <i x="1829" s="1"/>
        <i x="1254" s="1"/>
        <i x="700" s="1"/>
        <i x="3205" s="1"/>
        <i x="954" s="1"/>
        <i x="3761" s="1"/>
        <i x="3806" s="1"/>
        <i x="2906" s="1"/>
        <i x="1961" s="1"/>
        <i x="3801" s="1"/>
        <i x="166" s="1"/>
        <i x="1141" s="1"/>
        <i x="2235" s="1"/>
        <i x="2422" s="1"/>
        <i x="3855" s="1"/>
        <i x="4521" s="1"/>
        <i x="4834" s="1"/>
        <i x="3114" s="1"/>
        <i x="870" s="1"/>
        <i x="1248" s="1"/>
        <i x="3961" s="1"/>
        <i x="4097" s="1"/>
        <i x="2138" s="1"/>
        <i x="2568" s="1"/>
        <i x="410" s="1"/>
        <i x="2335" s="1"/>
        <i x="2120" s="1"/>
        <i x="4350" s="1"/>
        <i x="3760" s="1"/>
        <i x="2726" s="1"/>
        <i x="1017" s="1"/>
        <i x="1692" s="1"/>
        <i x="4153" s="1"/>
        <i x="3867" s="1"/>
        <i x="4019" s="1"/>
        <i x="1359" s="1"/>
        <i x="1730" s="1"/>
        <i x="3818" s="1"/>
        <i x="4810" s="1"/>
        <i x="4674" s="1"/>
        <i x="3770" s="1"/>
        <i x="3881" s="1"/>
        <i x="584" s="1"/>
        <i x="854" s="1"/>
        <i x="716" s="1"/>
        <i x="2060" s="1"/>
        <i x="1232" s="1"/>
        <i x="2943" s="1"/>
        <i x="4751" s="1"/>
        <i x="3172" s="1"/>
        <i x="2311" s="1"/>
        <i x="4413" s="1"/>
        <i x="2618" s="1"/>
        <i x="432" s="1"/>
        <i x="3596" s="1"/>
        <i x="1440" s="1"/>
        <i x="2099" s="1"/>
        <i x="2616" s="1"/>
        <i x="802" s="1"/>
        <i x="3624" s="1"/>
        <i x="2881" s="1"/>
        <i x="1467" s="1"/>
        <i x="2534" s="1"/>
        <i x="155" s="1"/>
        <i x="386" s="1"/>
        <i x="1068" s="1"/>
        <i x="4791" s="1"/>
        <i x="2599" s="1"/>
        <i x="4190" s="1"/>
        <i x="1652" s="1"/>
        <i x="3564" s="1"/>
        <i x="1476" s="1"/>
        <i x="624" s="1"/>
        <i x="2651" s="1"/>
        <i x="3146" s="1"/>
        <i x="2104" s="1"/>
        <i x="4673" s="1"/>
        <i x="1240" s="1"/>
        <i x="384" s="1"/>
        <i x="1914" s="1"/>
        <i x="1569" s="1"/>
        <i x="261" s="1"/>
        <i x="526" s="1"/>
        <i x="705" s="1"/>
        <i x="2958" s="1"/>
        <i x="171" s="1"/>
        <i x="4588" s="1"/>
        <i x="1695" s="1"/>
        <i x="2186" s="1"/>
        <i x="1557" s="1"/>
        <i x="2478" s="1"/>
        <i x="348" s="1"/>
        <i x="2988" s="1"/>
        <i x="2048" s="1"/>
        <i x="4571" s="1"/>
        <i x="1517" s="1"/>
        <i x="4212" s="1"/>
        <i x="4856" s="1"/>
        <i x="809" s="1"/>
        <i x="4786" s="1"/>
        <i x="454" s="1"/>
        <i x="1741" s="1"/>
        <i x="1721" s="1"/>
        <i x="3933" s="1"/>
        <i x="372" s="1"/>
        <i x="2749" s="1"/>
        <i x="474" s="1"/>
        <i x="1709" s="1"/>
        <i x="2936" s="1"/>
        <i x="2019" s="1"/>
        <i x="1728" s="1"/>
        <i x="3495" s="1"/>
        <i x="2632" s="1"/>
        <i x="1601" s="1"/>
        <i x="3499" s="1"/>
        <i x="2820" s="1"/>
        <i x="500" s="1"/>
        <i x="3339" s="1"/>
        <i x="3725" s="1"/>
        <i x="3609" s="1"/>
        <i x="964" s="1"/>
        <i x="1600" s="1"/>
        <i x="4043" s="1"/>
        <i x="880" s="1"/>
        <i x="3408" s="1"/>
        <i x="3044" s="1"/>
        <i x="666" s="1"/>
        <i x="374" s="1"/>
        <i x="779" s="1"/>
        <i x="1213" s="1"/>
        <i x="1617" s="1"/>
        <i x="2188" s="1"/>
        <i x="407" s="1"/>
        <i x="93" s="1"/>
        <i x="786" s="1"/>
        <i x="1612" s="1"/>
        <i x="4648" s="1"/>
        <i x="3663" s="1"/>
        <i x="743" s="1"/>
        <i x="1362" s="1"/>
        <i x="3860" s="1"/>
        <i x="395" s="1"/>
        <i x="267" s="1"/>
        <i x="760" s="1"/>
        <i x="2064" s="1"/>
        <i x="1456" s="1"/>
        <i x="4443" s="1"/>
        <i x="2857" s="1"/>
        <i x="2738" s="1"/>
        <i x="1316" s="1"/>
        <i x="3128" s="1"/>
        <i x="4326" s="1"/>
        <i x="2697" s="1"/>
        <i x="2083" s="1"/>
        <i x="4619" s="1"/>
        <i x="3349" s="1"/>
        <i x="3225" s="1"/>
        <i x="1931" s="1"/>
        <i x="4736" s="1"/>
        <i x="2926" s="1"/>
        <i x="2622" s="1"/>
        <i x="1250" s="1"/>
        <i x="3709" s="1"/>
        <i x="586" s="1"/>
        <i x="1148" s="1"/>
        <i x="62" s="1"/>
        <i x="2656" s="1"/>
        <i x="1282" s="1"/>
        <i x="3311" s="1"/>
        <i x="385" s="1"/>
        <i x="4809" s="1"/>
        <i x="4137" s="1"/>
        <i x="3552" s="1"/>
        <i x="3442" s="1"/>
        <i x="816" s="1"/>
        <i x="4597" s="1"/>
        <i x="4169" s="1"/>
        <i x="522" s="1"/>
        <i x="4441" s="1"/>
        <i x="770" s="1"/>
        <i x="4074" s="1"/>
        <i x="1895" s="1"/>
        <i x="309" s="1"/>
        <i x="3381" s="1"/>
        <i x="1705" s="1"/>
        <i x="539" s="1"/>
        <i x="4174" s="1"/>
        <i x="2995" s="1"/>
        <i x="3448" s="1"/>
        <i x="4338" s="1"/>
        <i x="2979" s="1"/>
        <i x="308" s="1"/>
        <i x="1263" s="1"/>
        <i x="1678" s="1"/>
        <i x="1338" s="1"/>
        <i x="699" s="1"/>
        <i x="1229" s="1"/>
        <i x="1412" s="1"/>
        <i x="4184" s="1"/>
        <i x="718" s="1"/>
        <i x="439" s="1"/>
        <i x="1857" s="1"/>
        <i x="4650" s="1"/>
        <i x="4456" s="1"/>
        <i x="1481" s="1"/>
        <i x="936" s="1"/>
        <i x="1043" s="1"/>
        <i x="232" s="1"/>
        <i x="1799" s="1"/>
        <i x="1072" s="1"/>
        <i x="2407" s="1"/>
        <i x="73" s="1"/>
        <i x="3789" s="1"/>
        <i x="4833" s="1"/>
        <i x="3043" s="1"/>
        <i x="2165" s="1"/>
        <i x="19" s="1"/>
        <i x="2536" s="1"/>
        <i x="3648" s="1"/>
        <i x="2628" s="1"/>
        <i x="4611" s="1"/>
        <i x="1070" s="1"/>
        <i x="4299" s="1"/>
        <i x="1725" s="1"/>
        <i x="4378" s="1"/>
        <i x="4756" s="1"/>
        <i x="3518" s="1"/>
        <i x="1358" s="1"/>
        <i x="3025" s="1"/>
        <i x="1616" s="1"/>
        <i x="1991" s="1"/>
        <i x="3300" s="1"/>
        <i x="887" s="1"/>
        <i x="3543" s="1"/>
        <i x="3210" s="1"/>
        <i x="3834" s="1"/>
        <i x="3422" s="1"/>
        <i x="4500" s="1"/>
        <i x="2438" s="1"/>
        <i x="1321" s="1"/>
        <i x="3196" s="1"/>
        <i x="1113" s="1"/>
        <i x="1499" s="1"/>
        <i x="2561" s="1"/>
        <i x="1657" s="1"/>
        <i x="1999" s="1"/>
        <i x="480" s="1"/>
        <i x="2953" s="1"/>
        <i x="1259" s="1"/>
        <i x="3687" s="1"/>
        <i x="4250" s="1"/>
        <i x="989" s="1"/>
        <i x="1173" s="1"/>
        <i x="1928" s="1"/>
        <i x="1701" s="1"/>
        <i x="2745" s="1"/>
        <i x="3644" s="1"/>
        <i x="3016" s="1"/>
        <i x="834" s="1"/>
        <i x="3045" s="1"/>
        <i x="4293" s="1"/>
        <i x="2452" s="1"/>
        <i x="3340" s="1"/>
        <i x="4183" s="1"/>
        <i x="33" s="1"/>
        <i x="290" s="1"/>
        <i x="4431" s="1"/>
        <i x="462" s="1"/>
        <i x="4466" s="1"/>
        <i x="2790" s="1"/>
        <i x="177" s="1"/>
        <i x="3802" s="1"/>
        <i x="1409" s="1"/>
        <i x="682" s="1"/>
        <i x="3433" s="1"/>
        <i x="2513" s="1"/>
        <i x="755" s="1"/>
        <i x="3156" s="1"/>
        <i x="1518" s="1"/>
        <i x="2675" s="1"/>
        <i x="724" s="1"/>
        <i x="3297" s="1"/>
        <i x="2991" s="1"/>
        <i x="1875" s="1"/>
        <i x="387" s="1"/>
        <i x="1010" s="1"/>
        <i x="580" s="1"/>
        <i x="2969" s="1"/>
        <i x="1827" s="1"/>
        <i x="4263" s="1"/>
        <i x="3662" s="1"/>
        <i x="4398" s="1"/>
        <i x="4599" s="1"/>
        <i x="4628" s="1"/>
        <i x="23" s="1"/>
        <i x="784" s="1"/>
        <i x="571" s="1"/>
        <i x="886" s="1"/>
        <i x="2354" s="1"/>
        <i x="2687" s="1"/>
        <i x="2054" s="1"/>
        <i x="3951" s="1"/>
        <i x="2736" s="1"/>
        <i x="61" s="1"/>
        <i x="3546" s="1"/>
        <i x="4701" s="1"/>
        <i x="741" s="1"/>
        <i x="1686" s="1"/>
        <i x="1300" s="1"/>
        <i x="3401" s="1"/>
        <i x="4280" s="1"/>
        <i x="1677" s="1"/>
        <i x="1997" s="1"/>
        <i x="2094" s="1"/>
        <i x="4018" s="1"/>
        <i x="1794" s="1"/>
        <i x="1177" s="1"/>
        <i x="1542" s="1"/>
        <i x="311" s="1"/>
        <i x="4042" s="1"/>
        <i x="4003" s="1"/>
        <i x="773" s="1"/>
        <i x="1907" s="1"/>
        <i x="2652" s="1"/>
        <i x="1570" s="1"/>
        <i x="3812" s="1"/>
        <i x="1843" s="1"/>
        <i x="1145" s="1"/>
        <i x="1666" s="1"/>
        <i x="4543" s="1"/>
        <i x="414" s="1"/>
        <i x="3248" s="1"/>
        <i x="2360" s="1"/>
        <i x="3508" s="1"/>
        <i x="1037" s="1"/>
        <i x="3935" s="1"/>
        <i x="2761" s="1"/>
        <i x="4058" s="1"/>
        <i x="2463" s="1"/>
        <i x="4695" s="1"/>
        <i x="5" s="1"/>
        <i x="641" s="1"/>
        <i x="3164" s="1"/>
        <i x="945" s="1"/>
        <i x="2693" s="1"/>
        <i x="2162" s="1"/>
        <i x="1500" s="1"/>
        <i x="1508" s="1"/>
        <i x="4614" s="1"/>
        <i x="408" s="1"/>
        <i x="4523" s="1"/>
        <i x="2074" s="1"/>
        <i x="3753" s="1"/>
        <i x="130" s="1"/>
        <i x="3425" s="1"/>
        <i x="217" s="1"/>
        <i x="78" s="1"/>
        <i x="1127" s="1"/>
        <i x="2109" s="1"/>
        <i x="794" s="1"/>
        <i x="1780" s="1"/>
        <i x="4170" s="1"/>
        <i x="2530" s="1"/>
        <i x="2964" s="1"/>
        <i x="1161" s="1"/>
        <i x="4206" s="1"/>
        <i x="3461" s="1"/>
        <i x="4324" s="1"/>
        <i x="3614" s="1"/>
        <i x="2981" s="1"/>
        <i x="2508" s="1"/>
        <i x="4561" s="1"/>
        <i x="508" s="1"/>
        <i x="1797" s="1"/>
        <i x="1954" s="1"/>
        <i x="2946" s="1"/>
        <i x="3463" s="1"/>
        <i x="1381" s="1"/>
        <i x="54" s="1"/>
        <i x="298" s="1"/>
        <i x="4784" s="1"/>
        <i x="4476" s="1"/>
        <i x="3240" s="1"/>
        <i x="4841" s="1"/>
        <i x="4451" s="1"/>
        <i x="3882" s="1"/>
        <i x="2963" s="1"/>
        <i x="2552" s="1"/>
        <i x="1870" s="1"/>
        <i x="2410" s="1"/>
        <i x="2578" s="1"/>
        <i x="2427" s="1"/>
        <i x="4534" s="1"/>
        <i x="4001" s="1"/>
        <i x="2027" s="1"/>
        <i x="2824" s="1"/>
        <i x="4494" s="1"/>
        <i x="2017" s="1"/>
        <i x="2894" s="1"/>
        <i x="4030" s="1"/>
        <i x="2291" s="1"/>
        <i x="866" s="1"/>
        <i x="3831" s="1"/>
        <i x="2045" s="1"/>
        <i x="2781" s="1"/>
        <i x="2431" s="1"/>
        <i x="2863" s="1"/>
        <i x="349" s="1"/>
        <i x="2314" s="1"/>
        <i x="1084" s="1"/>
        <i x="1988" s="1"/>
        <i x="1435" s="1"/>
        <i x="657" s="1"/>
        <i x="4685" s="1"/>
        <i x="1092" s="1"/>
        <i x="4875" s="1"/>
        <i x="2281" s="1"/>
        <i x="2765" s="1"/>
        <i x="2444" s="1"/>
        <i x="3797" s="1"/>
        <i x="4478" s="1"/>
        <i x="4565" s="1"/>
        <i x="3489" s="1"/>
        <i x="1813" s="1"/>
        <i x="2442" s="1"/>
        <i x="1153" s="1"/>
        <i x="4706" s="1"/>
        <i x="2654" s="1"/>
        <i x="4275" s="1"/>
        <i x="420" s="1"/>
        <i x="1874" s="1"/>
        <i x="2319" s="1"/>
        <i x="2733" s="1"/>
        <i x="4580" s="1"/>
        <i x="3152" s="1"/>
        <i x="4011" s="1"/>
        <i x="1910" s="1"/>
        <i x="1204" s="1"/>
        <i x="1181" s="1"/>
        <i x="3976" s="1"/>
        <i x="2181" s="1"/>
        <i x="1029" s="1"/>
        <i x="2550" s="1"/>
        <i x="83" s="1"/>
        <i x="2043" s="1"/>
        <i x="4102" s="1"/>
        <i x="4089" s="1"/>
        <i x="1995" s="1"/>
        <i x="797" s="1"/>
        <i x="320" s="1"/>
        <i x="838" s="1"/>
        <i x="4165" s="1"/>
        <i x="322" s="1"/>
        <i x="2730" s="1"/>
        <i x="2780" s="1"/>
        <i x="4323" s="1"/>
        <i x="3188" s="1"/>
        <i x="2455" s="1"/>
        <i x="2718" s="1"/>
        <i x="3610" s="1"/>
        <i x="4482" s="1"/>
        <i x="4635" s="1"/>
        <i x="962" s="1"/>
        <i x="3096" s="1"/>
        <i x="1878" s="1"/>
        <i x="1285" s="1"/>
        <i x="183" s="1"/>
        <i x="3233" s="1"/>
        <i x="3732" s="1"/>
        <i x="629" s="1"/>
        <i x="4632" s="1"/>
        <i x="3431" s="1"/>
        <i x="638" s="1"/>
        <i x="2987" s="1"/>
        <i x="573" s="1"/>
        <i x="3459" s="1"/>
        <i x="3512" s="1"/>
        <i x="4149" s="1"/>
        <i x="1209" s="1"/>
        <i x="1086" s="1"/>
        <i x="3982" s="1"/>
        <i x="2836" s="1"/>
        <i x="4278" s="1"/>
        <i x="3346" s="1"/>
        <i x="2768" s="1"/>
        <i x="2748" s="1"/>
        <i x="1531" s="1"/>
        <i x="2446" s="1"/>
        <i x="2834" s="1"/>
        <i x="2367" s="1"/>
        <i x="2546" s="1"/>
        <i x="360" s="1"/>
        <i x="1475" s="1"/>
        <i x="312" s="1"/>
        <i x="4115" s="1"/>
        <i x="3833" s="1"/>
        <i x="3705" s="1"/>
        <i x="1164" s="1"/>
        <i x="208" s="1"/>
        <i x="65" s="1"/>
        <i x="1307" s="1"/>
        <i x="3251" s="1"/>
        <i x="1089" s="1"/>
        <i x="1298" s="1"/>
        <i x="4151" s="1"/>
        <i x="1142" s="1"/>
        <i x="2940" s="1"/>
        <i x="2292" s="1"/>
        <i x="1682" s="1"/>
        <i x="1925" s="1"/>
        <i x="2274" s="1"/>
        <i x="361" s="1"/>
        <i x="937" s="1"/>
        <i x="3323" s="1"/>
        <i x="2385" s="1"/>
        <i x="3627" s="1"/>
        <i x="433" s="1"/>
        <i x="1041" s="1"/>
        <i x="1989" s="1"/>
        <i x="4787" s="1"/>
        <i x="1462" s="1"/>
        <i x="882" s="1"/>
        <i x="2977" s="1"/>
        <i x="4640" s="1"/>
        <i x="3534" s="1"/>
        <i x="91" s="1"/>
        <i x="3394" s="1"/>
        <i x="946" s="1"/>
        <i x="1879" s="1"/>
        <i x="3069" s="1"/>
        <i x="3747" s="1"/>
        <i x="620" s="1"/>
        <i x="2865" s="1"/>
        <i x="578" s="1"/>
        <i x="1806" s="1"/>
        <i x="233" s="1"/>
        <i x="4775" s="1"/>
        <i x="3165" s="1"/>
        <i x="4321" s="1"/>
        <i x="507" s="1"/>
        <i x="4724" s="1"/>
        <i x="3250" s="1"/>
        <i x="973" s="1"/>
        <i x="585" s="1"/>
        <i x="3699" s="1"/>
        <i x="57" s="1"/>
        <i x="872" s="1"/>
        <i x="1301" s="1"/>
        <i x="205" s="1"/>
        <i x="3378" s="1"/>
        <i x="4054" s="1"/>
        <i x="2544" s="1"/>
        <i x="2227" s="1"/>
        <i x="2939" s="1"/>
        <i x="811" s="1"/>
        <i x="3874" s="1"/>
        <i x="2574" s="1"/>
        <i x="691" s="1"/>
        <i x="527" s="1"/>
        <i x="1066" s="1"/>
        <i x="2619" s="1"/>
        <i x="4711" s="1"/>
        <i x="4720" s="1"/>
        <i x="3883" s="1"/>
        <i x="2103" s="1"/>
        <i x="0" s="1"/>
        <i x="3020" s="1"/>
        <i x="4198" s="1"/>
        <i x="4499" s="1"/>
        <i x="1021" s="1"/>
        <i x="3702" s="1"/>
        <i x="3547" s="1"/>
        <i x="2443" s="1"/>
        <i x="1246" s="1"/>
        <i x="1902" s="1"/>
        <i x="2244" s="1"/>
        <i x="3990" s="1"/>
        <i x="1334" s="1"/>
        <i x="757" s="1"/>
        <i x="3033" s="1"/>
        <i x="1660" s="1"/>
        <i x="971" s="1"/>
        <i x="3008" s="1"/>
        <i x="1623" s="1"/>
        <i x="3226" s="1"/>
        <i x="3927" s="1"/>
        <i x="1160" s="1"/>
        <i x="2164" s="1"/>
        <i x="1198" s="1"/>
        <i x="1046" s="1"/>
        <i x="2433" s="1"/>
        <i x="4202" s="1"/>
        <i x="998" s="1"/>
        <i x="763" s="1"/>
        <i x="482" s="1"/>
        <i x="2910" s="1"/>
        <i x="538" s="1"/>
        <i x="3217" s="1"/>
        <i x="3993" s="1"/>
        <i x="1765" s="1"/>
        <i x="4049" s="1"/>
        <i x="4667" s="1"/>
        <i x="1096" s="1"/>
        <i x="2275" s="1"/>
        <i x="3892" s="1"/>
        <i x="244" s="1"/>
        <i x="3235" s="1"/>
        <i x="2021" s="1"/>
        <i x="4173" s="1"/>
        <i x="1803" s="1"/>
        <i x="1222" s="1"/>
        <i x="2460" s="1"/>
        <i x="3899" s="1"/>
        <i x="1386" s="1"/>
        <i x="4365" s="1"/>
        <i x="2451" s="1"/>
        <i x="675" s="1"/>
        <i x="4502" s="1"/>
        <i x="1820" s="1"/>
        <i x="2132" s="1"/>
        <i x="3908" s="1"/>
        <i x="2914" s="1"/>
        <i x="3050" s="1"/>
        <i x="703" s="1"/>
        <i x="356" s="1"/>
        <i x="2801" s="1"/>
        <i x="2959" s="1"/>
        <i x="4467" s="1"/>
        <i x="4578" s="1"/>
        <i x="4396" s="1"/>
        <i x="3166" s="1"/>
        <i x="3375" s="1"/>
        <i x="2466" s="1"/>
        <i x="3909" s="1"/>
        <i x="1698" s="1"/>
        <i x="3622" s="1"/>
        <i x="541" s="1"/>
        <i x="4721" s="1"/>
        <i x="2376" s="1"/>
        <i x="1076" s="1"/>
        <i x="1890" s="1"/>
        <i x="642" s="1"/>
        <i x="1045" s="1"/>
        <i x="2562" s="1"/>
        <i x="1757" s="1"/>
        <i x="2847" s="1"/>
        <i x="2996" s="1"/>
        <i x="1059" s="1"/>
        <i x="71" s="1"/>
        <i x="4373" s="1"/>
        <i x="2629" s="1"/>
        <i x="4061" s="1"/>
        <i x="2156" s="1"/>
        <i x="637" s="1"/>
        <i x="583" s="1"/>
        <i x="4035" s="1"/>
        <i x="2232" s="1"/>
        <i x="4171" s="1"/>
        <i x="394" s="1"/>
        <i x="2361" s="1"/>
        <i x="3680" s="1"/>
        <i x="905" s="1"/>
        <i x="1112" s="1"/>
        <i x="3603" s="1"/>
        <i x="3924" s="1"/>
        <i x="2440" s="1"/>
        <i x="2719" s="1"/>
        <i x="2788" s="1"/>
        <i x="4504" s="1"/>
        <i x="2813" s="1"/>
        <i x="4031" s="1"/>
        <i x="2092" s="1"/>
        <i x="3143" s="1"/>
        <i x="3679" s="1"/>
        <i x="1530" s="1"/>
        <i x="3700" s="1"/>
        <i x="4295" s="1"/>
        <i x="2000" s="1"/>
        <i x="744" s="1"/>
        <i x="3949" s="1"/>
        <i x="1882" s="1"/>
        <i x="899" s="1"/>
        <i x="2511" s="1"/>
        <i x="2826" s="1"/>
        <i x="1581" s="1"/>
        <i x="3051" s="1"/>
        <i x="2942" s="1"/>
        <i x="4733" s="1"/>
        <i x="2382" s="1"/>
        <i x="3674" s="1"/>
        <i x="3721" s="1"/>
        <i x="1808" s="1"/>
        <i x="4452" s="1"/>
        <i x="501" s="1"/>
        <i x="1837" s="1"/>
        <i x="202" s="1"/>
        <i x="4320" s="1"/>
        <i x="3894" s="1"/>
        <i x="813" s="1"/>
        <i x="4485" s="1"/>
        <i x="2414" s="1"/>
        <i x="4006" s="1"/>
        <i x="4551" s="1"/>
        <i x="2306" s="1"/>
        <i x="4676" s="1"/>
        <i x="3877" s="1"/>
        <i x="1673" s="1"/>
        <i x="3861" s="1"/>
        <i x="704" s="1"/>
        <i x="1602" s="1"/>
        <i x="1103" s="1"/>
        <i x="1943" s="1"/>
        <i x="4155" s="1"/>
        <i x="2322" s="1"/>
        <i x="1691" s="1"/>
        <i x="2011" s="1"/>
        <i x="3970" s="1"/>
        <i x="1150" s="1"/>
        <i x="2173" s="1"/>
        <i x="3563" s="1"/>
        <i x="1445" s="1"/>
        <i x="3967" s="1"/>
        <i x="3213" s="1"/>
        <i x="3481" s="1"/>
        <i x="2666" s="1"/>
        <i x="3652" s="1"/>
        <i x="2405" s="1"/>
        <i x="1310" s="1"/>
        <i x="991" s="1"/>
        <i x="3037" s="1"/>
        <i x="1839" s="1"/>
        <i x="4552" s="1"/>
        <i x="3177" s="1"/>
        <i x="3929" s="1"/>
        <i x="3745" s="1"/>
        <i x="4758" s="1"/>
        <i x="2114" s="1"/>
        <i x="1642" s="1"/>
        <i x="2058" s="1"/>
        <i x="2168" s="1"/>
        <i x="4213" s="1"/>
        <i x="2210" s="1"/>
        <i x="2331" s="1"/>
        <i x="697" s="1"/>
        <i x="929" s="1"/>
        <i x="2633" s="1"/>
        <i x="2224" s="1"/>
        <i x="4306" s="1"/>
        <i x="2949" s="1"/>
        <i x="3618" s="1"/>
        <i x="1516" s="1"/>
        <i x="1942" s="1"/>
        <i x="547" s="1"/>
        <i x="1371" s="1"/>
        <i x="2037" s="1"/>
        <i x="3141" s="1"/>
        <i x="3751" s="1"/>
        <i x="4172" s="1"/>
        <i x="4598" s="1"/>
        <i x="561" s="1"/>
        <i x="1186" s="1"/>
        <i x="2954" s="1"/>
        <i x="2880" s="1"/>
        <i x="2470" s="1"/>
        <i x="4060" s="1"/>
        <i x="1663" s="1"/>
        <i x="1926" s="1"/>
        <i x="771" s="1"/>
        <i x="4612" s="1"/>
        <i x="594" s="1"/>
        <i x="3756" s="1"/>
        <i x="4036" s="1"/>
        <i x="1526" s="1"/>
        <i x="38" s="1"/>
        <i x="4866" s="1"/>
        <i x="1927" s="1"/>
        <i x="3121" s="1"/>
        <i x="3397" s="1"/>
        <i x="4624" s="1"/>
        <i x="3791" s="1"/>
        <i x="2379" s="1"/>
        <i x="3243" s="1"/>
        <i x="855" s="1"/>
        <i x="801" s="1"/>
        <i x="505" s="1"/>
        <i x="3372" s="1"/>
        <i x="4557" s="1"/>
        <i x="4071" s="1"/>
        <i x="1982" s="1"/>
        <i x="409" s="1"/>
        <i x="4121" s="1"/>
        <i x="4270" s="1"/>
        <i x="1750" s="1"/>
        <i x="107" s="1"/>
        <i x="999" s="1"/>
        <i x="782" s="1"/>
        <i x="1129" s="1"/>
        <i x="4832" s="1"/>
        <i x="2063" s="1"/>
        <i x="16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Score" xr10:uid="{03311202-2377-4780-BBB9-6D2CC1841A82}" sourceName="Satisfaction_Score">
  <pivotTables>
    <pivotTable tabId="4" name="PivotTable28"/>
  </pivotTables>
  <data>
    <tabular pivotCacheId="304561666">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3328EE3B-485E-4760-9B11-BBA846EE5564}" cache="Slicer_Department1" caption="Department" rowHeight="241300"/>
  <slicer name="Insurance 3" xr10:uid="{CDE98215-2FF3-4C4E-9887-315720830F77}" cache="Slicer_Insurance1" caption="Insurance" rowHeight="241300"/>
  <slicer name="Department 2" xr10:uid="{20A2763E-EEA8-4BB8-9768-A5AE1A4DB18C}" cache="Slicer_Department2" caption="Department" rowHeight="241300"/>
  <slicer name="Insurance 2" xr10:uid="{2FE0B730-EBE0-443D-8936-8CFFE851C746}" cache="Slicer_Insurance2" caption="Insurance" rowHeight="241300"/>
  <slicer name="Patient_ID" xr10:uid="{EB88FEF8-8365-4CC3-BECF-8F40C3BE26A8}" cache="Slicer_Patient_ID" caption="Patient_ID" rowHeight="241300"/>
  <slicer name="Patient_ID 1" xr10:uid="{BAB80AFA-C4CD-4485-AD54-2F4E13125646}" cache="Slicer_Patient_ID" caption="Patient_ID" rowHeight="241300"/>
  <slicer name="Gender" xr10:uid="{89D198A6-FFE5-42D0-9A78-F2DD3314E5EB}" cache="Slicer_Gender" caption="Gender" rowHeight="241300"/>
  <slicer name="Age" xr10:uid="{FAD7E2B2-4A2E-4D11-99FB-AC0B8E085233}" cache="Slicer_Age" caption="Age" rowHeight="241300"/>
  <slicer name="Gender 1" xr10:uid="{5189226E-80CB-4981-BF2B-A130F590427E}" cache="Slicer_Gender1" caption="Gender" rowHeight="241300"/>
  <slicer name="Doctor" xr10:uid="{212F9FEF-6656-445F-BD8A-1374DDAD2CC9}" cache="Slicer_Doctor" caption="Doctor" rowHeight="241300"/>
  <slicer name="Admission_Type" xr10:uid="{8349314A-1B81-4F64-A880-C6CAF807D0D6}" cache="Slicer_Admission_Type" caption="Admission_Type" rowHeight="241300"/>
  <slicer name="Length_of_Stay" xr10:uid="{98CD9D29-E7AB-4CD7-9919-9736AFAE748B}" cache="Slicer_Length_of_Stay" caption="Length_of_Stay" rowHeight="241300"/>
  <slicer name="Treatment_Cost" xr10:uid="{0691CED0-6528-4682-A07B-7B2148DD6E95}" cache="Slicer_Treatment_Cost" caption="Treatment_Cost" rowHeight="241300"/>
  <slicer name="Satisfaction_Score" xr10:uid="{A2CC021C-6263-4CD8-8E80-AE94DDC8A91C}" cache="Slicer_Satisfaction_Score" caption="Satisfaction_Sco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619B93-A49D-4A00-BBCB-B3DFCA4D34A2}" name="Table1" displayName="Table1" ref="A1:J5001" totalsRowShown="0">
  <autoFilter ref="A1:J5001" xr:uid="{46619B93-A49D-4A00-BBCB-B3DFCA4D34A2}"/>
  <tableColumns count="10">
    <tableColumn id="1" xr3:uid="{288BF28B-4915-42DA-BBC5-3CEBAE2C8A07}" name="Patient_ID" dataDxfId="5"/>
    <tableColumn id="2" xr3:uid="{8BF0F3CE-EF1C-433B-817B-1ABDCC04D0DD}" name="Age" dataDxfId="4"/>
    <tableColumn id="3" xr3:uid="{4FCAFF6E-E8AB-488E-9716-4624E94C277E}" name="Gender"/>
    <tableColumn id="4" xr3:uid="{9A99B17B-E356-4182-8A3B-D16DD99287DE}" name="Department"/>
    <tableColumn id="5" xr3:uid="{D0E668EC-94C6-49F8-89F5-855A40B4DD73}" name="Doctor"/>
    <tableColumn id="6" xr3:uid="{15BA1406-1772-4E3F-AF8F-B11F2ADD314F}" name="Admission_Type"/>
    <tableColumn id="7" xr3:uid="{30A77A1D-81A7-4459-B96F-714A5D03D4A5}" name="Length_of_Stay" dataDxfId="3"/>
    <tableColumn id="8" xr3:uid="{A27EFFC5-A153-4A66-816E-8D5FABF83996}" name="Treatment_Cost" dataDxfId="2"/>
    <tableColumn id="9" xr3:uid="{723AF975-C208-40FF-872C-9427E45708DF}" name="Insurance" dataDxfId="1"/>
    <tableColumn id="10" xr3:uid="{CE534A98-BF25-438D-94E2-BAE2B93CE84D}" name="Satisfaction_Score"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1B73-050E-43DF-BC2A-A2EAF2006692}">
  <dimension ref="A1:N67"/>
  <sheetViews>
    <sheetView topLeftCell="A4" zoomScale="95" zoomScaleNormal="95" workbookViewId="0">
      <selection activeCell="I7" sqref="I7"/>
    </sheetView>
  </sheetViews>
  <sheetFormatPr defaultRowHeight="14.5" x14ac:dyDescent="0.35"/>
  <cols>
    <col min="1" max="1" width="17.54296875" bestFit="1" customWidth="1"/>
    <col min="2" max="2" width="17.6328125" bestFit="1" customWidth="1"/>
    <col min="3" max="3" width="22" bestFit="1" customWidth="1"/>
    <col min="13" max="13" width="15.54296875" bestFit="1" customWidth="1"/>
    <col min="14" max="15" width="24.08984375" bestFit="1" customWidth="1"/>
  </cols>
  <sheetData>
    <row r="1" spans="1:14" x14ac:dyDescent="0.35">
      <c r="M1" s="5" t="s">
        <v>5037</v>
      </c>
      <c r="N1" t="s">
        <v>5040</v>
      </c>
    </row>
    <row r="2" spans="1:14" x14ac:dyDescent="0.35">
      <c r="M2" s="6" t="s">
        <v>12</v>
      </c>
      <c r="N2" s="7">
        <v>54085.682080924853</v>
      </c>
    </row>
    <row r="3" spans="1:14" x14ac:dyDescent="0.35">
      <c r="A3" s="5" t="s">
        <v>5037</v>
      </c>
      <c r="B3" t="s">
        <v>5039</v>
      </c>
      <c r="M3" s="6" t="s">
        <v>41</v>
      </c>
      <c r="N3" s="7">
        <v>51216.600405679514</v>
      </c>
    </row>
    <row r="4" spans="1:14" x14ac:dyDescent="0.35">
      <c r="A4" s="6" t="s">
        <v>12</v>
      </c>
      <c r="B4" s="13">
        <v>519</v>
      </c>
      <c r="M4" s="6" t="s">
        <v>39</v>
      </c>
      <c r="N4" s="7">
        <v>51903.125773195876</v>
      </c>
    </row>
    <row r="5" spans="1:14" x14ac:dyDescent="0.35">
      <c r="A5" s="6" t="s">
        <v>41</v>
      </c>
      <c r="B5" s="13">
        <v>493</v>
      </c>
      <c r="M5" s="6" t="s">
        <v>28</v>
      </c>
      <c r="N5" s="7">
        <v>53838.255670103092</v>
      </c>
    </row>
    <row r="6" spans="1:14" x14ac:dyDescent="0.35">
      <c r="A6" s="6" t="s">
        <v>39</v>
      </c>
      <c r="B6" s="13">
        <v>485</v>
      </c>
      <c r="M6" s="6" t="s">
        <v>49</v>
      </c>
      <c r="N6" s="7">
        <v>51852.666666666664</v>
      </c>
    </row>
    <row r="7" spans="1:14" x14ac:dyDescent="0.35">
      <c r="A7" s="6" t="s">
        <v>28</v>
      </c>
      <c r="B7" s="13">
        <v>485</v>
      </c>
      <c r="M7" s="6" t="s">
        <v>33</v>
      </c>
      <c r="N7" s="7">
        <v>53367.659090909088</v>
      </c>
    </row>
    <row r="8" spans="1:14" x14ac:dyDescent="0.35">
      <c r="A8" s="6" t="s">
        <v>49</v>
      </c>
      <c r="B8" s="13">
        <v>483</v>
      </c>
      <c r="M8" s="6" t="s">
        <v>23</v>
      </c>
      <c r="N8" s="7">
        <v>55186.180698151948</v>
      </c>
    </row>
    <row r="9" spans="1:14" x14ac:dyDescent="0.35">
      <c r="A9" s="6" t="s">
        <v>33</v>
      </c>
      <c r="B9" s="13">
        <v>528</v>
      </c>
      <c r="M9" s="6" t="s">
        <v>26</v>
      </c>
      <c r="N9" s="7">
        <v>52920.139489194502</v>
      </c>
    </row>
    <row r="10" spans="1:14" x14ac:dyDescent="0.35">
      <c r="A10" s="6" t="s">
        <v>23</v>
      </c>
      <c r="B10" s="13">
        <v>487</v>
      </c>
      <c r="M10" s="6" t="s">
        <v>18</v>
      </c>
      <c r="N10" s="7">
        <v>53658.631372549018</v>
      </c>
    </row>
    <row r="11" spans="1:14" x14ac:dyDescent="0.35">
      <c r="A11" s="6" t="s">
        <v>26</v>
      </c>
      <c r="B11" s="13">
        <v>509</v>
      </c>
      <c r="M11" s="6" t="s">
        <v>36</v>
      </c>
      <c r="N11" s="7">
        <v>52825.0499001996</v>
      </c>
    </row>
    <row r="12" spans="1:14" x14ac:dyDescent="0.35">
      <c r="A12" s="6" t="s">
        <v>18</v>
      </c>
      <c r="B12" s="13">
        <v>510</v>
      </c>
      <c r="M12" s="6" t="s">
        <v>5038</v>
      </c>
      <c r="N12" s="7">
        <v>53094.211600000002</v>
      </c>
    </row>
    <row r="13" spans="1:14" x14ac:dyDescent="0.35">
      <c r="A13" s="6" t="s">
        <v>36</v>
      </c>
      <c r="B13" s="13">
        <v>501</v>
      </c>
    </row>
    <row r="14" spans="1:14" x14ac:dyDescent="0.35">
      <c r="A14" s="6" t="s">
        <v>5038</v>
      </c>
      <c r="B14" s="13">
        <v>5000</v>
      </c>
    </row>
    <row r="19" spans="1:14" x14ac:dyDescent="0.35">
      <c r="A19" s="5" t="s">
        <v>5037</v>
      </c>
      <c r="B19" t="s">
        <v>5039</v>
      </c>
    </row>
    <row r="20" spans="1:14" x14ac:dyDescent="0.35">
      <c r="A20" s="6" t="s">
        <v>14</v>
      </c>
      <c r="B20" s="13">
        <v>1709</v>
      </c>
      <c r="M20" s="5" t="s">
        <v>5037</v>
      </c>
      <c r="N20" t="s">
        <v>5041</v>
      </c>
    </row>
    <row r="21" spans="1:14" x14ac:dyDescent="0.35">
      <c r="A21" s="6" t="s">
        <v>30</v>
      </c>
      <c r="B21" s="13">
        <v>1674</v>
      </c>
      <c r="M21" s="6" t="s">
        <v>12</v>
      </c>
      <c r="N21" s="13">
        <v>519</v>
      </c>
    </row>
    <row r="22" spans="1:14" x14ac:dyDescent="0.35">
      <c r="A22" s="6" t="s">
        <v>20</v>
      </c>
      <c r="B22" s="13">
        <v>1617</v>
      </c>
      <c r="M22" s="6" t="s">
        <v>41</v>
      </c>
      <c r="N22" s="13">
        <v>493</v>
      </c>
    </row>
    <row r="23" spans="1:14" x14ac:dyDescent="0.35">
      <c r="A23" s="6" t="s">
        <v>5038</v>
      </c>
      <c r="B23" s="13">
        <v>5000</v>
      </c>
      <c r="M23" s="6" t="s">
        <v>39</v>
      </c>
      <c r="N23" s="13">
        <v>485</v>
      </c>
    </row>
    <row r="24" spans="1:14" x14ac:dyDescent="0.35">
      <c r="M24" s="6" t="s">
        <v>28</v>
      </c>
      <c r="N24" s="13">
        <v>485</v>
      </c>
    </row>
    <row r="25" spans="1:14" x14ac:dyDescent="0.35">
      <c r="M25" s="6" t="s">
        <v>49</v>
      </c>
      <c r="N25" s="13">
        <v>483</v>
      </c>
    </row>
    <row r="26" spans="1:14" x14ac:dyDescent="0.35">
      <c r="M26" s="6" t="s">
        <v>33</v>
      </c>
      <c r="N26" s="13">
        <v>528</v>
      </c>
    </row>
    <row r="27" spans="1:14" x14ac:dyDescent="0.35">
      <c r="M27" s="6" t="s">
        <v>23</v>
      </c>
      <c r="N27" s="13">
        <v>487</v>
      </c>
    </row>
    <row r="28" spans="1:14" x14ac:dyDescent="0.35">
      <c r="M28" s="6" t="s">
        <v>26</v>
      </c>
      <c r="N28" s="13">
        <v>509</v>
      </c>
    </row>
    <row r="29" spans="1:14" x14ac:dyDescent="0.35">
      <c r="M29" s="6" t="s">
        <v>18</v>
      </c>
      <c r="N29" s="13">
        <v>510</v>
      </c>
    </row>
    <row r="30" spans="1:14" x14ac:dyDescent="0.35">
      <c r="M30" s="6" t="s">
        <v>36</v>
      </c>
      <c r="N30" s="13">
        <v>501</v>
      </c>
    </row>
    <row r="31" spans="1:14" x14ac:dyDescent="0.35">
      <c r="M31" s="6" t="s">
        <v>5038</v>
      </c>
      <c r="N31" s="13">
        <v>5000</v>
      </c>
    </row>
    <row r="38" spans="1:3" x14ac:dyDescent="0.35">
      <c r="A38" s="5" t="s">
        <v>5037</v>
      </c>
      <c r="B38" t="s">
        <v>5039</v>
      </c>
    </row>
    <row r="39" spans="1:3" x14ac:dyDescent="0.35">
      <c r="A39" s="8" t="s">
        <v>5042</v>
      </c>
      <c r="B39">
        <v>960</v>
      </c>
    </row>
    <row r="40" spans="1:3" x14ac:dyDescent="0.35">
      <c r="A40" s="8" t="s">
        <v>5043</v>
      </c>
      <c r="B40">
        <v>928</v>
      </c>
    </row>
    <row r="41" spans="1:3" x14ac:dyDescent="0.35">
      <c r="A41" s="8" t="s">
        <v>5044</v>
      </c>
      <c r="B41">
        <v>1018</v>
      </c>
    </row>
    <row r="42" spans="1:3" x14ac:dyDescent="0.35">
      <c r="A42" s="8" t="s">
        <v>5045</v>
      </c>
      <c r="B42">
        <v>1040</v>
      </c>
    </row>
    <row r="43" spans="1:3" x14ac:dyDescent="0.35">
      <c r="A43" s="8" t="s">
        <v>5046</v>
      </c>
      <c r="B43">
        <v>988</v>
      </c>
    </row>
    <row r="44" spans="1:3" x14ac:dyDescent="0.35">
      <c r="A44" s="8" t="s">
        <v>5047</v>
      </c>
      <c r="B44">
        <v>66</v>
      </c>
    </row>
    <row r="45" spans="1:3" x14ac:dyDescent="0.35">
      <c r="A45" s="8" t="s">
        <v>5038</v>
      </c>
      <c r="B45">
        <v>5000</v>
      </c>
    </row>
    <row r="48" spans="1:3" x14ac:dyDescent="0.35">
      <c r="A48" s="5" t="s">
        <v>5037</v>
      </c>
      <c r="B48" t="s">
        <v>5078</v>
      </c>
      <c r="C48" t="s">
        <v>5079</v>
      </c>
    </row>
    <row r="49" spans="1:3" x14ac:dyDescent="0.35">
      <c r="A49" s="6" t="s">
        <v>12</v>
      </c>
      <c r="B49" s="1">
        <v>28070469</v>
      </c>
      <c r="C49" s="1">
        <v>28070469</v>
      </c>
    </row>
    <row r="50" spans="1:3" x14ac:dyDescent="0.35">
      <c r="A50" s="6" t="s">
        <v>41</v>
      </c>
      <c r="B50" s="1">
        <v>25249784</v>
      </c>
      <c r="C50" s="1">
        <v>25249784</v>
      </c>
    </row>
    <row r="51" spans="1:3" x14ac:dyDescent="0.35">
      <c r="A51" s="6" t="s">
        <v>39</v>
      </c>
      <c r="B51" s="1">
        <v>25173016</v>
      </c>
      <c r="C51" s="1">
        <v>25173016</v>
      </c>
    </row>
    <row r="52" spans="1:3" x14ac:dyDescent="0.35">
      <c r="A52" s="6" t="s">
        <v>28</v>
      </c>
      <c r="B52" s="1">
        <v>26111554</v>
      </c>
      <c r="C52" s="1">
        <v>26111554</v>
      </c>
    </row>
    <row r="53" spans="1:3" x14ac:dyDescent="0.35">
      <c r="A53" s="6" t="s">
        <v>49</v>
      </c>
      <c r="B53" s="1">
        <v>25044838</v>
      </c>
      <c r="C53" s="1">
        <v>25044838</v>
      </c>
    </row>
    <row r="54" spans="1:3" x14ac:dyDescent="0.35">
      <c r="A54" s="6" t="s">
        <v>33</v>
      </c>
      <c r="B54" s="1">
        <v>28178124</v>
      </c>
      <c r="C54" s="1">
        <v>28178124</v>
      </c>
    </row>
    <row r="55" spans="1:3" x14ac:dyDescent="0.35">
      <c r="A55" s="6" t="s">
        <v>23</v>
      </c>
      <c r="B55" s="1">
        <v>26875670</v>
      </c>
      <c r="C55" s="1">
        <v>26875670</v>
      </c>
    </row>
    <row r="56" spans="1:3" x14ac:dyDescent="0.35">
      <c r="A56" s="6" t="s">
        <v>26</v>
      </c>
      <c r="B56" s="1">
        <v>26936351</v>
      </c>
      <c r="C56" s="1">
        <v>26936351</v>
      </c>
    </row>
    <row r="57" spans="1:3" x14ac:dyDescent="0.35">
      <c r="A57" s="6" t="s">
        <v>18</v>
      </c>
      <c r="B57" s="1">
        <v>27365902</v>
      </c>
      <c r="C57" s="1">
        <v>27365902</v>
      </c>
    </row>
    <row r="58" spans="1:3" x14ac:dyDescent="0.35">
      <c r="A58" s="6" t="s">
        <v>36</v>
      </c>
      <c r="B58" s="1">
        <v>26465350</v>
      </c>
      <c r="C58" s="1">
        <v>26465350</v>
      </c>
    </row>
    <row r="59" spans="1:3" x14ac:dyDescent="0.35">
      <c r="A59" s="6" t="s">
        <v>5038</v>
      </c>
      <c r="B59" s="1">
        <v>265471058</v>
      </c>
      <c r="C59" s="1">
        <v>265471058</v>
      </c>
    </row>
    <row r="64" spans="1:3" x14ac:dyDescent="0.35">
      <c r="A64" s="5" t="s">
        <v>5037</v>
      </c>
      <c r="B64" t="s">
        <v>5039</v>
      </c>
    </row>
    <row r="65" spans="1:2" x14ac:dyDescent="0.35">
      <c r="A65" s="6" t="s">
        <v>11</v>
      </c>
      <c r="B65" s="13">
        <v>2415</v>
      </c>
    </row>
    <row r="66" spans="1:2" x14ac:dyDescent="0.35">
      <c r="A66" s="6" t="s">
        <v>17</v>
      </c>
      <c r="B66" s="13">
        <v>2585</v>
      </c>
    </row>
    <row r="67" spans="1:2" x14ac:dyDescent="0.35">
      <c r="A67" s="6" t="s">
        <v>5038</v>
      </c>
      <c r="B67" s="13">
        <v>5000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78F0-0815-4847-8900-B66FB1AF4B73}">
  <dimension ref="A1:J5001"/>
  <sheetViews>
    <sheetView topLeftCell="A2" workbookViewId="0">
      <selection activeCell="K8" sqref="K8"/>
    </sheetView>
  </sheetViews>
  <sheetFormatPr defaultRowHeight="14.5" x14ac:dyDescent="0.35"/>
  <cols>
    <col min="1" max="1" width="12.1796875" customWidth="1"/>
    <col min="3" max="3" width="9" customWidth="1"/>
    <col min="4" max="4" width="17.08984375" customWidth="1"/>
    <col min="5" max="5" width="14.08984375" customWidth="1"/>
    <col min="6" max="6" width="16.453125" customWidth="1"/>
    <col min="7" max="7" width="15.7265625" customWidth="1"/>
    <col min="8" max="8" width="18.08984375" customWidth="1"/>
    <col min="9" max="9" width="12.7265625" customWidth="1"/>
    <col min="10" max="10" width="18.08984375" customWidth="1"/>
  </cols>
  <sheetData>
    <row r="1" spans="1:10" x14ac:dyDescent="0.35">
      <c r="A1" s="2" t="s">
        <v>0</v>
      </c>
      <c r="B1" s="4" t="s">
        <v>1</v>
      </c>
      <c r="C1" t="s">
        <v>2</v>
      </c>
      <c r="D1" t="s">
        <v>3</v>
      </c>
      <c r="E1" t="s">
        <v>4</v>
      </c>
      <c r="F1" t="s">
        <v>5</v>
      </c>
      <c r="G1" s="4" t="s">
        <v>6</v>
      </c>
      <c r="H1" s="1" t="s">
        <v>7</v>
      </c>
      <c r="I1" s="3" t="s">
        <v>8</v>
      </c>
      <c r="J1" s="4" t="s">
        <v>9</v>
      </c>
    </row>
    <row r="2" spans="1:10" x14ac:dyDescent="0.35">
      <c r="A2" s="2" t="s">
        <v>10</v>
      </c>
      <c r="B2" s="4">
        <v>43</v>
      </c>
      <c r="C2" t="s">
        <v>17</v>
      </c>
      <c r="D2" t="s">
        <v>28</v>
      </c>
      <c r="E2" t="s">
        <v>29</v>
      </c>
      <c r="F2" t="s">
        <v>30</v>
      </c>
      <c r="G2" s="4">
        <v>5</v>
      </c>
      <c r="H2" s="1">
        <v>95516</v>
      </c>
      <c r="I2" s="3" t="s">
        <v>21</v>
      </c>
      <c r="J2" s="4">
        <v>3</v>
      </c>
    </row>
    <row r="3" spans="1:10" x14ac:dyDescent="0.35">
      <c r="A3" s="2" t="s">
        <v>16</v>
      </c>
      <c r="B3" s="4">
        <v>62</v>
      </c>
      <c r="C3" t="s">
        <v>17</v>
      </c>
      <c r="D3" t="s">
        <v>18</v>
      </c>
      <c r="E3" t="s">
        <v>19</v>
      </c>
      <c r="F3" t="s">
        <v>20</v>
      </c>
      <c r="G3" s="4">
        <v>11</v>
      </c>
      <c r="H3" s="1">
        <v>64012</v>
      </c>
      <c r="I3" s="3" t="s">
        <v>21</v>
      </c>
      <c r="J3" s="4">
        <v>2</v>
      </c>
    </row>
    <row r="4" spans="1:10" x14ac:dyDescent="0.35">
      <c r="A4" s="2" t="s">
        <v>22</v>
      </c>
      <c r="B4" s="4">
        <v>79</v>
      </c>
      <c r="C4" t="s">
        <v>11</v>
      </c>
      <c r="D4" t="s">
        <v>12</v>
      </c>
      <c r="E4" t="s">
        <v>29</v>
      </c>
      <c r="F4" t="s">
        <v>14</v>
      </c>
      <c r="G4" s="4">
        <v>2</v>
      </c>
      <c r="H4" s="1">
        <v>83259</v>
      </c>
      <c r="I4" s="3" t="s">
        <v>15</v>
      </c>
      <c r="J4" s="4">
        <v>2</v>
      </c>
    </row>
    <row r="5" spans="1:10" x14ac:dyDescent="0.35">
      <c r="A5" s="2" t="s">
        <v>31</v>
      </c>
      <c r="B5" s="4">
        <v>61</v>
      </c>
      <c r="C5" t="s">
        <v>17</v>
      </c>
      <c r="D5" t="s">
        <v>12</v>
      </c>
      <c r="E5" t="s">
        <v>19</v>
      </c>
      <c r="F5" t="s">
        <v>30</v>
      </c>
      <c r="G5" s="4">
        <v>15</v>
      </c>
      <c r="H5" s="1">
        <v>68126</v>
      </c>
      <c r="I5" s="3" t="s">
        <v>21</v>
      </c>
      <c r="J5" s="4">
        <v>4</v>
      </c>
    </row>
    <row r="6" spans="1:10" x14ac:dyDescent="0.35">
      <c r="A6" s="2" t="s">
        <v>32</v>
      </c>
      <c r="B6" s="4">
        <v>16</v>
      </c>
      <c r="C6" t="s">
        <v>11</v>
      </c>
      <c r="D6" t="s">
        <v>33</v>
      </c>
      <c r="E6" t="s">
        <v>34</v>
      </c>
      <c r="F6" t="s">
        <v>14</v>
      </c>
      <c r="G6" s="4">
        <v>14</v>
      </c>
      <c r="H6" s="1">
        <v>80819</v>
      </c>
      <c r="I6" s="3" t="s">
        <v>15</v>
      </c>
      <c r="J6" s="4">
        <v>2</v>
      </c>
    </row>
    <row r="7" spans="1:10" x14ac:dyDescent="0.35">
      <c r="A7" s="2" t="s">
        <v>35</v>
      </c>
      <c r="B7" s="4">
        <v>42</v>
      </c>
      <c r="C7" t="s">
        <v>17</v>
      </c>
      <c r="D7" t="s">
        <v>36</v>
      </c>
      <c r="E7" t="s">
        <v>37</v>
      </c>
      <c r="F7" t="s">
        <v>14</v>
      </c>
      <c r="G7" s="4">
        <v>7</v>
      </c>
      <c r="H7" s="1">
        <v>91234</v>
      </c>
      <c r="I7" s="3" t="s">
        <v>21</v>
      </c>
      <c r="J7" s="4">
        <v>3</v>
      </c>
    </row>
    <row r="8" spans="1:10" x14ac:dyDescent="0.35">
      <c r="A8" s="2" t="s">
        <v>38</v>
      </c>
      <c r="B8" s="4">
        <v>25</v>
      </c>
      <c r="C8" t="s">
        <v>11</v>
      </c>
      <c r="D8" t="s">
        <v>39</v>
      </c>
      <c r="E8" t="s">
        <v>34</v>
      </c>
      <c r="F8" t="s">
        <v>14</v>
      </c>
      <c r="G8" s="4">
        <v>8</v>
      </c>
      <c r="H8" s="1">
        <v>12298</v>
      </c>
      <c r="I8" s="3" t="s">
        <v>15</v>
      </c>
      <c r="J8" s="4">
        <v>5</v>
      </c>
    </row>
    <row r="9" spans="1:10" x14ac:dyDescent="0.35">
      <c r="A9" s="2" t="s">
        <v>40</v>
      </c>
      <c r="B9" s="4">
        <v>1</v>
      </c>
      <c r="C9" t="s">
        <v>11</v>
      </c>
      <c r="D9" t="s">
        <v>41</v>
      </c>
      <c r="E9" t="s">
        <v>42</v>
      </c>
      <c r="F9" t="s">
        <v>20</v>
      </c>
      <c r="G9" s="4">
        <v>6</v>
      </c>
      <c r="H9" s="1">
        <v>9557</v>
      </c>
      <c r="I9" s="3" t="s">
        <v>21</v>
      </c>
      <c r="J9" s="4">
        <v>5</v>
      </c>
    </row>
    <row r="10" spans="1:10" x14ac:dyDescent="0.35">
      <c r="A10" s="2" t="s">
        <v>43</v>
      </c>
      <c r="B10" s="4">
        <v>58</v>
      </c>
      <c r="C10" t="s">
        <v>11</v>
      </c>
      <c r="D10" t="s">
        <v>36</v>
      </c>
      <c r="E10" t="s">
        <v>13</v>
      </c>
      <c r="F10" t="s">
        <v>30</v>
      </c>
      <c r="G10" s="4">
        <v>13</v>
      </c>
      <c r="H10" s="1">
        <v>70680</v>
      </c>
      <c r="I10" s="3" t="s">
        <v>21</v>
      </c>
      <c r="J10" s="4">
        <v>2</v>
      </c>
    </row>
    <row r="11" spans="1:10" x14ac:dyDescent="0.35">
      <c r="A11" s="2" t="s">
        <v>44</v>
      </c>
      <c r="B11" s="4">
        <v>50</v>
      </c>
      <c r="C11" t="s">
        <v>11</v>
      </c>
      <c r="D11" t="s">
        <v>41</v>
      </c>
      <c r="E11" t="s">
        <v>29</v>
      </c>
      <c r="F11" t="s">
        <v>20</v>
      </c>
      <c r="G11" s="4">
        <v>6</v>
      </c>
      <c r="H11" s="1">
        <v>55506</v>
      </c>
      <c r="I11" s="3" t="s">
        <v>21</v>
      </c>
      <c r="J11" s="4">
        <v>1</v>
      </c>
    </row>
    <row r="12" spans="1:10" x14ac:dyDescent="0.35">
      <c r="A12" s="2" t="s">
        <v>45</v>
      </c>
      <c r="B12" s="4">
        <v>61</v>
      </c>
      <c r="C12" t="s">
        <v>11</v>
      </c>
      <c r="D12" t="s">
        <v>26</v>
      </c>
      <c r="E12" t="s">
        <v>34</v>
      </c>
      <c r="F12" t="s">
        <v>30</v>
      </c>
      <c r="G12" s="4">
        <v>7</v>
      </c>
      <c r="H12" s="1">
        <v>71020</v>
      </c>
      <c r="I12" s="3" t="s">
        <v>15</v>
      </c>
      <c r="J12" s="4">
        <v>2</v>
      </c>
    </row>
    <row r="13" spans="1:10" x14ac:dyDescent="0.35">
      <c r="A13" s="2" t="s">
        <v>46</v>
      </c>
      <c r="B13" s="4">
        <v>8</v>
      </c>
      <c r="C13" t="s">
        <v>17</v>
      </c>
      <c r="D13" t="s">
        <v>33</v>
      </c>
      <c r="E13" t="s">
        <v>27</v>
      </c>
      <c r="F13" t="s">
        <v>30</v>
      </c>
      <c r="G13" s="4">
        <v>2</v>
      </c>
      <c r="H13" s="1">
        <v>27439</v>
      </c>
      <c r="I13" s="3" t="s">
        <v>21</v>
      </c>
      <c r="J13" s="4">
        <v>5</v>
      </c>
    </row>
    <row r="14" spans="1:10" x14ac:dyDescent="0.35">
      <c r="A14" s="2" t="s">
        <v>47</v>
      </c>
      <c r="B14" s="4">
        <v>27</v>
      </c>
      <c r="C14" t="s">
        <v>11</v>
      </c>
      <c r="D14" t="s">
        <v>41</v>
      </c>
      <c r="E14" t="s">
        <v>13</v>
      </c>
      <c r="F14" t="s">
        <v>30</v>
      </c>
      <c r="G14" s="4">
        <v>12</v>
      </c>
      <c r="H14" s="1">
        <v>54129</v>
      </c>
      <c r="I14" s="3" t="s">
        <v>15</v>
      </c>
      <c r="J14" s="4">
        <v>5</v>
      </c>
    </row>
    <row r="15" spans="1:10" x14ac:dyDescent="0.35">
      <c r="A15" s="2" t="s">
        <v>48</v>
      </c>
      <c r="B15" s="4">
        <v>35</v>
      </c>
      <c r="C15" t="s">
        <v>17</v>
      </c>
      <c r="D15" t="s">
        <v>49</v>
      </c>
      <c r="E15" t="s">
        <v>29</v>
      </c>
      <c r="F15" t="s">
        <v>14</v>
      </c>
      <c r="G15" s="4">
        <v>11</v>
      </c>
      <c r="H15" s="1">
        <v>6474</v>
      </c>
      <c r="I15" s="3" t="s">
        <v>15</v>
      </c>
      <c r="J15" s="4">
        <v>4</v>
      </c>
    </row>
    <row r="16" spans="1:10" x14ac:dyDescent="0.35">
      <c r="A16" s="2" t="s">
        <v>50</v>
      </c>
      <c r="B16" s="4">
        <v>52</v>
      </c>
      <c r="C16" t="s">
        <v>11</v>
      </c>
      <c r="D16" t="s">
        <v>18</v>
      </c>
      <c r="E16" t="s">
        <v>13</v>
      </c>
      <c r="F16" t="s">
        <v>20</v>
      </c>
      <c r="G16" s="4">
        <v>1</v>
      </c>
      <c r="H16" s="1">
        <v>82347</v>
      </c>
      <c r="I16" s="3" t="s">
        <v>15</v>
      </c>
      <c r="J16" s="4">
        <v>5</v>
      </c>
    </row>
    <row r="17" spans="1:10" x14ac:dyDescent="0.35">
      <c r="A17" s="2" t="s">
        <v>51</v>
      </c>
      <c r="B17" s="4">
        <v>23</v>
      </c>
      <c r="C17" t="s">
        <v>17</v>
      </c>
      <c r="D17" t="s">
        <v>26</v>
      </c>
      <c r="E17" t="s">
        <v>13</v>
      </c>
      <c r="F17" t="s">
        <v>14</v>
      </c>
      <c r="G17" s="4">
        <v>6</v>
      </c>
      <c r="H17" s="1">
        <v>16745</v>
      </c>
      <c r="I17" s="3" t="s">
        <v>15</v>
      </c>
      <c r="J17" s="4">
        <v>4</v>
      </c>
    </row>
    <row r="18" spans="1:10" x14ac:dyDescent="0.35">
      <c r="A18" s="2" t="s">
        <v>52</v>
      </c>
      <c r="B18" s="4">
        <v>60</v>
      </c>
      <c r="C18" t="s">
        <v>11</v>
      </c>
      <c r="D18" t="s">
        <v>39</v>
      </c>
      <c r="E18" t="s">
        <v>53</v>
      </c>
      <c r="F18" t="s">
        <v>30</v>
      </c>
      <c r="G18" s="4">
        <v>7</v>
      </c>
      <c r="H18" s="1">
        <v>39705</v>
      </c>
      <c r="I18" s="3" t="s">
        <v>21</v>
      </c>
      <c r="J18" s="4">
        <v>1</v>
      </c>
    </row>
    <row r="19" spans="1:10" x14ac:dyDescent="0.35">
      <c r="A19" s="2" t="s">
        <v>54</v>
      </c>
      <c r="B19" s="4">
        <v>35</v>
      </c>
      <c r="C19" t="s">
        <v>17</v>
      </c>
      <c r="D19" t="s">
        <v>26</v>
      </c>
      <c r="E19" t="s">
        <v>34</v>
      </c>
      <c r="F19" t="s">
        <v>14</v>
      </c>
      <c r="G19" s="4">
        <v>5</v>
      </c>
      <c r="H19" s="1">
        <v>21107</v>
      </c>
      <c r="I19" s="3" t="s">
        <v>15</v>
      </c>
      <c r="J19" s="4">
        <v>3</v>
      </c>
    </row>
    <row r="20" spans="1:10" x14ac:dyDescent="0.35">
      <c r="A20" s="2" t="s">
        <v>55</v>
      </c>
      <c r="B20" s="4">
        <v>80</v>
      </c>
      <c r="C20" t="s">
        <v>17</v>
      </c>
      <c r="D20" t="s">
        <v>33</v>
      </c>
      <c r="E20" t="s">
        <v>37</v>
      </c>
      <c r="F20" t="s">
        <v>30</v>
      </c>
      <c r="G20" s="4">
        <v>14</v>
      </c>
      <c r="H20" s="1">
        <v>36746</v>
      </c>
      <c r="I20" s="3" t="s">
        <v>15</v>
      </c>
      <c r="J20" s="4">
        <v>3</v>
      </c>
    </row>
    <row r="21" spans="1:10" x14ac:dyDescent="0.35">
      <c r="A21" s="2" t="s">
        <v>56</v>
      </c>
      <c r="B21" s="4">
        <v>90</v>
      </c>
      <c r="C21" t="s">
        <v>11</v>
      </c>
      <c r="D21" t="s">
        <v>23</v>
      </c>
      <c r="E21" t="s">
        <v>19</v>
      </c>
      <c r="F21" t="s">
        <v>30</v>
      </c>
      <c r="G21" s="4">
        <v>9</v>
      </c>
      <c r="H21" s="1">
        <v>88976</v>
      </c>
      <c r="I21" s="3" t="s">
        <v>21</v>
      </c>
      <c r="J21" s="4">
        <v>3</v>
      </c>
    </row>
    <row r="22" spans="1:10" x14ac:dyDescent="0.35">
      <c r="A22" s="2" t="s">
        <v>57</v>
      </c>
      <c r="B22" s="4">
        <v>75</v>
      </c>
      <c r="C22" t="s">
        <v>17</v>
      </c>
      <c r="D22" t="s">
        <v>18</v>
      </c>
      <c r="E22" t="s">
        <v>42</v>
      </c>
      <c r="F22" t="s">
        <v>20</v>
      </c>
      <c r="G22" s="4">
        <v>12</v>
      </c>
      <c r="H22" s="1">
        <v>49287</v>
      </c>
      <c r="I22" s="3" t="s">
        <v>15</v>
      </c>
      <c r="J22" s="4">
        <v>2</v>
      </c>
    </row>
    <row r="23" spans="1:10" x14ac:dyDescent="0.35">
      <c r="A23" s="2" t="s">
        <v>58</v>
      </c>
      <c r="B23" s="4">
        <v>31</v>
      </c>
      <c r="C23" t="s">
        <v>17</v>
      </c>
      <c r="D23" t="s">
        <v>33</v>
      </c>
      <c r="E23" t="s">
        <v>24</v>
      </c>
      <c r="F23" t="s">
        <v>30</v>
      </c>
      <c r="G23" s="4">
        <v>11</v>
      </c>
      <c r="H23" s="1">
        <v>44822</v>
      </c>
      <c r="I23" s="3" t="s">
        <v>15</v>
      </c>
      <c r="J23" s="4">
        <v>1</v>
      </c>
    </row>
    <row r="24" spans="1:10" x14ac:dyDescent="0.35">
      <c r="A24" s="2" t="s">
        <v>59</v>
      </c>
      <c r="B24" s="4">
        <v>26</v>
      </c>
      <c r="C24" t="s">
        <v>11</v>
      </c>
      <c r="D24" t="s">
        <v>26</v>
      </c>
      <c r="E24" t="s">
        <v>42</v>
      </c>
      <c r="F24" t="s">
        <v>20</v>
      </c>
      <c r="G24" s="4">
        <v>6</v>
      </c>
      <c r="H24" s="1">
        <v>50940</v>
      </c>
      <c r="I24" s="3" t="s">
        <v>15</v>
      </c>
      <c r="J24" s="4">
        <v>5</v>
      </c>
    </row>
    <row r="25" spans="1:10" x14ac:dyDescent="0.35">
      <c r="A25" s="2" t="s">
        <v>60</v>
      </c>
      <c r="B25" s="4">
        <v>38</v>
      </c>
      <c r="C25" t="s">
        <v>17</v>
      </c>
      <c r="D25" t="s">
        <v>26</v>
      </c>
      <c r="E25" t="s">
        <v>24</v>
      </c>
      <c r="F25" t="s">
        <v>14</v>
      </c>
      <c r="G25" s="4">
        <v>6</v>
      </c>
      <c r="H25" s="1">
        <v>90560</v>
      </c>
      <c r="I25" s="3" t="s">
        <v>21</v>
      </c>
      <c r="J25" s="4">
        <v>3</v>
      </c>
    </row>
    <row r="26" spans="1:10" x14ac:dyDescent="0.35">
      <c r="A26" s="2" t="s">
        <v>61</v>
      </c>
      <c r="B26" s="4">
        <v>16</v>
      </c>
      <c r="C26" t="s">
        <v>11</v>
      </c>
      <c r="D26" t="s">
        <v>12</v>
      </c>
      <c r="E26" t="s">
        <v>34</v>
      </c>
      <c r="F26" t="s">
        <v>30</v>
      </c>
      <c r="G26" s="4">
        <v>10</v>
      </c>
      <c r="H26" s="1">
        <v>65185</v>
      </c>
      <c r="I26" s="3" t="s">
        <v>21</v>
      </c>
      <c r="J26" s="4">
        <v>4</v>
      </c>
    </row>
    <row r="27" spans="1:10" x14ac:dyDescent="0.35">
      <c r="A27" s="2" t="s">
        <v>62</v>
      </c>
      <c r="B27" s="4">
        <v>41</v>
      </c>
      <c r="C27" t="s">
        <v>17</v>
      </c>
      <c r="D27" t="s">
        <v>33</v>
      </c>
      <c r="E27" t="s">
        <v>53</v>
      </c>
      <c r="F27" t="s">
        <v>20</v>
      </c>
      <c r="G27" s="4">
        <v>12</v>
      </c>
      <c r="H27" s="1">
        <v>45410</v>
      </c>
      <c r="I27" s="3" t="s">
        <v>21</v>
      </c>
      <c r="J27" s="4">
        <v>1</v>
      </c>
    </row>
    <row r="28" spans="1:10" x14ac:dyDescent="0.35">
      <c r="A28" s="2" t="s">
        <v>63</v>
      </c>
      <c r="B28" s="4">
        <v>88</v>
      </c>
      <c r="C28" t="s">
        <v>17</v>
      </c>
      <c r="D28" t="s">
        <v>18</v>
      </c>
      <c r="E28" t="s">
        <v>29</v>
      </c>
      <c r="F28" t="s">
        <v>14</v>
      </c>
      <c r="G28" s="4">
        <v>7</v>
      </c>
      <c r="H28" s="1">
        <v>29789</v>
      </c>
      <c r="I28" s="3" t="s">
        <v>15</v>
      </c>
      <c r="J28" s="4">
        <v>3</v>
      </c>
    </row>
    <row r="29" spans="1:10" x14ac:dyDescent="0.35">
      <c r="A29" s="2" t="s">
        <v>64</v>
      </c>
      <c r="B29" s="4">
        <v>44</v>
      </c>
      <c r="C29" t="s">
        <v>11</v>
      </c>
      <c r="D29" t="s">
        <v>12</v>
      </c>
      <c r="E29" t="s">
        <v>65</v>
      </c>
      <c r="F29" t="s">
        <v>30</v>
      </c>
      <c r="G29" s="4">
        <v>6</v>
      </c>
      <c r="H29" s="1">
        <v>53190</v>
      </c>
      <c r="I29" s="3" t="s">
        <v>21</v>
      </c>
      <c r="J29" s="4">
        <v>3</v>
      </c>
    </row>
    <row r="30" spans="1:10" x14ac:dyDescent="0.35">
      <c r="A30" s="2" t="s">
        <v>66</v>
      </c>
      <c r="B30" s="4">
        <v>31</v>
      </c>
      <c r="C30" t="s">
        <v>11</v>
      </c>
      <c r="D30" t="s">
        <v>12</v>
      </c>
      <c r="E30" t="s">
        <v>42</v>
      </c>
      <c r="F30" t="s">
        <v>20</v>
      </c>
      <c r="G30" s="4">
        <v>11</v>
      </c>
      <c r="H30" s="1">
        <v>57905</v>
      </c>
      <c r="I30" s="3" t="s">
        <v>15</v>
      </c>
      <c r="J30" s="4">
        <v>2</v>
      </c>
    </row>
    <row r="31" spans="1:10" x14ac:dyDescent="0.35">
      <c r="A31" s="2" t="s">
        <v>67</v>
      </c>
      <c r="B31" s="4">
        <v>38</v>
      </c>
      <c r="C31" t="s">
        <v>17</v>
      </c>
      <c r="D31" t="s">
        <v>41</v>
      </c>
      <c r="E31" t="s">
        <v>24</v>
      </c>
      <c r="F31" t="s">
        <v>30</v>
      </c>
      <c r="G31" s="4">
        <v>14</v>
      </c>
      <c r="H31" s="1">
        <v>41537</v>
      </c>
      <c r="I31" s="3" t="s">
        <v>15</v>
      </c>
      <c r="J31" s="4">
        <v>1</v>
      </c>
    </row>
    <row r="32" spans="1:10" x14ac:dyDescent="0.35">
      <c r="A32" s="2" t="s">
        <v>68</v>
      </c>
      <c r="B32" s="4">
        <v>23</v>
      </c>
      <c r="C32" t="s">
        <v>17</v>
      </c>
      <c r="D32" t="s">
        <v>36</v>
      </c>
      <c r="E32" t="s">
        <v>34</v>
      </c>
      <c r="F32" t="s">
        <v>14</v>
      </c>
      <c r="G32" s="4">
        <v>14</v>
      </c>
      <c r="H32" s="1">
        <v>5704</v>
      </c>
      <c r="I32" s="3" t="s">
        <v>21</v>
      </c>
      <c r="J32" s="4">
        <v>2</v>
      </c>
    </row>
    <row r="33" spans="1:10" x14ac:dyDescent="0.35">
      <c r="A33" s="2" t="s">
        <v>69</v>
      </c>
      <c r="B33" s="4">
        <v>64</v>
      </c>
      <c r="C33" t="s">
        <v>11</v>
      </c>
      <c r="D33" t="s">
        <v>49</v>
      </c>
      <c r="E33" t="s">
        <v>27</v>
      </c>
      <c r="F33" t="s">
        <v>14</v>
      </c>
      <c r="G33" s="4">
        <v>1</v>
      </c>
      <c r="H33" s="1">
        <v>16499</v>
      </c>
      <c r="I33" s="3" t="s">
        <v>15</v>
      </c>
      <c r="J33" s="4">
        <v>5</v>
      </c>
    </row>
    <row r="34" spans="1:10" x14ac:dyDescent="0.35">
      <c r="A34" s="2" t="s">
        <v>70</v>
      </c>
      <c r="B34" s="4">
        <v>74</v>
      </c>
      <c r="C34" t="s">
        <v>17</v>
      </c>
      <c r="D34" t="s">
        <v>39</v>
      </c>
      <c r="E34" t="s">
        <v>13</v>
      </c>
      <c r="F34" t="s">
        <v>30</v>
      </c>
      <c r="G34" s="4">
        <v>2</v>
      </c>
      <c r="H34" s="1">
        <v>81046</v>
      </c>
      <c r="I34" s="3" t="s">
        <v>15</v>
      </c>
      <c r="J34" s="4">
        <v>4</v>
      </c>
    </row>
    <row r="35" spans="1:10" x14ac:dyDescent="0.35">
      <c r="A35" s="2" t="s">
        <v>71</v>
      </c>
      <c r="B35" s="4">
        <v>5</v>
      </c>
      <c r="C35" t="s">
        <v>17</v>
      </c>
      <c r="D35" t="s">
        <v>33</v>
      </c>
      <c r="E35" t="s">
        <v>42</v>
      </c>
      <c r="F35" t="s">
        <v>14</v>
      </c>
      <c r="G35" s="4">
        <v>12</v>
      </c>
      <c r="H35" s="1">
        <v>89941</v>
      </c>
      <c r="I35" s="3" t="s">
        <v>15</v>
      </c>
      <c r="J35" s="4">
        <v>5</v>
      </c>
    </row>
    <row r="36" spans="1:10" x14ac:dyDescent="0.35">
      <c r="A36" s="2" t="s">
        <v>72</v>
      </c>
      <c r="B36" s="4">
        <v>88</v>
      </c>
      <c r="C36" t="s">
        <v>11</v>
      </c>
      <c r="D36" t="s">
        <v>36</v>
      </c>
      <c r="E36" t="s">
        <v>19</v>
      </c>
      <c r="F36" t="s">
        <v>20</v>
      </c>
      <c r="G36" s="4">
        <v>15</v>
      </c>
      <c r="H36" s="1">
        <v>47488</v>
      </c>
      <c r="I36" s="3" t="s">
        <v>21</v>
      </c>
      <c r="J36" s="4">
        <v>1</v>
      </c>
    </row>
    <row r="37" spans="1:10" x14ac:dyDescent="0.35">
      <c r="A37" s="2" t="s">
        <v>73</v>
      </c>
      <c r="B37" s="4">
        <v>58</v>
      </c>
      <c r="C37" t="s">
        <v>11</v>
      </c>
      <c r="D37" t="s">
        <v>36</v>
      </c>
      <c r="E37" t="s">
        <v>29</v>
      </c>
      <c r="F37" t="s">
        <v>20</v>
      </c>
      <c r="G37" s="4">
        <v>5</v>
      </c>
      <c r="H37" s="1">
        <v>80943</v>
      </c>
      <c r="I37" s="3" t="s">
        <v>21</v>
      </c>
      <c r="J37" s="4">
        <v>5</v>
      </c>
    </row>
    <row r="38" spans="1:10" x14ac:dyDescent="0.35">
      <c r="A38" s="2" t="s">
        <v>74</v>
      </c>
      <c r="B38" s="4">
        <v>35</v>
      </c>
      <c r="C38" t="s">
        <v>17</v>
      </c>
      <c r="D38" t="s">
        <v>49</v>
      </c>
      <c r="E38" t="s">
        <v>27</v>
      </c>
      <c r="F38" t="s">
        <v>20</v>
      </c>
      <c r="G38" s="4">
        <v>4</v>
      </c>
      <c r="H38" s="1">
        <v>11424</v>
      </c>
      <c r="I38" s="3" t="s">
        <v>21</v>
      </c>
      <c r="J38" s="4">
        <v>5</v>
      </c>
    </row>
    <row r="39" spans="1:10" x14ac:dyDescent="0.35">
      <c r="A39" s="2" t="s">
        <v>75</v>
      </c>
      <c r="B39" s="4">
        <v>75</v>
      </c>
      <c r="C39" t="s">
        <v>17</v>
      </c>
      <c r="D39" t="s">
        <v>41</v>
      </c>
      <c r="E39" t="s">
        <v>29</v>
      </c>
      <c r="F39" t="s">
        <v>14</v>
      </c>
      <c r="G39" s="4">
        <v>13</v>
      </c>
      <c r="H39" s="1">
        <v>25207</v>
      </c>
      <c r="I39" s="3" t="s">
        <v>15</v>
      </c>
      <c r="J39" s="4">
        <v>1</v>
      </c>
    </row>
    <row r="40" spans="1:10" x14ac:dyDescent="0.35">
      <c r="A40" s="2" t="s">
        <v>76</v>
      </c>
      <c r="B40" s="4">
        <v>54</v>
      </c>
      <c r="C40" t="s">
        <v>11</v>
      </c>
      <c r="D40" t="s">
        <v>36</v>
      </c>
      <c r="E40" t="s">
        <v>13</v>
      </c>
      <c r="F40" t="s">
        <v>20</v>
      </c>
      <c r="G40" s="4">
        <v>14</v>
      </c>
      <c r="H40" s="1">
        <v>99432</v>
      </c>
      <c r="I40" s="3" t="s">
        <v>15</v>
      </c>
      <c r="J40" s="4">
        <v>1</v>
      </c>
    </row>
    <row r="41" spans="1:10" x14ac:dyDescent="0.35">
      <c r="A41" s="2" t="s">
        <v>77</v>
      </c>
      <c r="B41" s="4">
        <v>81</v>
      </c>
      <c r="C41" t="s">
        <v>11</v>
      </c>
      <c r="D41" t="s">
        <v>26</v>
      </c>
      <c r="E41" t="s">
        <v>37</v>
      </c>
      <c r="F41" t="s">
        <v>14</v>
      </c>
      <c r="G41" s="4">
        <v>9</v>
      </c>
      <c r="H41" s="1">
        <v>65149</v>
      </c>
      <c r="I41" s="3" t="s">
        <v>15</v>
      </c>
      <c r="J41" s="4">
        <v>3</v>
      </c>
    </row>
    <row r="42" spans="1:10" x14ac:dyDescent="0.35">
      <c r="A42" s="2" t="s">
        <v>78</v>
      </c>
      <c r="B42" s="4">
        <v>56</v>
      </c>
      <c r="C42" t="s">
        <v>17</v>
      </c>
      <c r="D42" t="s">
        <v>39</v>
      </c>
      <c r="E42" t="s">
        <v>42</v>
      </c>
      <c r="F42" t="s">
        <v>30</v>
      </c>
      <c r="G42" s="4">
        <v>9</v>
      </c>
      <c r="H42" s="1">
        <v>83322</v>
      </c>
      <c r="I42" s="3" t="s">
        <v>21</v>
      </c>
      <c r="J42" s="4">
        <v>1</v>
      </c>
    </row>
    <row r="43" spans="1:10" x14ac:dyDescent="0.35">
      <c r="A43" s="2" t="s">
        <v>79</v>
      </c>
      <c r="B43" s="4">
        <v>65</v>
      </c>
      <c r="C43" t="s">
        <v>11</v>
      </c>
      <c r="D43" t="s">
        <v>41</v>
      </c>
      <c r="E43" t="s">
        <v>24</v>
      </c>
      <c r="F43" t="s">
        <v>20</v>
      </c>
      <c r="G43" s="4">
        <v>12</v>
      </c>
      <c r="H43" s="1">
        <v>56408</v>
      </c>
      <c r="I43" s="3" t="s">
        <v>15</v>
      </c>
      <c r="J43" s="4">
        <v>5</v>
      </c>
    </row>
    <row r="44" spans="1:10" x14ac:dyDescent="0.35">
      <c r="A44" s="2" t="s">
        <v>80</v>
      </c>
      <c r="B44" s="4">
        <v>88</v>
      </c>
      <c r="C44" t="s">
        <v>17</v>
      </c>
      <c r="D44" t="s">
        <v>39</v>
      </c>
      <c r="E44" t="s">
        <v>37</v>
      </c>
      <c r="F44" t="s">
        <v>20</v>
      </c>
      <c r="G44" s="4">
        <v>15</v>
      </c>
      <c r="H44" s="1">
        <v>36810</v>
      </c>
      <c r="I44" s="3" t="s">
        <v>15</v>
      </c>
      <c r="J44" s="4">
        <v>4</v>
      </c>
    </row>
    <row r="45" spans="1:10" x14ac:dyDescent="0.35">
      <c r="A45" s="2" t="s">
        <v>81</v>
      </c>
      <c r="B45" s="4">
        <v>21</v>
      </c>
      <c r="C45" t="s">
        <v>11</v>
      </c>
      <c r="D45" t="s">
        <v>39</v>
      </c>
      <c r="E45" t="s">
        <v>65</v>
      </c>
      <c r="F45" t="s">
        <v>30</v>
      </c>
      <c r="G45" s="4">
        <v>12</v>
      </c>
      <c r="H45" s="1">
        <v>14337</v>
      </c>
      <c r="I45" s="3" t="s">
        <v>15</v>
      </c>
      <c r="J45" s="4">
        <v>2</v>
      </c>
    </row>
    <row r="46" spans="1:10" x14ac:dyDescent="0.35">
      <c r="A46" s="2" t="s">
        <v>82</v>
      </c>
      <c r="B46" s="4">
        <v>34</v>
      </c>
      <c r="C46" t="s">
        <v>17</v>
      </c>
      <c r="D46" t="s">
        <v>36</v>
      </c>
      <c r="E46" t="s">
        <v>19</v>
      </c>
      <c r="F46" t="s">
        <v>14</v>
      </c>
      <c r="G46" s="4">
        <v>15</v>
      </c>
      <c r="H46" s="1">
        <v>13546</v>
      </c>
      <c r="I46" s="3" t="s">
        <v>15</v>
      </c>
      <c r="J46" s="4">
        <v>4</v>
      </c>
    </row>
    <row r="47" spans="1:10" x14ac:dyDescent="0.35">
      <c r="A47" s="2" t="s">
        <v>83</v>
      </c>
      <c r="B47" s="4">
        <v>18</v>
      </c>
      <c r="C47" t="s">
        <v>11</v>
      </c>
      <c r="D47" t="s">
        <v>41</v>
      </c>
      <c r="E47" t="s">
        <v>24</v>
      </c>
      <c r="F47" t="s">
        <v>20</v>
      </c>
      <c r="G47" s="4">
        <v>4</v>
      </c>
      <c r="H47" s="1">
        <v>35356</v>
      </c>
      <c r="I47" s="3" t="s">
        <v>15</v>
      </c>
      <c r="J47" s="4">
        <v>4</v>
      </c>
    </row>
    <row r="48" spans="1:10" x14ac:dyDescent="0.35">
      <c r="A48" s="2" t="s">
        <v>84</v>
      </c>
      <c r="B48" s="4">
        <v>44</v>
      </c>
      <c r="C48" t="s">
        <v>11</v>
      </c>
      <c r="D48" t="s">
        <v>18</v>
      </c>
      <c r="E48" t="s">
        <v>37</v>
      </c>
      <c r="F48" t="s">
        <v>20</v>
      </c>
      <c r="G48" s="4">
        <v>2</v>
      </c>
      <c r="H48" s="1">
        <v>59145</v>
      </c>
      <c r="I48" s="3" t="s">
        <v>21</v>
      </c>
      <c r="J48" s="4">
        <v>1</v>
      </c>
    </row>
    <row r="49" spans="1:10" x14ac:dyDescent="0.35">
      <c r="A49" s="2" t="s">
        <v>85</v>
      </c>
      <c r="B49" s="4">
        <v>11</v>
      </c>
      <c r="C49" t="s">
        <v>11</v>
      </c>
      <c r="D49" t="s">
        <v>49</v>
      </c>
      <c r="E49" t="s">
        <v>53</v>
      </c>
      <c r="F49" t="s">
        <v>20</v>
      </c>
      <c r="G49" s="4">
        <v>13</v>
      </c>
      <c r="H49" s="1">
        <v>6267</v>
      </c>
      <c r="I49" s="3" t="s">
        <v>21</v>
      </c>
      <c r="J49" s="4">
        <v>5</v>
      </c>
    </row>
    <row r="50" spans="1:10" x14ac:dyDescent="0.35">
      <c r="A50" s="2" t="s">
        <v>86</v>
      </c>
      <c r="B50" s="4">
        <v>69</v>
      </c>
      <c r="C50" t="s">
        <v>17</v>
      </c>
      <c r="D50" t="s">
        <v>26</v>
      </c>
      <c r="E50" t="s">
        <v>27</v>
      </c>
      <c r="F50" t="s">
        <v>30</v>
      </c>
      <c r="G50" s="4">
        <v>1</v>
      </c>
      <c r="H50" s="1">
        <v>46565</v>
      </c>
      <c r="I50" s="3" t="s">
        <v>21</v>
      </c>
      <c r="J50" s="4">
        <v>4</v>
      </c>
    </row>
    <row r="51" spans="1:10" x14ac:dyDescent="0.35">
      <c r="A51" s="2" t="s">
        <v>87</v>
      </c>
      <c r="B51" s="4">
        <v>1</v>
      </c>
      <c r="C51" t="s">
        <v>17</v>
      </c>
      <c r="D51" t="s">
        <v>49</v>
      </c>
      <c r="E51" t="s">
        <v>37</v>
      </c>
      <c r="F51" t="s">
        <v>30</v>
      </c>
      <c r="G51" s="4">
        <v>11</v>
      </c>
      <c r="H51" s="1">
        <v>50131</v>
      </c>
      <c r="I51" s="3" t="s">
        <v>21</v>
      </c>
      <c r="J51" s="4">
        <v>5</v>
      </c>
    </row>
    <row r="52" spans="1:10" x14ac:dyDescent="0.35">
      <c r="A52" s="2" t="s">
        <v>88</v>
      </c>
      <c r="B52" s="4">
        <v>69</v>
      </c>
      <c r="C52" t="s">
        <v>17</v>
      </c>
      <c r="D52" t="s">
        <v>39</v>
      </c>
      <c r="E52" t="s">
        <v>13</v>
      </c>
      <c r="F52" t="s">
        <v>20</v>
      </c>
      <c r="G52" s="4">
        <v>1</v>
      </c>
      <c r="H52" s="1">
        <v>26955</v>
      </c>
      <c r="I52" s="3" t="s">
        <v>21</v>
      </c>
      <c r="J52" s="4">
        <v>4</v>
      </c>
    </row>
    <row r="53" spans="1:10" x14ac:dyDescent="0.35">
      <c r="A53" s="2" t="s">
        <v>89</v>
      </c>
      <c r="B53" s="4">
        <v>40</v>
      </c>
      <c r="C53" t="s">
        <v>11</v>
      </c>
      <c r="D53" t="s">
        <v>23</v>
      </c>
      <c r="E53" t="s">
        <v>29</v>
      </c>
      <c r="F53" t="s">
        <v>20</v>
      </c>
      <c r="G53" s="4">
        <v>12</v>
      </c>
      <c r="H53" s="1">
        <v>46411</v>
      </c>
      <c r="I53" s="3" t="s">
        <v>15</v>
      </c>
      <c r="J53" s="4">
        <v>4</v>
      </c>
    </row>
    <row r="54" spans="1:10" x14ac:dyDescent="0.35">
      <c r="A54" s="2" t="s">
        <v>90</v>
      </c>
      <c r="B54" s="4">
        <v>56</v>
      </c>
      <c r="C54" t="s">
        <v>11</v>
      </c>
      <c r="D54" t="s">
        <v>18</v>
      </c>
      <c r="E54" t="s">
        <v>53</v>
      </c>
      <c r="F54" t="s">
        <v>20</v>
      </c>
      <c r="G54" s="4">
        <v>14</v>
      </c>
      <c r="H54" s="1">
        <v>21969</v>
      </c>
      <c r="I54" s="3" t="s">
        <v>15</v>
      </c>
      <c r="J54" s="4">
        <v>5</v>
      </c>
    </row>
    <row r="55" spans="1:10" x14ac:dyDescent="0.35">
      <c r="A55" s="2" t="s">
        <v>91</v>
      </c>
      <c r="B55" s="4">
        <v>54</v>
      </c>
      <c r="C55" t="s">
        <v>11</v>
      </c>
      <c r="D55" t="s">
        <v>39</v>
      </c>
      <c r="E55" t="s">
        <v>42</v>
      </c>
      <c r="F55" t="s">
        <v>20</v>
      </c>
      <c r="G55" s="4">
        <v>6</v>
      </c>
      <c r="H55" s="1">
        <v>34608</v>
      </c>
      <c r="I55" s="3" t="s">
        <v>21</v>
      </c>
      <c r="J55" s="4">
        <v>4</v>
      </c>
    </row>
    <row r="56" spans="1:10" x14ac:dyDescent="0.35">
      <c r="A56" s="2" t="s">
        <v>92</v>
      </c>
      <c r="B56" s="4">
        <v>73</v>
      </c>
      <c r="C56" t="s">
        <v>11</v>
      </c>
      <c r="D56" t="s">
        <v>28</v>
      </c>
      <c r="E56" t="s">
        <v>27</v>
      </c>
      <c r="F56" t="s">
        <v>30</v>
      </c>
      <c r="G56" s="4">
        <v>4</v>
      </c>
      <c r="H56" s="1">
        <v>91968</v>
      </c>
      <c r="I56" s="3" t="s">
        <v>21</v>
      </c>
      <c r="J56" s="4">
        <v>4</v>
      </c>
    </row>
    <row r="57" spans="1:10" x14ac:dyDescent="0.35">
      <c r="A57" s="2" t="s">
        <v>93</v>
      </c>
      <c r="B57" s="4">
        <v>7</v>
      </c>
      <c r="C57" t="s">
        <v>17</v>
      </c>
      <c r="D57" t="s">
        <v>26</v>
      </c>
      <c r="E57" t="s">
        <v>37</v>
      </c>
      <c r="F57" t="s">
        <v>14</v>
      </c>
      <c r="G57" s="4">
        <v>12</v>
      </c>
      <c r="H57" s="1">
        <v>42087</v>
      </c>
      <c r="I57" s="3" t="s">
        <v>15</v>
      </c>
      <c r="J57" s="4">
        <v>4</v>
      </c>
    </row>
    <row r="58" spans="1:10" x14ac:dyDescent="0.35">
      <c r="A58" s="2" t="s">
        <v>94</v>
      </c>
      <c r="B58" s="4">
        <v>60</v>
      </c>
      <c r="C58" t="s">
        <v>11</v>
      </c>
      <c r="D58" t="s">
        <v>18</v>
      </c>
      <c r="E58" t="s">
        <v>24</v>
      </c>
      <c r="F58" t="s">
        <v>30</v>
      </c>
      <c r="G58" s="4">
        <v>5</v>
      </c>
      <c r="H58" s="1">
        <v>25547</v>
      </c>
      <c r="I58" s="3" t="s">
        <v>21</v>
      </c>
      <c r="J58" s="4">
        <v>2</v>
      </c>
    </row>
    <row r="59" spans="1:10" x14ac:dyDescent="0.35">
      <c r="A59" s="2" t="s">
        <v>95</v>
      </c>
      <c r="B59" s="4">
        <v>76</v>
      </c>
      <c r="C59" t="s">
        <v>17</v>
      </c>
      <c r="D59" t="s">
        <v>49</v>
      </c>
      <c r="E59" t="s">
        <v>37</v>
      </c>
      <c r="F59" t="s">
        <v>30</v>
      </c>
      <c r="G59" s="4">
        <v>3</v>
      </c>
      <c r="H59" s="1">
        <v>95105</v>
      </c>
      <c r="I59" s="3" t="s">
        <v>15</v>
      </c>
      <c r="J59" s="4">
        <v>3</v>
      </c>
    </row>
    <row r="60" spans="1:10" x14ac:dyDescent="0.35">
      <c r="A60" s="2" t="s">
        <v>96</v>
      </c>
      <c r="B60" s="4">
        <v>85</v>
      </c>
      <c r="C60" t="s">
        <v>17</v>
      </c>
      <c r="D60" t="s">
        <v>28</v>
      </c>
      <c r="E60" t="s">
        <v>24</v>
      </c>
      <c r="F60" t="s">
        <v>30</v>
      </c>
      <c r="G60" s="4">
        <v>3</v>
      </c>
      <c r="H60" s="1">
        <v>83627</v>
      </c>
      <c r="I60" s="3" t="s">
        <v>15</v>
      </c>
      <c r="J60" s="4">
        <v>2</v>
      </c>
    </row>
    <row r="61" spans="1:10" x14ac:dyDescent="0.35">
      <c r="A61" s="2" t="s">
        <v>97</v>
      </c>
      <c r="B61" s="4">
        <v>54</v>
      </c>
      <c r="C61" t="s">
        <v>17</v>
      </c>
      <c r="D61" t="s">
        <v>26</v>
      </c>
      <c r="E61" t="s">
        <v>37</v>
      </c>
      <c r="F61" t="s">
        <v>30</v>
      </c>
      <c r="G61" s="4">
        <v>13</v>
      </c>
      <c r="H61" s="1">
        <v>15091</v>
      </c>
      <c r="I61" s="3" t="s">
        <v>15</v>
      </c>
      <c r="J61" s="4">
        <v>2</v>
      </c>
    </row>
    <row r="62" spans="1:10" x14ac:dyDescent="0.35">
      <c r="A62" s="2" t="s">
        <v>98</v>
      </c>
      <c r="B62" s="4">
        <v>27</v>
      </c>
      <c r="C62" t="s">
        <v>17</v>
      </c>
      <c r="D62" t="s">
        <v>23</v>
      </c>
      <c r="E62" t="s">
        <v>13</v>
      </c>
      <c r="F62" t="s">
        <v>20</v>
      </c>
      <c r="G62" s="4">
        <v>9</v>
      </c>
      <c r="H62" s="1">
        <v>16776</v>
      </c>
      <c r="I62" s="3" t="s">
        <v>15</v>
      </c>
      <c r="J62" s="4">
        <v>1</v>
      </c>
    </row>
    <row r="63" spans="1:10" x14ac:dyDescent="0.35">
      <c r="A63" s="2" t="s">
        <v>99</v>
      </c>
      <c r="B63" s="4">
        <v>21</v>
      </c>
      <c r="C63" t="s">
        <v>11</v>
      </c>
      <c r="D63" t="s">
        <v>28</v>
      </c>
      <c r="E63" t="s">
        <v>24</v>
      </c>
      <c r="F63" t="s">
        <v>20</v>
      </c>
      <c r="G63" s="4">
        <v>5</v>
      </c>
      <c r="H63" s="1">
        <v>90733</v>
      </c>
      <c r="I63" s="3" t="s">
        <v>15</v>
      </c>
      <c r="J63" s="4">
        <v>2</v>
      </c>
    </row>
    <row r="64" spans="1:10" x14ac:dyDescent="0.35">
      <c r="A64" s="2" t="s">
        <v>100</v>
      </c>
      <c r="B64" s="4">
        <v>50</v>
      </c>
      <c r="C64" t="s">
        <v>17</v>
      </c>
      <c r="D64" t="s">
        <v>28</v>
      </c>
      <c r="E64" t="s">
        <v>53</v>
      </c>
      <c r="F64" t="s">
        <v>30</v>
      </c>
      <c r="G64" s="4">
        <v>11</v>
      </c>
      <c r="H64" s="1">
        <v>87796</v>
      </c>
      <c r="I64" s="3" t="s">
        <v>21</v>
      </c>
      <c r="J64" s="4">
        <v>2</v>
      </c>
    </row>
    <row r="65" spans="1:10" x14ac:dyDescent="0.35">
      <c r="A65" s="2" t="s">
        <v>101</v>
      </c>
      <c r="B65" s="4">
        <v>57</v>
      </c>
      <c r="C65" t="s">
        <v>17</v>
      </c>
      <c r="D65" t="s">
        <v>41</v>
      </c>
      <c r="E65" t="s">
        <v>13</v>
      </c>
      <c r="F65" t="s">
        <v>14</v>
      </c>
      <c r="G65" s="4">
        <v>1</v>
      </c>
      <c r="H65" s="1">
        <v>65386</v>
      </c>
      <c r="I65" s="3" t="s">
        <v>21</v>
      </c>
      <c r="J65" s="4">
        <v>3</v>
      </c>
    </row>
    <row r="66" spans="1:10" x14ac:dyDescent="0.35">
      <c r="A66" s="2" t="s">
        <v>102</v>
      </c>
      <c r="B66" s="4">
        <v>78</v>
      </c>
      <c r="C66" t="s">
        <v>17</v>
      </c>
      <c r="D66" t="s">
        <v>26</v>
      </c>
      <c r="E66" t="s">
        <v>27</v>
      </c>
      <c r="F66" t="s">
        <v>30</v>
      </c>
      <c r="G66" s="4">
        <v>1</v>
      </c>
      <c r="H66" s="1">
        <v>23380</v>
      </c>
      <c r="I66" s="3" t="s">
        <v>21</v>
      </c>
      <c r="J66" s="4">
        <v>2</v>
      </c>
    </row>
    <row r="67" spans="1:10" x14ac:dyDescent="0.35">
      <c r="A67" s="2" t="s">
        <v>103</v>
      </c>
      <c r="B67" s="4">
        <v>69</v>
      </c>
      <c r="C67" t="s">
        <v>17</v>
      </c>
      <c r="D67" t="s">
        <v>33</v>
      </c>
      <c r="E67" t="s">
        <v>53</v>
      </c>
      <c r="F67" t="s">
        <v>30</v>
      </c>
      <c r="G67" s="4">
        <v>2</v>
      </c>
      <c r="H67" s="1">
        <v>94237</v>
      </c>
      <c r="I67" s="3" t="s">
        <v>15</v>
      </c>
      <c r="J67" s="4">
        <v>5</v>
      </c>
    </row>
    <row r="68" spans="1:10" x14ac:dyDescent="0.35">
      <c r="A68" s="2" t="s">
        <v>104</v>
      </c>
      <c r="B68" s="4">
        <v>43</v>
      </c>
      <c r="C68" t="s">
        <v>11</v>
      </c>
      <c r="D68" t="s">
        <v>23</v>
      </c>
      <c r="E68" t="s">
        <v>53</v>
      </c>
      <c r="F68" t="s">
        <v>14</v>
      </c>
      <c r="G68" s="4">
        <v>7</v>
      </c>
      <c r="H68" s="1">
        <v>61050</v>
      </c>
      <c r="I68" s="3" t="s">
        <v>21</v>
      </c>
      <c r="J68" s="4">
        <v>1</v>
      </c>
    </row>
    <row r="69" spans="1:10" x14ac:dyDescent="0.35">
      <c r="A69" s="2" t="s">
        <v>105</v>
      </c>
      <c r="B69" s="4">
        <v>18</v>
      </c>
      <c r="C69" t="s">
        <v>17</v>
      </c>
      <c r="D69" t="s">
        <v>26</v>
      </c>
      <c r="E69" t="s">
        <v>13</v>
      </c>
      <c r="F69" t="s">
        <v>30</v>
      </c>
      <c r="G69" s="4">
        <v>5</v>
      </c>
      <c r="H69" s="1">
        <v>52336</v>
      </c>
      <c r="I69" s="3" t="s">
        <v>21</v>
      </c>
      <c r="J69" s="4">
        <v>3</v>
      </c>
    </row>
    <row r="70" spans="1:10" x14ac:dyDescent="0.35">
      <c r="A70" s="2" t="s">
        <v>106</v>
      </c>
      <c r="B70" s="4">
        <v>31</v>
      </c>
      <c r="C70" t="s">
        <v>11</v>
      </c>
      <c r="D70" t="s">
        <v>23</v>
      </c>
      <c r="E70" t="s">
        <v>29</v>
      </c>
      <c r="F70" t="s">
        <v>14</v>
      </c>
      <c r="G70" s="4">
        <v>8</v>
      </c>
      <c r="H70" s="1">
        <v>13342</v>
      </c>
      <c r="I70" s="3" t="s">
        <v>21</v>
      </c>
      <c r="J70" s="4">
        <v>3</v>
      </c>
    </row>
    <row r="71" spans="1:10" x14ac:dyDescent="0.35">
      <c r="A71" s="2" t="s">
        <v>107</v>
      </c>
      <c r="B71" s="4">
        <v>25</v>
      </c>
      <c r="C71" t="s">
        <v>17</v>
      </c>
      <c r="D71" t="s">
        <v>41</v>
      </c>
      <c r="E71" t="s">
        <v>27</v>
      </c>
      <c r="F71" t="s">
        <v>20</v>
      </c>
      <c r="G71" s="4">
        <v>4</v>
      </c>
      <c r="H71" s="1">
        <v>68274</v>
      </c>
      <c r="I71" s="3" t="s">
        <v>21</v>
      </c>
      <c r="J71" s="4">
        <v>4</v>
      </c>
    </row>
    <row r="72" spans="1:10" x14ac:dyDescent="0.35">
      <c r="A72" s="2" t="s">
        <v>108</v>
      </c>
      <c r="B72" s="4">
        <v>43</v>
      </c>
      <c r="C72" t="s">
        <v>17</v>
      </c>
      <c r="D72" t="s">
        <v>12</v>
      </c>
      <c r="E72" t="s">
        <v>65</v>
      </c>
      <c r="F72" t="s">
        <v>30</v>
      </c>
      <c r="G72" s="4">
        <v>3</v>
      </c>
      <c r="H72" s="1">
        <v>62679</v>
      </c>
      <c r="I72" s="3" t="s">
        <v>15</v>
      </c>
      <c r="J72" s="4">
        <v>2</v>
      </c>
    </row>
    <row r="73" spans="1:10" x14ac:dyDescent="0.35">
      <c r="A73" s="2" t="s">
        <v>109</v>
      </c>
      <c r="B73" s="4">
        <v>20</v>
      </c>
      <c r="C73" t="s">
        <v>17</v>
      </c>
      <c r="D73" t="s">
        <v>33</v>
      </c>
      <c r="E73" t="s">
        <v>19</v>
      </c>
      <c r="F73" t="s">
        <v>20</v>
      </c>
      <c r="G73" s="4">
        <v>2</v>
      </c>
      <c r="H73" s="1">
        <v>97331</v>
      </c>
      <c r="I73" s="3" t="s">
        <v>21</v>
      </c>
      <c r="J73" s="4">
        <v>2</v>
      </c>
    </row>
    <row r="74" spans="1:10" x14ac:dyDescent="0.35">
      <c r="A74" s="2" t="s">
        <v>110</v>
      </c>
      <c r="B74" s="4">
        <v>38</v>
      </c>
      <c r="C74" t="s">
        <v>17</v>
      </c>
      <c r="D74" t="s">
        <v>18</v>
      </c>
      <c r="E74" t="s">
        <v>53</v>
      </c>
      <c r="F74" t="s">
        <v>20</v>
      </c>
      <c r="G74" s="4">
        <v>11</v>
      </c>
      <c r="H74" s="1">
        <v>12117</v>
      </c>
      <c r="I74" s="3" t="s">
        <v>21</v>
      </c>
      <c r="J74" s="4">
        <v>1</v>
      </c>
    </row>
    <row r="75" spans="1:10" x14ac:dyDescent="0.35">
      <c r="A75" s="2" t="s">
        <v>111</v>
      </c>
      <c r="B75" s="4">
        <v>32</v>
      </c>
      <c r="C75" t="s">
        <v>17</v>
      </c>
      <c r="D75" t="s">
        <v>33</v>
      </c>
      <c r="E75" t="s">
        <v>13</v>
      </c>
      <c r="F75" t="s">
        <v>20</v>
      </c>
      <c r="G75" s="4">
        <v>3</v>
      </c>
      <c r="H75" s="1">
        <v>88821</v>
      </c>
      <c r="I75" s="3" t="s">
        <v>15</v>
      </c>
      <c r="J75" s="4">
        <v>5</v>
      </c>
    </row>
    <row r="76" spans="1:10" x14ac:dyDescent="0.35">
      <c r="A76" s="2" t="s">
        <v>112</v>
      </c>
      <c r="B76" s="4">
        <v>8</v>
      </c>
      <c r="C76" t="s">
        <v>17</v>
      </c>
      <c r="D76" t="s">
        <v>18</v>
      </c>
      <c r="E76" t="s">
        <v>53</v>
      </c>
      <c r="F76" t="s">
        <v>20</v>
      </c>
      <c r="G76" s="4">
        <v>5</v>
      </c>
      <c r="H76" s="1">
        <v>70935</v>
      </c>
      <c r="I76" s="3" t="s">
        <v>15</v>
      </c>
      <c r="J76" s="4">
        <v>2</v>
      </c>
    </row>
    <row r="77" spans="1:10" x14ac:dyDescent="0.35">
      <c r="A77" s="2" t="s">
        <v>113</v>
      </c>
      <c r="B77" s="4">
        <v>28</v>
      </c>
      <c r="C77" t="s">
        <v>11</v>
      </c>
      <c r="D77" t="s">
        <v>28</v>
      </c>
      <c r="E77" t="s">
        <v>13</v>
      </c>
      <c r="F77" t="s">
        <v>20</v>
      </c>
      <c r="G77" s="4">
        <v>5</v>
      </c>
      <c r="H77" s="1">
        <v>54845</v>
      </c>
      <c r="I77" s="3" t="s">
        <v>15</v>
      </c>
      <c r="J77" s="4">
        <v>1</v>
      </c>
    </row>
    <row r="78" spans="1:10" x14ac:dyDescent="0.35">
      <c r="A78" s="2" t="s">
        <v>114</v>
      </c>
      <c r="B78" s="4">
        <v>25</v>
      </c>
      <c r="C78" t="s">
        <v>17</v>
      </c>
      <c r="D78" t="s">
        <v>39</v>
      </c>
      <c r="E78" t="s">
        <v>37</v>
      </c>
      <c r="F78" t="s">
        <v>20</v>
      </c>
      <c r="G78" s="4">
        <v>12</v>
      </c>
      <c r="H78" s="1">
        <v>71684</v>
      </c>
      <c r="I78" s="3" t="s">
        <v>15</v>
      </c>
      <c r="J78" s="4">
        <v>5</v>
      </c>
    </row>
    <row r="79" spans="1:10" x14ac:dyDescent="0.35">
      <c r="A79" s="2" t="s">
        <v>115</v>
      </c>
      <c r="B79" s="4">
        <v>23</v>
      </c>
      <c r="C79" t="s">
        <v>17</v>
      </c>
      <c r="D79" t="s">
        <v>36</v>
      </c>
      <c r="E79" t="s">
        <v>34</v>
      </c>
      <c r="F79" t="s">
        <v>20</v>
      </c>
      <c r="G79" s="4">
        <v>11</v>
      </c>
      <c r="H79" s="1">
        <v>30505</v>
      </c>
      <c r="I79" s="3" t="s">
        <v>15</v>
      </c>
      <c r="J79" s="4">
        <v>3</v>
      </c>
    </row>
    <row r="80" spans="1:10" x14ac:dyDescent="0.35">
      <c r="A80" s="2" t="s">
        <v>116</v>
      </c>
      <c r="B80" s="4">
        <v>59</v>
      </c>
      <c r="C80" t="s">
        <v>11</v>
      </c>
      <c r="D80" t="s">
        <v>26</v>
      </c>
      <c r="E80" t="s">
        <v>27</v>
      </c>
      <c r="F80" t="s">
        <v>20</v>
      </c>
      <c r="G80" s="4">
        <v>12</v>
      </c>
      <c r="H80" s="1">
        <v>91658</v>
      </c>
      <c r="I80" s="3" t="s">
        <v>15</v>
      </c>
      <c r="J80" s="4">
        <v>3</v>
      </c>
    </row>
    <row r="81" spans="1:10" x14ac:dyDescent="0.35">
      <c r="A81" s="2" t="s">
        <v>117</v>
      </c>
      <c r="B81" s="4">
        <v>31</v>
      </c>
      <c r="C81" t="s">
        <v>17</v>
      </c>
      <c r="D81" t="s">
        <v>49</v>
      </c>
      <c r="E81" t="s">
        <v>53</v>
      </c>
      <c r="F81" t="s">
        <v>20</v>
      </c>
      <c r="G81" s="4">
        <v>10</v>
      </c>
      <c r="H81" s="1">
        <v>5365</v>
      </c>
      <c r="I81" s="3" t="s">
        <v>15</v>
      </c>
      <c r="J81" s="4">
        <v>3</v>
      </c>
    </row>
    <row r="82" spans="1:10" x14ac:dyDescent="0.35">
      <c r="A82" s="2" t="s">
        <v>118</v>
      </c>
      <c r="B82" s="4">
        <v>62</v>
      </c>
      <c r="C82" t="s">
        <v>17</v>
      </c>
      <c r="D82" t="s">
        <v>36</v>
      </c>
      <c r="E82" t="s">
        <v>34</v>
      </c>
      <c r="F82" t="s">
        <v>30</v>
      </c>
      <c r="G82" s="4">
        <v>3</v>
      </c>
      <c r="H82" s="1">
        <v>73108</v>
      </c>
      <c r="I82" s="3" t="s">
        <v>21</v>
      </c>
      <c r="J82" s="4">
        <v>4</v>
      </c>
    </row>
    <row r="83" spans="1:10" x14ac:dyDescent="0.35">
      <c r="A83" s="2" t="s">
        <v>119</v>
      </c>
      <c r="B83" s="4">
        <v>13</v>
      </c>
      <c r="C83" t="s">
        <v>11</v>
      </c>
      <c r="D83" t="s">
        <v>28</v>
      </c>
      <c r="E83" t="s">
        <v>19</v>
      </c>
      <c r="F83" t="s">
        <v>30</v>
      </c>
      <c r="G83" s="4">
        <v>3</v>
      </c>
      <c r="H83" s="1">
        <v>44112</v>
      </c>
      <c r="I83" s="3" t="s">
        <v>15</v>
      </c>
      <c r="J83" s="4">
        <v>4</v>
      </c>
    </row>
    <row r="84" spans="1:10" x14ac:dyDescent="0.35">
      <c r="A84" s="2" t="s">
        <v>120</v>
      </c>
      <c r="B84" s="4">
        <v>27</v>
      </c>
      <c r="C84" t="s">
        <v>11</v>
      </c>
      <c r="D84" t="s">
        <v>23</v>
      </c>
      <c r="E84" t="s">
        <v>19</v>
      </c>
      <c r="F84" t="s">
        <v>30</v>
      </c>
      <c r="G84" s="4">
        <v>7</v>
      </c>
      <c r="H84" s="1">
        <v>84777</v>
      </c>
      <c r="I84" s="3" t="s">
        <v>15</v>
      </c>
      <c r="J84" s="4">
        <v>1</v>
      </c>
    </row>
    <row r="85" spans="1:10" x14ac:dyDescent="0.35">
      <c r="A85" s="2" t="s">
        <v>121</v>
      </c>
      <c r="B85" s="4">
        <v>79</v>
      </c>
      <c r="C85" t="s">
        <v>11</v>
      </c>
      <c r="D85" t="s">
        <v>12</v>
      </c>
      <c r="E85" t="s">
        <v>29</v>
      </c>
      <c r="F85" t="s">
        <v>14</v>
      </c>
      <c r="G85" s="4">
        <v>14</v>
      </c>
      <c r="H85" s="1">
        <v>93112</v>
      </c>
      <c r="I85" s="3" t="s">
        <v>15</v>
      </c>
      <c r="J85" s="4">
        <v>1</v>
      </c>
    </row>
    <row r="86" spans="1:10" x14ac:dyDescent="0.35">
      <c r="A86" s="2" t="s">
        <v>122</v>
      </c>
      <c r="B86" s="4">
        <v>2</v>
      </c>
      <c r="C86" t="s">
        <v>11</v>
      </c>
      <c r="D86" t="s">
        <v>26</v>
      </c>
      <c r="E86" t="s">
        <v>42</v>
      </c>
      <c r="F86" t="s">
        <v>14</v>
      </c>
      <c r="G86" s="4">
        <v>11</v>
      </c>
      <c r="H86" s="1">
        <v>13704</v>
      </c>
      <c r="I86" s="3" t="s">
        <v>15</v>
      </c>
      <c r="J86" s="4">
        <v>1</v>
      </c>
    </row>
    <row r="87" spans="1:10" x14ac:dyDescent="0.35">
      <c r="A87" s="2" t="s">
        <v>123</v>
      </c>
      <c r="B87" s="4">
        <v>67</v>
      </c>
      <c r="C87" t="s">
        <v>17</v>
      </c>
      <c r="D87" t="s">
        <v>49</v>
      </c>
      <c r="E87" t="s">
        <v>24</v>
      </c>
      <c r="F87" t="s">
        <v>20</v>
      </c>
      <c r="G87" s="4">
        <v>7</v>
      </c>
      <c r="H87" s="1">
        <v>30272</v>
      </c>
      <c r="I87" s="3" t="s">
        <v>21</v>
      </c>
      <c r="J87" s="4">
        <v>4</v>
      </c>
    </row>
    <row r="88" spans="1:10" x14ac:dyDescent="0.35">
      <c r="A88" s="2" t="s">
        <v>124</v>
      </c>
      <c r="B88" s="4">
        <v>15</v>
      </c>
      <c r="C88" t="s">
        <v>17</v>
      </c>
      <c r="D88" t="s">
        <v>28</v>
      </c>
      <c r="E88" t="s">
        <v>37</v>
      </c>
      <c r="F88" t="s">
        <v>30</v>
      </c>
      <c r="G88" s="4">
        <v>2</v>
      </c>
      <c r="H88" s="1">
        <v>59803</v>
      </c>
      <c r="I88" s="3" t="s">
        <v>21</v>
      </c>
      <c r="J88" s="4">
        <v>2</v>
      </c>
    </row>
    <row r="89" spans="1:10" x14ac:dyDescent="0.35">
      <c r="A89" s="2" t="s">
        <v>125</v>
      </c>
      <c r="B89" s="4">
        <v>51</v>
      </c>
      <c r="C89" t="s">
        <v>11</v>
      </c>
      <c r="D89" t="s">
        <v>12</v>
      </c>
      <c r="E89" t="s">
        <v>53</v>
      </c>
      <c r="F89" t="s">
        <v>14</v>
      </c>
      <c r="G89" s="4">
        <v>12</v>
      </c>
      <c r="H89" s="1">
        <v>9461</v>
      </c>
      <c r="I89" s="3" t="s">
        <v>21</v>
      </c>
      <c r="J89" s="4">
        <v>2</v>
      </c>
    </row>
    <row r="90" spans="1:10" x14ac:dyDescent="0.35">
      <c r="A90" s="2" t="s">
        <v>126</v>
      </c>
      <c r="B90" s="4">
        <v>18</v>
      </c>
      <c r="C90" t="s">
        <v>11</v>
      </c>
      <c r="D90" t="s">
        <v>33</v>
      </c>
      <c r="E90" t="s">
        <v>13</v>
      </c>
      <c r="F90" t="s">
        <v>30</v>
      </c>
      <c r="G90" s="4">
        <v>4</v>
      </c>
      <c r="H90" s="1">
        <v>61393</v>
      </c>
      <c r="I90" s="3" t="s">
        <v>15</v>
      </c>
      <c r="J90" s="4">
        <v>4</v>
      </c>
    </row>
    <row r="91" spans="1:10" x14ac:dyDescent="0.35">
      <c r="A91" s="2" t="s">
        <v>127</v>
      </c>
      <c r="B91" s="4">
        <v>61</v>
      </c>
      <c r="C91" t="s">
        <v>11</v>
      </c>
      <c r="D91" t="s">
        <v>49</v>
      </c>
      <c r="E91" t="s">
        <v>53</v>
      </c>
      <c r="F91" t="s">
        <v>30</v>
      </c>
      <c r="G91" s="4">
        <v>10</v>
      </c>
      <c r="H91" s="1">
        <v>76761</v>
      </c>
      <c r="I91" s="3" t="s">
        <v>15</v>
      </c>
      <c r="J91" s="4">
        <v>5</v>
      </c>
    </row>
    <row r="92" spans="1:10" x14ac:dyDescent="0.35">
      <c r="A92" s="2" t="s">
        <v>128</v>
      </c>
      <c r="B92" s="4">
        <v>11</v>
      </c>
      <c r="C92" t="s">
        <v>11</v>
      </c>
      <c r="D92" t="s">
        <v>18</v>
      </c>
      <c r="E92" t="s">
        <v>65</v>
      </c>
      <c r="F92" t="s">
        <v>14</v>
      </c>
      <c r="G92" s="4">
        <v>2</v>
      </c>
      <c r="H92" s="1">
        <v>74112</v>
      </c>
      <c r="I92" s="3" t="s">
        <v>15</v>
      </c>
      <c r="J92" s="4">
        <v>3</v>
      </c>
    </row>
    <row r="93" spans="1:10" x14ac:dyDescent="0.35">
      <c r="A93" s="2" t="s">
        <v>129</v>
      </c>
      <c r="B93" s="4">
        <v>25</v>
      </c>
      <c r="C93" t="s">
        <v>17</v>
      </c>
      <c r="D93" t="s">
        <v>39</v>
      </c>
      <c r="E93" t="s">
        <v>53</v>
      </c>
      <c r="F93" t="s">
        <v>14</v>
      </c>
      <c r="G93" s="4">
        <v>2</v>
      </c>
      <c r="H93" s="1">
        <v>94773</v>
      </c>
      <c r="I93" s="3" t="s">
        <v>21</v>
      </c>
      <c r="J93" s="4">
        <v>5</v>
      </c>
    </row>
    <row r="94" spans="1:10" x14ac:dyDescent="0.35">
      <c r="A94" s="2" t="s">
        <v>130</v>
      </c>
      <c r="B94" s="4">
        <v>26</v>
      </c>
      <c r="C94" t="s">
        <v>11</v>
      </c>
      <c r="D94" t="s">
        <v>12</v>
      </c>
      <c r="E94" t="s">
        <v>24</v>
      </c>
      <c r="F94" t="s">
        <v>30</v>
      </c>
      <c r="G94" s="4">
        <v>13</v>
      </c>
      <c r="H94" s="1">
        <v>6128</v>
      </c>
      <c r="I94" s="3" t="s">
        <v>21</v>
      </c>
      <c r="J94" s="4">
        <v>3</v>
      </c>
    </row>
    <row r="95" spans="1:10" x14ac:dyDescent="0.35">
      <c r="A95" s="2" t="s">
        <v>131</v>
      </c>
      <c r="B95" s="4">
        <v>12</v>
      </c>
      <c r="C95" t="s">
        <v>11</v>
      </c>
      <c r="D95" t="s">
        <v>26</v>
      </c>
      <c r="E95" t="s">
        <v>29</v>
      </c>
      <c r="F95" t="s">
        <v>20</v>
      </c>
      <c r="G95" s="4">
        <v>2</v>
      </c>
      <c r="H95" s="1">
        <v>87010</v>
      </c>
      <c r="I95" s="3" t="s">
        <v>21</v>
      </c>
      <c r="J95" s="4">
        <v>3</v>
      </c>
    </row>
    <row r="96" spans="1:10" x14ac:dyDescent="0.35">
      <c r="A96" s="2" t="s">
        <v>132</v>
      </c>
      <c r="B96" s="4">
        <v>17</v>
      </c>
      <c r="C96" t="s">
        <v>11</v>
      </c>
      <c r="D96" t="s">
        <v>36</v>
      </c>
      <c r="E96" t="s">
        <v>34</v>
      </c>
      <c r="F96" t="s">
        <v>20</v>
      </c>
      <c r="G96" s="4">
        <v>14</v>
      </c>
      <c r="H96" s="1">
        <v>8628</v>
      </c>
      <c r="I96" s="3" t="s">
        <v>21</v>
      </c>
      <c r="J96" s="4">
        <v>3</v>
      </c>
    </row>
    <row r="97" spans="1:10" x14ac:dyDescent="0.35">
      <c r="A97" s="2" t="s">
        <v>133</v>
      </c>
      <c r="B97" s="4">
        <v>9</v>
      </c>
      <c r="C97" t="s">
        <v>17</v>
      </c>
      <c r="D97" t="s">
        <v>41</v>
      </c>
      <c r="E97" t="s">
        <v>27</v>
      </c>
      <c r="F97" t="s">
        <v>20</v>
      </c>
      <c r="G97" s="4">
        <v>15</v>
      </c>
      <c r="H97" s="1">
        <v>60503</v>
      </c>
      <c r="I97" s="3" t="s">
        <v>15</v>
      </c>
      <c r="J97" s="4">
        <v>1</v>
      </c>
    </row>
    <row r="98" spans="1:10" x14ac:dyDescent="0.35">
      <c r="A98" s="2" t="s">
        <v>134</v>
      </c>
      <c r="B98" s="4">
        <v>60</v>
      </c>
      <c r="C98" t="s">
        <v>11</v>
      </c>
      <c r="D98" t="s">
        <v>12</v>
      </c>
      <c r="E98" t="s">
        <v>13</v>
      </c>
      <c r="F98" t="s">
        <v>20</v>
      </c>
      <c r="G98" s="4">
        <v>4</v>
      </c>
      <c r="H98" s="1">
        <v>51429</v>
      </c>
      <c r="I98" s="3" t="s">
        <v>21</v>
      </c>
      <c r="J98" s="4">
        <v>4</v>
      </c>
    </row>
    <row r="99" spans="1:10" x14ac:dyDescent="0.35">
      <c r="A99" s="2" t="s">
        <v>135</v>
      </c>
      <c r="B99" s="4">
        <v>47</v>
      </c>
      <c r="C99" t="s">
        <v>17</v>
      </c>
      <c r="D99" t="s">
        <v>28</v>
      </c>
      <c r="E99" t="s">
        <v>34</v>
      </c>
      <c r="F99" t="s">
        <v>14</v>
      </c>
      <c r="G99" s="4">
        <v>12</v>
      </c>
      <c r="H99" s="1">
        <v>67390</v>
      </c>
      <c r="I99" s="3" t="s">
        <v>15</v>
      </c>
      <c r="J99" s="4">
        <v>1</v>
      </c>
    </row>
    <row r="100" spans="1:10" x14ac:dyDescent="0.35">
      <c r="A100" s="2" t="s">
        <v>136</v>
      </c>
      <c r="B100" s="4">
        <v>61</v>
      </c>
      <c r="C100" t="s">
        <v>17</v>
      </c>
      <c r="D100" t="s">
        <v>12</v>
      </c>
      <c r="E100" t="s">
        <v>27</v>
      </c>
      <c r="F100" t="s">
        <v>20</v>
      </c>
      <c r="G100" s="4">
        <v>10</v>
      </c>
      <c r="H100" s="1">
        <v>58244</v>
      </c>
      <c r="I100" s="3" t="s">
        <v>21</v>
      </c>
      <c r="J100" s="4">
        <v>3</v>
      </c>
    </row>
    <row r="101" spans="1:10" x14ac:dyDescent="0.35">
      <c r="A101" s="2" t="s">
        <v>137</v>
      </c>
      <c r="B101" s="4">
        <v>74</v>
      </c>
      <c r="C101" t="s">
        <v>11</v>
      </c>
      <c r="D101" t="s">
        <v>49</v>
      </c>
      <c r="E101" t="s">
        <v>19</v>
      </c>
      <c r="F101" t="s">
        <v>20</v>
      </c>
      <c r="G101" s="4">
        <v>4</v>
      </c>
      <c r="H101" s="1">
        <v>60691</v>
      </c>
      <c r="I101" s="3" t="s">
        <v>15</v>
      </c>
      <c r="J101" s="4">
        <v>5</v>
      </c>
    </row>
    <row r="102" spans="1:10" x14ac:dyDescent="0.35">
      <c r="A102" s="2" t="s">
        <v>138</v>
      </c>
      <c r="B102" s="4">
        <v>83</v>
      </c>
      <c r="C102" t="s">
        <v>17</v>
      </c>
      <c r="D102" t="s">
        <v>12</v>
      </c>
      <c r="E102" t="s">
        <v>65</v>
      </c>
      <c r="F102" t="s">
        <v>14</v>
      </c>
      <c r="G102" s="4">
        <v>4</v>
      </c>
      <c r="H102" s="1">
        <v>16174</v>
      </c>
      <c r="I102" s="3" t="s">
        <v>15</v>
      </c>
      <c r="J102" s="4">
        <v>2</v>
      </c>
    </row>
    <row r="103" spans="1:10" x14ac:dyDescent="0.35">
      <c r="A103" s="2" t="s">
        <v>139</v>
      </c>
      <c r="B103" s="4">
        <v>24</v>
      </c>
      <c r="C103" t="s">
        <v>17</v>
      </c>
      <c r="D103" t="s">
        <v>39</v>
      </c>
      <c r="E103" t="s">
        <v>13</v>
      </c>
      <c r="F103" t="s">
        <v>14</v>
      </c>
      <c r="G103" s="4">
        <v>3</v>
      </c>
      <c r="H103" s="1">
        <v>11115</v>
      </c>
      <c r="I103" s="3" t="s">
        <v>21</v>
      </c>
      <c r="J103" s="4">
        <v>5</v>
      </c>
    </row>
    <row r="104" spans="1:10" x14ac:dyDescent="0.35">
      <c r="A104" s="2" t="s">
        <v>140</v>
      </c>
      <c r="B104" s="4">
        <v>60</v>
      </c>
      <c r="C104" t="s">
        <v>11</v>
      </c>
      <c r="D104" t="s">
        <v>36</v>
      </c>
      <c r="E104" t="s">
        <v>29</v>
      </c>
      <c r="F104" t="s">
        <v>20</v>
      </c>
      <c r="G104" s="4">
        <v>6</v>
      </c>
      <c r="H104" s="1">
        <v>21684</v>
      </c>
      <c r="I104" s="3" t="s">
        <v>15</v>
      </c>
      <c r="J104" s="4">
        <v>3</v>
      </c>
    </row>
    <row r="105" spans="1:10" x14ac:dyDescent="0.35">
      <c r="A105" s="2" t="s">
        <v>141</v>
      </c>
      <c r="B105" s="4">
        <v>23</v>
      </c>
      <c r="C105" t="s">
        <v>17</v>
      </c>
      <c r="D105" t="s">
        <v>39</v>
      </c>
      <c r="E105" t="s">
        <v>42</v>
      </c>
      <c r="F105" t="s">
        <v>20</v>
      </c>
      <c r="G105" s="4">
        <v>9</v>
      </c>
      <c r="H105" s="1">
        <v>38315</v>
      </c>
      <c r="I105" s="3" t="s">
        <v>21</v>
      </c>
      <c r="J105" s="4">
        <v>3</v>
      </c>
    </row>
    <row r="106" spans="1:10" x14ac:dyDescent="0.35">
      <c r="A106" s="2" t="s">
        <v>142</v>
      </c>
      <c r="B106" s="4">
        <v>15</v>
      </c>
      <c r="C106" t="s">
        <v>17</v>
      </c>
      <c r="D106" t="s">
        <v>36</v>
      </c>
      <c r="E106" t="s">
        <v>13</v>
      </c>
      <c r="F106" t="s">
        <v>30</v>
      </c>
      <c r="G106" s="4">
        <v>7</v>
      </c>
      <c r="H106" s="1">
        <v>7527</v>
      </c>
      <c r="I106" s="3" t="s">
        <v>21</v>
      </c>
      <c r="J106" s="4">
        <v>2</v>
      </c>
    </row>
    <row r="107" spans="1:10" x14ac:dyDescent="0.35">
      <c r="A107" s="2" t="s">
        <v>143</v>
      </c>
      <c r="B107" s="4">
        <v>81</v>
      </c>
      <c r="C107" t="s">
        <v>17</v>
      </c>
      <c r="D107" t="s">
        <v>12</v>
      </c>
      <c r="E107" t="s">
        <v>27</v>
      </c>
      <c r="F107" t="s">
        <v>30</v>
      </c>
      <c r="G107" s="4">
        <v>13</v>
      </c>
      <c r="H107" s="1">
        <v>68691</v>
      </c>
      <c r="I107" s="3" t="s">
        <v>21</v>
      </c>
      <c r="J107" s="4">
        <v>2</v>
      </c>
    </row>
    <row r="108" spans="1:10" x14ac:dyDescent="0.35">
      <c r="A108" s="2" t="s">
        <v>144</v>
      </c>
      <c r="B108" s="4">
        <v>46</v>
      </c>
      <c r="C108" t="s">
        <v>17</v>
      </c>
      <c r="D108" t="s">
        <v>23</v>
      </c>
      <c r="E108" t="s">
        <v>19</v>
      </c>
      <c r="F108" t="s">
        <v>14</v>
      </c>
      <c r="G108" s="4">
        <v>3</v>
      </c>
      <c r="H108" s="1">
        <v>69812</v>
      </c>
      <c r="I108" s="3" t="s">
        <v>15</v>
      </c>
      <c r="J108" s="4">
        <v>4</v>
      </c>
    </row>
    <row r="109" spans="1:10" x14ac:dyDescent="0.35">
      <c r="A109" s="2" t="s">
        <v>145</v>
      </c>
      <c r="B109" s="4">
        <v>39</v>
      </c>
      <c r="C109" t="s">
        <v>17</v>
      </c>
      <c r="D109" t="s">
        <v>41</v>
      </c>
      <c r="E109" t="s">
        <v>34</v>
      </c>
      <c r="F109" t="s">
        <v>14</v>
      </c>
      <c r="G109" s="4">
        <v>5</v>
      </c>
      <c r="H109" s="1">
        <v>99741</v>
      </c>
      <c r="I109" s="3" t="s">
        <v>21</v>
      </c>
      <c r="J109" s="4">
        <v>1</v>
      </c>
    </row>
    <row r="110" spans="1:10" x14ac:dyDescent="0.35">
      <c r="A110" s="2" t="s">
        <v>146</v>
      </c>
      <c r="B110" s="4">
        <v>23</v>
      </c>
      <c r="C110" t="s">
        <v>17</v>
      </c>
      <c r="D110" t="s">
        <v>39</v>
      </c>
      <c r="E110" t="s">
        <v>27</v>
      </c>
      <c r="F110" t="s">
        <v>30</v>
      </c>
      <c r="G110" s="4">
        <v>11</v>
      </c>
      <c r="H110" s="1">
        <v>49544</v>
      </c>
      <c r="I110" s="3" t="s">
        <v>15</v>
      </c>
      <c r="J110" s="4">
        <v>3</v>
      </c>
    </row>
    <row r="111" spans="1:10" x14ac:dyDescent="0.35">
      <c r="A111" s="2" t="s">
        <v>147</v>
      </c>
      <c r="B111" s="4">
        <v>59</v>
      </c>
      <c r="C111" t="s">
        <v>17</v>
      </c>
      <c r="D111" t="s">
        <v>18</v>
      </c>
      <c r="E111" t="s">
        <v>19</v>
      </c>
      <c r="F111" t="s">
        <v>30</v>
      </c>
      <c r="G111" s="4">
        <v>2</v>
      </c>
      <c r="H111" s="1">
        <v>7032</v>
      </c>
      <c r="I111" s="3" t="s">
        <v>15</v>
      </c>
      <c r="J111" s="4">
        <v>1</v>
      </c>
    </row>
    <row r="112" spans="1:10" x14ac:dyDescent="0.35">
      <c r="A112" s="2" t="s">
        <v>148</v>
      </c>
      <c r="B112" s="4">
        <v>51</v>
      </c>
      <c r="C112" t="s">
        <v>17</v>
      </c>
      <c r="D112" t="s">
        <v>33</v>
      </c>
      <c r="E112" t="s">
        <v>19</v>
      </c>
      <c r="F112" t="s">
        <v>20</v>
      </c>
      <c r="G112" s="4">
        <v>9</v>
      </c>
      <c r="H112" s="1">
        <v>7228</v>
      </c>
      <c r="I112" s="3" t="s">
        <v>15</v>
      </c>
      <c r="J112" s="4">
        <v>3</v>
      </c>
    </row>
    <row r="113" spans="1:10" x14ac:dyDescent="0.35">
      <c r="A113" s="2" t="s">
        <v>149</v>
      </c>
      <c r="B113" s="4">
        <v>45</v>
      </c>
      <c r="C113" t="s">
        <v>17</v>
      </c>
      <c r="D113" t="s">
        <v>41</v>
      </c>
      <c r="E113" t="s">
        <v>13</v>
      </c>
      <c r="F113" t="s">
        <v>14</v>
      </c>
      <c r="G113" s="4">
        <v>14</v>
      </c>
      <c r="H113" s="1">
        <v>45532</v>
      </c>
      <c r="I113" s="3" t="s">
        <v>15</v>
      </c>
      <c r="J113" s="4">
        <v>4</v>
      </c>
    </row>
    <row r="114" spans="1:10" x14ac:dyDescent="0.35">
      <c r="A114" s="2" t="s">
        <v>150</v>
      </c>
      <c r="B114" s="4">
        <v>42</v>
      </c>
      <c r="C114" t="s">
        <v>11</v>
      </c>
      <c r="D114" t="s">
        <v>12</v>
      </c>
      <c r="E114" t="s">
        <v>27</v>
      </c>
      <c r="F114" t="s">
        <v>20</v>
      </c>
      <c r="G114" s="4">
        <v>1</v>
      </c>
      <c r="H114" s="1">
        <v>11230</v>
      </c>
      <c r="I114" s="3" t="s">
        <v>21</v>
      </c>
      <c r="J114" s="4">
        <v>5</v>
      </c>
    </row>
    <row r="115" spans="1:10" x14ac:dyDescent="0.35">
      <c r="A115" s="2" t="s">
        <v>151</v>
      </c>
      <c r="B115" s="4">
        <v>42</v>
      </c>
      <c r="C115" t="s">
        <v>11</v>
      </c>
      <c r="D115" t="s">
        <v>39</v>
      </c>
      <c r="E115" t="s">
        <v>42</v>
      </c>
      <c r="F115" t="s">
        <v>14</v>
      </c>
      <c r="G115" s="4">
        <v>4</v>
      </c>
      <c r="H115" s="1">
        <v>73770</v>
      </c>
      <c r="I115" s="3" t="s">
        <v>15</v>
      </c>
      <c r="J115" s="4">
        <v>1</v>
      </c>
    </row>
    <row r="116" spans="1:10" x14ac:dyDescent="0.35">
      <c r="A116" s="2" t="s">
        <v>152</v>
      </c>
      <c r="B116" s="4">
        <v>66</v>
      </c>
      <c r="C116" t="s">
        <v>11</v>
      </c>
      <c r="D116" t="s">
        <v>49</v>
      </c>
      <c r="E116" t="s">
        <v>37</v>
      </c>
      <c r="F116" t="s">
        <v>14</v>
      </c>
      <c r="G116" s="4">
        <v>12</v>
      </c>
      <c r="H116" s="1">
        <v>73549</v>
      </c>
      <c r="I116" s="3" t="s">
        <v>15</v>
      </c>
      <c r="J116" s="4">
        <v>4</v>
      </c>
    </row>
    <row r="117" spans="1:10" x14ac:dyDescent="0.35">
      <c r="A117" s="2" t="s">
        <v>153</v>
      </c>
      <c r="B117" s="4">
        <v>45</v>
      </c>
      <c r="C117" t="s">
        <v>17</v>
      </c>
      <c r="D117" t="s">
        <v>49</v>
      </c>
      <c r="E117" t="s">
        <v>65</v>
      </c>
      <c r="F117" t="s">
        <v>30</v>
      </c>
      <c r="G117" s="4">
        <v>2</v>
      </c>
      <c r="H117" s="1">
        <v>59014</v>
      </c>
      <c r="I117" s="3" t="s">
        <v>21</v>
      </c>
      <c r="J117" s="4">
        <v>1</v>
      </c>
    </row>
    <row r="118" spans="1:10" x14ac:dyDescent="0.35">
      <c r="A118" s="2" t="s">
        <v>154</v>
      </c>
      <c r="B118" s="4">
        <v>25</v>
      </c>
      <c r="C118" t="s">
        <v>17</v>
      </c>
      <c r="D118" t="s">
        <v>49</v>
      </c>
      <c r="E118" t="s">
        <v>42</v>
      </c>
      <c r="F118" t="s">
        <v>30</v>
      </c>
      <c r="G118" s="4">
        <v>6</v>
      </c>
      <c r="H118" s="1">
        <v>80062</v>
      </c>
      <c r="I118" s="3" t="s">
        <v>15</v>
      </c>
      <c r="J118" s="4">
        <v>3</v>
      </c>
    </row>
    <row r="119" spans="1:10" x14ac:dyDescent="0.35">
      <c r="A119" s="2" t="s">
        <v>155</v>
      </c>
      <c r="B119" s="4">
        <v>82</v>
      </c>
      <c r="C119" t="s">
        <v>11</v>
      </c>
      <c r="D119" t="s">
        <v>41</v>
      </c>
      <c r="E119" t="s">
        <v>27</v>
      </c>
      <c r="F119" t="s">
        <v>30</v>
      </c>
      <c r="G119" s="4">
        <v>9</v>
      </c>
      <c r="H119" s="1">
        <v>55001</v>
      </c>
      <c r="I119" s="3" t="s">
        <v>21</v>
      </c>
      <c r="J119" s="4">
        <v>3</v>
      </c>
    </row>
    <row r="120" spans="1:10" x14ac:dyDescent="0.35">
      <c r="A120" s="2" t="s">
        <v>156</v>
      </c>
      <c r="B120" s="4">
        <v>45</v>
      </c>
      <c r="C120" t="s">
        <v>11</v>
      </c>
      <c r="D120" t="s">
        <v>36</v>
      </c>
      <c r="E120" t="s">
        <v>42</v>
      </c>
      <c r="F120" t="s">
        <v>20</v>
      </c>
      <c r="G120" s="4">
        <v>4</v>
      </c>
      <c r="H120" s="1">
        <v>64480</v>
      </c>
      <c r="I120" s="3" t="s">
        <v>15</v>
      </c>
      <c r="J120" s="4">
        <v>2</v>
      </c>
    </row>
    <row r="121" spans="1:10" x14ac:dyDescent="0.35">
      <c r="A121" s="2" t="s">
        <v>157</v>
      </c>
      <c r="B121" s="4">
        <v>50</v>
      </c>
      <c r="C121" t="s">
        <v>17</v>
      </c>
      <c r="D121" t="s">
        <v>23</v>
      </c>
      <c r="E121" t="s">
        <v>29</v>
      </c>
      <c r="F121" t="s">
        <v>20</v>
      </c>
      <c r="G121" s="4">
        <v>2</v>
      </c>
      <c r="H121" s="1">
        <v>48094</v>
      </c>
      <c r="I121" s="3" t="s">
        <v>15</v>
      </c>
      <c r="J121" s="4">
        <v>5</v>
      </c>
    </row>
    <row r="122" spans="1:10" x14ac:dyDescent="0.35">
      <c r="A122" s="2" t="s">
        <v>158</v>
      </c>
      <c r="B122" s="4">
        <v>83</v>
      </c>
      <c r="C122" t="s">
        <v>11</v>
      </c>
      <c r="D122" t="s">
        <v>28</v>
      </c>
      <c r="E122" t="s">
        <v>27</v>
      </c>
      <c r="F122" t="s">
        <v>14</v>
      </c>
      <c r="G122" s="4">
        <v>14</v>
      </c>
      <c r="H122" s="1">
        <v>65912</v>
      </c>
      <c r="I122" s="3" t="s">
        <v>21</v>
      </c>
      <c r="J122" s="4">
        <v>1</v>
      </c>
    </row>
    <row r="123" spans="1:10" x14ac:dyDescent="0.35">
      <c r="A123" s="2" t="s">
        <v>159</v>
      </c>
      <c r="B123" s="4">
        <v>5</v>
      </c>
      <c r="C123" t="s">
        <v>11</v>
      </c>
      <c r="D123" t="s">
        <v>33</v>
      </c>
      <c r="E123" t="s">
        <v>24</v>
      </c>
      <c r="F123" t="s">
        <v>30</v>
      </c>
      <c r="G123" s="4">
        <v>8</v>
      </c>
      <c r="H123" s="1">
        <v>15317</v>
      </c>
      <c r="I123" s="3" t="s">
        <v>15</v>
      </c>
      <c r="J123" s="4">
        <v>3</v>
      </c>
    </row>
    <row r="124" spans="1:10" x14ac:dyDescent="0.35">
      <c r="A124" s="2" t="s">
        <v>160</v>
      </c>
      <c r="B124" s="4">
        <v>19</v>
      </c>
      <c r="C124" t="s">
        <v>11</v>
      </c>
      <c r="D124" t="s">
        <v>28</v>
      </c>
      <c r="E124" t="s">
        <v>34</v>
      </c>
      <c r="F124" t="s">
        <v>20</v>
      </c>
      <c r="G124" s="4">
        <v>8</v>
      </c>
      <c r="H124" s="1">
        <v>26532</v>
      </c>
      <c r="I124" s="3" t="s">
        <v>15</v>
      </c>
      <c r="J124" s="4">
        <v>3</v>
      </c>
    </row>
    <row r="125" spans="1:10" x14ac:dyDescent="0.35">
      <c r="A125" s="2" t="s">
        <v>161</v>
      </c>
      <c r="B125" s="4">
        <v>26</v>
      </c>
      <c r="C125" t="s">
        <v>11</v>
      </c>
      <c r="D125" t="s">
        <v>41</v>
      </c>
      <c r="E125" t="s">
        <v>37</v>
      </c>
      <c r="F125" t="s">
        <v>14</v>
      </c>
      <c r="G125" s="4">
        <v>8</v>
      </c>
      <c r="H125" s="1">
        <v>63346</v>
      </c>
      <c r="I125" s="3" t="s">
        <v>15</v>
      </c>
      <c r="J125" s="4">
        <v>2</v>
      </c>
    </row>
    <row r="126" spans="1:10" x14ac:dyDescent="0.35">
      <c r="A126" s="2" t="s">
        <v>162</v>
      </c>
      <c r="B126" s="4">
        <v>43</v>
      </c>
      <c r="C126" t="s">
        <v>11</v>
      </c>
      <c r="D126" t="s">
        <v>41</v>
      </c>
      <c r="E126" t="s">
        <v>42</v>
      </c>
      <c r="F126" t="s">
        <v>14</v>
      </c>
      <c r="G126" s="4">
        <v>7</v>
      </c>
      <c r="H126" s="1">
        <v>59605</v>
      </c>
      <c r="I126" s="3" t="s">
        <v>21</v>
      </c>
      <c r="J126" s="4">
        <v>5</v>
      </c>
    </row>
    <row r="127" spans="1:10" x14ac:dyDescent="0.35">
      <c r="A127" s="2" t="s">
        <v>163</v>
      </c>
      <c r="B127" s="4">
        <v>41</v>
      </c>
      <c r="C127" t="s">
        <v>11</v>
      </c>
      <c r="D127" t="s">
        <v>36</v>
      </c>
      <c r="E127" t="s">
        <v>24</v>
      </c>
      <c r="F127" t="s">
        <v>30</v>
      </c>
      <c r="G127" s="4">
        <v>5</v>
      </c>
      <c r="H127" s="1">
        <v>84472</v>
      </c>
      <c r="I127" s="3" t="s">
        <v>15</v>
      </c>
      <c r="J127" s="4">
        <v>1</v>
      </c>
    </row>
    <row r="128" spans="1:10" x14ac:dyDescent="0.35">
      <c r="A128" s="2" t="s">
        <v>164</v>
      </c>
      <c r="B128" s="4">
        <v>62</v>
      </c>
      <c r="C128" t="s">
        <v>11</v>
      </c>
      <c r="D128" t="s">
        <v>18</v>
      </c>
      <c r="E128" t="s">
        <v>65</v>
      </c>
      <c r="F128" t="s">
        <v>20</v>
      </c>
      <c r="G128" s="4">
        <v>4</v>
      </c>
      <c r="H128" s="1">
        <v>10773</v>
      </c>
      <c r="I128" s="3" t="s">
        <v>15</v>
      </c>
      <c r="J128" s="4">
        <v>3</v>
      </c>
    </row>
    <row r="129" spans="1:10" x14ac:dyDescent="0.35">
      <c r="A129" s="2" t="s">
        <v>165</v>
      </c>
      <c r="B129" s="4">
        <v>75</v>
      </c>
      <c r="C129" t="s">
        <v>11</v>
      </c>
      <c r="D129" t="s">
        <v>26</v>
      </c>
      <c r="E129" t="s">
        <v>24</v>
      </c>
      <c r="F129" t="s">
        <v>30</v>
      </c>
      <c r="G129" s="4">
        <v>5</v>
      </c>
      <c r="H129" s="1">
        <v>70284</v>
      </c>
      <c r="I129" s="3" t="s">
        <v>21</v>
      </c>
      <c r="J129" s="4">
        <v>3</v>
      </c>
    </row>
    <row r="130" spans="1:10" x14ac:dyDescent="0.35">
      <c r="A130" s="2" t="s">
        <v>166</v>
      </c>
      <c r="B130" s="4">
        <v>58</v>
      </c>
      <c r="C130" t="s">
        <v>11</v>
      </c>
      <c r="D130" t="s">
        <v>26</v>
      </c>
      <c r="E130" t="s">
        <v>53</v>
      </c>
      <c r="F130" t="s">
        <v>30</v>
      </c>
      <c r="G130" s="4">
        <v>12</v>
      </c>
      <c r="H130" s="1">
        <v>62939</v>
      </c>
      <c r="I130" s="3" t="s">
        <v>15</v>
      </c>
      <c r="J130" s="4">
        <v>3</v>
      </c>
    </row>
    <row r="131" spans="1:10" x14ac:dyDescent="0.35">
      <c r="A131" s="2" t="s">
        <v>167</v>
      </c>
      <c r="B131" s="4">
        <v>85</v>
      </c>
      <c r="C131" t="s">
        <v>17</v>
      </c>
      <c r="D131" t="s">
        <v>39</v>
      </c>
      <c r="E131" t="s">
        <v>24</v>
      </c>
      <c r="F131" t="s">
        <v>30</v>
      </c>
      <c r="G131" s="4">
        <v>5</v>
      </c>
      <c r="H131" s="1">
        <v>39860</v>
      </c>
      <c r="I131" s="3" t="s">
        <v>21</v>
      </c>
      <c r="J131" s="4">
        <v>1</v>
      </c>
    </row>
    <row r="132" spans="1:10" x14ac:dyDescent="0.35">
      <c r="A132" s="2" t="s">
        <v>168</v>
      </c>
      <c r="B132" s="4">
        <v>48</v>
      </c>
      <c r="C132" t="s">
        <v>17</v>
      </c>
      <c r="D132" t="s">
        <v>18</v>
      </c>
      <c r="E132" t="s">
        <v>42</v>
      </c>
      <c r="F132" t="s">
        <v>20</v>
      </c>
      <c r="G132" s="4">
        <v>12</v>
      </c>
      <c r="H132" s="1">
        <v>91583</v>
      </c>
      <c r="I132" s="3" t="s">
        <v>15</v>
      </c>
      <c r="J132" s="4">
        <v>2</v>
      </c>
    </row>
    <row r="133" spans="1:10" x14ac:dyDescent="0.35">
      <c r="A133" s="2" t="s">
        <v>169</v>
      </c>
      <c r="B133" s="4">
        <v>22</v>
      </c>
      <c r="C133" t="s">
        <v>17</v>
      </c>
      <c r="D133" t="s">
        <v>28</v>
      </c>
      <c r="E133" t="s">
        <v>27</v>
      </c>
      <c r="F133" t="s">
        <v>30</v>
      </c>
      <c r="G133" s="4">
        <v>11</v>
      </c>
      <c r="H133" s="1">
        <v>21065</v>
      </c>
      <c r="I133" s="3" t="s">
        <v>21</v>
      </c>
      <c r="J133" s="4">
        <v>4</v>
      </c>
    </row>
    <row r="134" spans="1:10" x14ac:dyDescent="0.35">
      <c r="A134" s="2" t="s">
        <v>170</v>
      </c>
      <c r="B134" s="4">
        <v>33</v>
      </c>
      <c r="C134" t="s">
        <v>11</v>
      </c>
      <c r="D134" t="s">
        <v>28</v>
      </c>
      <c r="E134" t="s">
        <v>19</v>
      </c>
      <c r="F134" t="s">
        <v>14</v>
      </c>
      <c r="G134" s="4">
        <v>7</v>
      </c>
      <c r="H134" s="1">
        <v>39692</v>
      </c>
      <c r="I134" s="3" t="s">
        <v>15</v>
      </c>
      <c r="J134" s="4">
        <v>2</v>
      </c>
    </row>
    <row r="135" spans="1:10" x14ac:dyDescent="0.35">
      <c r="A135" s="2" t="s">
        <v>171</v>
      </c>
      <c r="B135" s="4">
        <v>33</v>
      </c>
      <c r="C135" t="s">
        <v>11</v>
      </c>
      <c r="D135" t="s">
        <v>26</v>
      </c>
      <c r="E135" t="s">
        <v>27</v>
      </c>
      <c r="F135" t="s">
        <v>30</v>
      </c>
      <c r="G135" s="4">
        <v>7</v>
      </c>
      <c r="H135" s="1">
        <v>38409</v>
      </c>
      <c r="I135" s="3" t="s">
        <v>21</v>
      </c>
      <c r="J135" s="4">
        <v>1</v>
      </c>
    </row>
    <row r="136" spans="1:10" x14ac:dyDescent="0.35">
      <c r="A136" s="2" t="s">
        <v>172</v>
      </c>
      <c r="B136" s="4">
        <v>69</v>
      </c>
      <c r="C136" t="s">
        <v>11</v>
      </c>
      <c r="D136" t="s">
        <v>18</v>
      </c>
      <c r="E136" t="s">
        <v>29</v>
      </c>
      <c r="F136" t="s">
        <v>14</v>
      </c>
      <c r="G136" s="4">
        <v>8</v>
      </c>
      <c r="H136" s="1">
        <v>35854</v>
      </c>
      <c r="I136" s="3" t="s">
        <v>21</v>
      </c>
      <c r="J136" s="4">
        <v>5</v>
      </c>
    </row>
    <row r="137" spans="1:10" x14ac:dyDescent="0.35">
      <c r="A137" s="2" t="s">
        <v>173</v>
      </c>
      <c r="B137" s="4">
        <v>83</v>
      </c>
      <c r="C137" t="s">
        <v>11</v>
      </c>
      <c r="D137" t="s">
        <v>12</v>
      </c>
      <c r="E137" t="s">
        <v>24</v>
      </c>
      <c r="F137" t="s">
        <v>14</v>
      </c>
      <c r="G137" s="4">
        <v>4</v>
      </c>
      <c r="H137" s="1">
        <v>82244</v>
      </c>
      <c r="I137" s="3" t="s">
        <v>15</v>
      </c>
      <c r="J137" s="4">
        <v>1</v>
      </c>
    </row>
    <row r="138" spans="1:10" x14ac:dyDescent="0.35">
      <c r="A138" s="2" t="s">
        <v>174</v>
      </c>
      <c r="B138" s="4">
        <v>27</v>
      </c>
      <c r="C138" t="s">
        <v>11</v>
      </c>
      <c r="D138" t="s">
        <v>39</v>
      </c>
      <c r="E138" t="s">
        <v>29</v>
      </c>
      <c r="F138" t="s">
        <v>14</v>
      </c>
      <c r="G138" s="4">
        <v>9</v>
      </c>
      <c r="H138" s="1">
        <v>46852</v>
      </c>
      <c r="I138" s="3" t="s">
        <v>15</v>
      </c>
      <c r="J138" s="4">
        <v>1</v>
      </c>
    </row>
    <row r="139" spans="1:10" x14ac:dyDescent="0.35">
      <c r="A139" s="2" t="s">
        <v>175</v>
      </c>
      <c r="B139" s="4">
        <v>4</v>
      </c>
      <c r="C139" t="s">
        <v>11</v>
      </c>
      <c r="D139" t="s">
        <v>39</v>
      </c>
      <c r="E139" t="s">
        <v>13</v>
      </c>
      <c r="F139" t="s">
        <v>20</v>
      </c>
      <c r="G139" s="4">
        <v>13</v>
      </c>
      <c r="H139" s="1">
        <v>70289</v>
      </c>
      <c r="I139" s="3" t="s">
        <v>15</v>
      </c>
      <c r="J139" s="4">
        <v>4</v>
      </c>
    </row>
    <row r="140" spans="1:10" x14ac:dyDescent="0.35">
      <c r="A140" s="2" t="s">
        <v>176</v>
      </c>
      <c r="B140" s="4">
        <v>44</v>
      </c>
      <c r="C140" t="s">
        <v>17</v>
      </c>
      <c r="D140" t="s">
        <v>33</v>
      </c>
      <c r="E140" t="s">
        <v>27</v>
      </c>
      <c r="F140" t="s">
        <v>30</v>
      </c>
      <c r="G140" s="4">
        <v>7</v>
      </c>
      <c r="H140" s="1">
        <v>24678</v>
      </c>
      <c r="I140" s="3" t="s">
        <v>21</v>
      </c>
      <c r="J140" s="4">
        <v>2</v>
      </c>
    </row>
    <row r="141" spans="1:10" x14ac:dyDescent="0.35">
      <c r="A141" s="2" t="s">
        <v>177</v>
      </c>
      <c r="B141" s="4">
        <v>8</v>
      </c>
      <c r="C141" t="s">
        <v>17</v>
      </c>
      <c r="D141" t="s">
        <v>26</v>
      </c>
      <c r="E141" t="s">
        <v>19</v>
      </c>
      <c r="F141" t="s">
        <v>30</v>
      </c>
      <c r="G141" s="4">
        <v>9</v>
      </c>
      <c r="H141" s="1">
        <v>77058</v>
      </c>
      <c r="I141" s="3" t="s">
        <v>15</v>
      </c>
      <c r="J141" s="4">
        <v>2</v>
      </c>
    </row>
    <row r="142" spans="1:10" x14ac:dyDescent="0.35">
      <c r="A142" s="2" t="s">
        <v>178</v>
      </c>
      <c r="B142" s="4">
        <v>54</v>
      </c>
      <c r="C142" t="s">
        <v>11</v>
      </c>
      <c r="D142" t="s">
        <v>41</v>
      </c>
      <c r="E142" t="s">
        <v>65</v>
      </c>
      <c r="F142" t="s">
        <v>20</v>
      </c>
      <c r="G142" s="4">
        <v>2</v>
      </c>
      <c r="H142" s="1">
        <v>77765</v>
      </c>
      <c r="I142" s="3" t="s">
        <v>21</v>
      </c>
      <c r="J142" s="4">
        <v>5</v>
      </c>
    </row>
    <row r="143" spans="1:10" x14ac:dyDescent="0.35">
      <c r="A143" s="2" t="s">
        <v>179</v>
      </c>
      <c r="B143" s="4">
        <v>5</v>
      </c>
      <c r="C143" t="s">
        <v>11</v>
      </c>
      <c r="D143" t="s">
        <v>36</v>
      </c>
      <c r="E143" t="s">
        <v>13</v>
      </c>
      <c r="F143" t="s">
        <v>30</v>
      </c>
      <c r="G143" s="4">
        <v>8</v>
      </c>
      <c r="H143" s="1">
        <v>32036</v>
      </c>
      <c r="I143" s="3" t="s">
        <v>15</v>
      </c>
      <c r="J143" s="4">
        <v>5</v>
      </c>
    </row>
    <row r="144" spans="1:10" x14ac:dyDescent="0.35">
      <c r="A144" s="2" t="s">
        <v>180</v>
      </c>
      <c r="B144" s="4">
        <v>18</v>
      </c>
      <c r="C144" t="s">
        <v>11</v>
      </c>
      <c r="D144" t="s">
        <v>28</v>
      </c>
      <c r="E144" t="s">
        <v>37</v>
      </c>
      <c r="F144" t="s">
        <v>14</v>
      </c>
      <c r="G144" s="4">
        <v>9</v>
      </c>
      <c r="H144" s="1">
        <v>9745</v>
      </c>
      <c r="I144" s="3" t="s">
        <v>15</v>
      </c>
      <c r="J144" s="4">
        <v>3</v>
      </c>
    </row>
    <row r="145" spans="1:10" x14ac:dyDescent="0.35">
      <c r="A145" s="2" t="s">
        <v>181</v>
      </c>
      <c r="B145" s="4">
        <v>34</v>
      </c>
      <c r="C145" t="s">
        <v>11</v>
      </c>
      <c r="D145" t="s">
        <v>39</v>
      </c>
      <c r="E145" t="s">
        <v>34</v>
      </c>
      <c r="F145" t="s">
        <v>14</v>
      </c>
      <c r="G145" s="4">
        <v>14</v>
      </c>
      <c r="H145" s="1">
        <v>59704</v>
      </c>
      <c r="I145" s="3" t="s">
        <v>21</v>
      </c>
      <c r="J145" s="4">
        <v>5</v>
      </c>
    </row>
    <row r="146" spans="1:10" x14ac:dyDescent="0.35">
      <c r="A146" s="2" t="s">
        <v>182</v>
      </c>
      <c r="B146" s="4">
        <v>79</v>
      </c>
      <c r="C146" t="s">
        <v>17</v>
      </c>
      <c r="D146" t="s">
        <v>39</v>
      </c>
      <c r="E146" t="s">
        <v>19</v>
      </c>
      <c r="F146" t="s">
        <v>14</v>
      </c>
      <c r="G146" s="4">
        <v>8</v>
      </c>
      <c r="H146" s="1">
        <v>61249</v>
      </c>
      <c r="I146" s="3" t="s">
        <v>21</v>
      </c>
      <c r="J146" s="4">
        <v>1</v>
      </c>
    </row>
    <row r="147" spans="1:10" x14ac:dyDescent="0.35">
      <c r="A147" s="2" t="s">
        <v>183</v>
      </c>
      <c r="B147" s="4">
        <v>37</v>
      </c>
      <c r="C147" t="s">
        <v>11</v>
      </c>
      <c r="D147" t="s">
        <v>33</v>
      </c>
      <c r="E147" t="s">
        <v>37</v>
      </c>
      <c r="F147" t="s">
        <v>20</v>
      </c>
      <c r="G147" s="4">
        <v>5</v>
      </c>
      <c r="H147" s="1">
        <v>42408</v>
      </c>
      <c r="I147" s="3" t="s">
        <v>21</v>
      </c>
      <c r="J147" s="4">
        <v>2</v>
      </c>
    </row>
    <row r="148" spans="1:10" x14ac:dyDescent="0.35">
      <c r="A148" s="2" t="s">
        <v>184</v>
      </c>
      <c r="B148" s="4">
        <v>60</v>
      </c>
      <c r="C148" t="s">
        <v>17</v>
      </c>
      <c r="D148" t="s">
        <v>41</v>
      </c>
      <c r="E148" t="s">
        <v>42</v>
      </c>
      <c r="F148" t="s">
        <v>14</v>
      </c>
      <c r="G148" s="4">
        <v>2</v>
      </c>
      <c r="H148" s="1">
        <v>10561</v>
      </c>
      <c r="I148" s="3" t="s">
        <v>15</v>
      </c>
      <c r="J148" s="4">
        <v>3</v>
      </c>
    </row>
    <row r="149" spans="1:10" x14ac:dyDescent="0.35">
      <c r="A149" s="2" t="s">
        <v>185</v>
      </c>
      <c r="B149" s="4">
        <v>51</v>
      </c>
      <c r="C149" t="s">
        <v>11</v>
      </c>
      <c r="D149" t="s">
        <v>41</v>
      </c>
      <c r="E149" t="s">
        <v>53</v>
      </c>
      <c r="F149" t="s">
        <v>14</v>
      </c>
      <c r="G149" s="4">
        <v>11</v>
      </c>
      <c r="H149" s="1">
        <v>5391</v>
      </c>
      <c r="I149" s="3" t="s">
        <v>15</v>
      </c>
      <c r="J149" s="4">
        <v>5</v>
      </c>
    </row>
    <row r="150" spans="1:10" x14ac:dyDescent="0.35">
      <c r="A150" s="2" t="s">
        <v>186</v>
      </c>
      <c r="B150" s="4">
        <v>24</v>
      </c>
      <c r="C150" t="s">
        <v>11</v>
      </c>
      <c r="D150" t="s">
        <v>41</v>
      </c>
      <c r="E150" t="s">
        <v>53</v>
      </c>
      <c r="F150" t="s">
        <v>30</v>
      </c>
      <c r="G150" s="4">
        <v>10</v>
      </c>
      <c r="H150" s="1">
        <v>38160</v>
      </c>
      <c r="I150" s="3" t="s">
        <v>15</v>
      </c>
      <c r="J150" s="4">
        <v>1</v>
      </c>
    </row>
    <row r="151" spans="1:10" x14ac:dyDescent="0.35">
      <c r="A151" s="2" t="s">
        <v>187</v>
      </c>
      <c r="B151" s="4">
        <v>45</v>
      </c>
      <c r="C151" t="s">
        <v>11</v>
      </c>
      <c r="D151" t="s">
        <v>18</v>
      </c>
      <c r="E151" t="s">
        <v>34</v>
      </c>
      <c r="F151" t="s">
        <v>30</v>
      </c>
      <c r="G151" s="4">
        <v>13</v>
      </c>
      <c r="H151" s="1">
        <v>6081</v>
      </c>
      <c r="I151" s="3" t="s">
        <v>15</v>
      </c>
      <c r="J151" s="4">
        <v>2</v>
      </c>
    </row>
    <row r="152" spans="1:10" x14ac:dyDescent="0.35">
      <c r="A152" s="2" t="s">
        <v>188</v>
      </c>
      <c r="B152" s="4">
        <v>47</v>
      </c>
      <c r="C152" t="s">
        <v>17</v>
      </c>
      <c r="D152" t="s">
        <v>36</v>
      </c>
      <c r="E152" t="s">
        <v>53</v>
      </c>
      <c r="F152" t="s">
        <v>14</v>
      </c>
      <c r="G152" s="4">
        <v>8</v>
      </c>
      <c r="H152" s="1">
        <v>83203</v>
      </c>
      <c r="I152" s="3" t="s">
        <v>21</v>
      </c>
      <c r="J152" s="4">
        <v>1</v>
      </c>
    </row>
    <row r="153" spans="1:10" x14ac:dyDescent="0.35">
      <c r="A153" s="2" t="s">
        <v>189</v>
      </c>
      <c r="B153" s="4">
        <v>87</v>
      </c>
      <c r="C153" t="s">
        <v>17</v>
      </c>
      <c r="D153" t="s">
        <v>41</v>
      </c>
      <c r="E153" t="s">
        <v>13</v>
      </c>
      <c r="F153" t="s">
        <v>14</v>
      </c>
      <c r="G153" s="4">
        <v>14</v>
      </c>
      <c r="H153" s="1">
        <v>5659</v>
      </c>
      <c r="I153" s="3" t="s">
        <v>21</v>
      </c>
      <c r="J153" s="4">
        <v>2</v>
      </c>
    </row>
    <row r="154" spans="1:10" x14ac:dyDescent="0.35">
      <c r="A154" s="2" t="s">
        <v>190</v>
      </c>
      <c r="B154" s="4">
        <v>86</v>
      </c>
      <c r="C154" t="s">
        <v>17</v>
      </c>
      <c r="D154" t="s">
        <v>12</v>
      </c>
      <c r="E154" t="s">
        <v>37</v>
      </c>
      <c r="F154" t="s">
        <v>30</v>
      </c>
      <c r="G154" s="4">
        <v>7</v>
      </c>
      <c r="H154" s="1">
        <v>16478</v>
      </c>
      <c r="I154" s="3" t="s">
        <v>15</v>
      </c>
      <c r="J154" s="4">
        <v>5</v>
      </c>
    </row>
    <row r="155" spans="1:10" x14ac:dyDescent="0.35">
      <c r="A155" s="2" t="s">
        <v>191</v>
      </c>
      <c r="B155" s="4">
        <v>75</v>
      </c>
      <c r="C155" t="s">
        <v>17</v>
      </c>
      <c r="D155" t="s">
        <v>26</v>
      </c>
      <c r="E155" t="s">
        <v>37</v>
      </c>
      <c r="F155" t="s">
        <v>30</v>
      </c>
      <c r="G155" s="4">
        <v>10</v>
      </c>
      <c r="H155" s="1">
        <v>60279</v>
      </c>
      <c r="I155" s="3" t="s">
        <v>21</v>
      </c>
      <c r="J155" s="4">
        <v>2</v>
      </c>
    </row>
    <row r="156" spans="1:10" x14ac:dyDescent="0.35">
      <c r="A156" s="2" t="s">
        <v>192</v>
      </c>
      <c r="B156" s="4">
        <v>60</v>
      </c>
      <c r="C156" t="s">
        <v>11</v>
      </c>
      <c r="D156" t="s">
        <v>18</v>
      </c>
      <c r="E156" t="s">
        <v>37</v>
      </c>
      <c r="F156" t="s">
        <v>20</v>
      </c>
      <c r="G156" s="4">
        <v>9</v>
      </c>
      <c r="H156" s="1">
        <v>43615</v>
      </c>
      <c r="I156" s="3" t="s">
        <v>15</v>
      </c>
      <c r="J156" s="4">
        <v>2</v>
      </c>
    </row>
    <row r="157" spans="1:10" x14ac:dyDescent="0.35">
      <c r="A157" s="2" t="s">
        <v>193</v>
      </c>
      <c r="B157" s="4">
        <v>33</v>
      </c>
      <c r="C157" t="s">
        <v>17</v>
      </c>
      <c r="D157" t="s">
        <v>33</v>
      </c>
      <c r="E157" t="s">
        <v>29</v>
      </c>
      <c r="F157" t="s">
        <v>30</v>
      </c>
      <c r="G157" s="4">
        <v>7</v>
      </c>
      <c r="H157" s="1">
        <v>85924</v>
      </c>
      <c r="I157" s="3" t="s">
        <v>15</v>
      </c>
      <c r="J157" s="4">
        <v>4</v>
      </c>
    </row>
    <row r="158" spans="1:10" x14ac:dyDescent="0.35">
      <c r="A158" s="2" t="s">
        <v>194</v>
      </c>
      <c r="B158" s="4">
        <v>48</v>
      </c>
      <c r="C158" t="s">
        <v>11</v>
      </c>
      <c r="D158" t="s">
        <v>23</v>
      </c>
      <c r="E158" t="s">
        <v>13</v>
      </c>
      <c r="F158" t="s">
        <v>20</v>
      </c>
      <c r="G158" s="4">
        <v>7</v>
      </c>
      <c r="H158" s="1">
        <v>50898</v>
      </c>
      <c r="I158" s="3" t="s">
        <v>15</v>
      </c>
      <c r="J158" s="4">
        <v>1</v>
      </c>
    </row>
    <row r="159" spans="1:10" x14ac:dyDescent="0.35">
      <c r="A159" s="2" t="s">
        <v>195</v>
      </c>
      <c r="B159" s="4">
        <v>82</v>
      </c>
      <c r="C159" t="s">
        <v>11</v>
      </c>
      <c r="D159" t="s">
        <v>49</v>
      </c>
      <c r="E159" t="s">
        <v>27</v>
      </c>
      <c r="F159" t="s">
        <v>20</v>
      </c>
      <c r="G159" s="4">
        <v>9</v>
      </c>
      <c r="H159" s="1">
        <v>14572</v>
      </c>
      <c r="I159" s="3" t="s">
        <v>15</v>
      </c>
      <c r="J159" s="4">
        <v>4</v>
      </c>
    </row>
    <row r="160" spans="1:10" x14ac:dyDescent="0.35">
      <c r="A160" s="2" t="s">
        <v>196</v>
      </c>
      <c r="B160" s="4">
        <v>64</v>
      </c>
      <c r="C160" t="s">
        <v>17</v>
      </c>
      <c r="D160" t="s">
        <v>28</v>
      </c>
      <c r="E160" t="s">
        <v>27</v>
      </c>
      <c r="F160" t="s">
        <v>14</v>
      </c>
      <c r="G160" s="4">
        <v>14</v>
      </c>
      <c r="H160" s="1">
        <v>74488</v>
      </c>
      <c r="I160" s="3" t="s">
        <v>21</v>
      </c>
      <c r="J160" s="4">
        <v>3</v>
      </c>
    </row>
    <row r="161" spans="1:10" x14ac:dyDescent="0.35">
      <c r="A161" s="2" t="s">
        <v>197</v>
      </c>
      <c r="B161" s="4">
        <v>71</v>
      </c>
      <c r="C161" t="s">
        <v>11</v>
      </c>
      <c r="D161" t="s">
        <v>39</v>
      </c>
      <c r="E161" t="s">
        <v>24</v>
      </c>
      <c r="F161" t="s">
        <v>30</v>
      </c>
      <c r="G161" s="4">
        <v>13</v>
      </c>
      <c r="H161" s="1">
        <v>79343</v>
      </c>
      <c r="I161" s="3" t="s">
        <v>21</v>
      </c>
      <c r="J161" s="4">
        <v>1</v>
      </c>
    </row>
    <row r="162" spans="1:10" x14ac:dyDescent="0.35">
      <c r="A162" s="2" t="s">
        <v>198</v>
      </c>
      <c r="B162" s="4">
        <v>65</v>
      </c>
      <c r="C162" t="s">
        <v>17</v>
      </c>
      <c r="D162" t="s">
        <v>41</v>
      </c>
      <c r="E162" t="s">
        <v>53</v>
      </c>
      <c r="F162" t="s">
        <v>14</v>
      </c>
      <c r="G162" s="4">
        <v>10</v>
      </c>
      <c r="H162" s="1">
        <v>99997</v>
      </c>
      <c r="I162" s="3" t="s">
        <v>15</v>
      </c>
      <c r="J162" s="4">
        <v>2</v>
      </c>
    </row>
    <row r="163" spans="1:10" x14ac:dyDescent="0.35">
      <c r="A163" s="2" t="s">
        <v>199</v>
      </c>
      <c r="B163" s="4">
        <v>85</v>
      </c>
      <c r="C163" t="s">
        <v>11</v>
      </c>
      <c r="D163" t="s">
        <v>23</v>
      </c>
      <c r="E163" t="s">
        <v>42</v>
      </c>
      <c r="F163" t="s">
        <v>20</v>
      </c>
      <c r="G163" s="4">
        <v>5</v>
      </c>
      <c r="H163" s="1">
        <v>60469</v>
      </c>
      <c r="I163" s="3" t="s">
        <v>21</v>
      </c>
      <c r="J163" s="4">
        <v>5</v>
      </c>
    </row>
    <row r="164" spans="1:10" x14ac:dyDescent="0.35">
      <c r="A164" s="2" t="s">
        <v>200</v>
      </c>
      <c r="B164" s="4">
        <v>76</v>
      </c>
      <c r="C164" t="s">
        <v>17</v>
      </c>
      <c r="D164" t="s">
        <v>18</v>
      </c>
      <c r="E164" t="s">
        <v>65</v>
      </c>
      <c r="F164" t="s">
        <v>20</v>
      </c>
      <c r="G164" s="4">
        <v>6</v>
      </c>
      <c r="H164" s="1">
        <v>74914</v>
      </c>
      <c r="I164" s="3" t="s">
        <v>21</v>
      </c>
      <c r="J164" s="4">
        <v>5</v>
      </c>
    </row>
    <row r="165" spans="1:10" x14ac:dyDescent="0.35">
      <c r="A165" s="2" t="s">
        <v>201</v>
      </c>
      <c r="B165" s="4">
        <v>17</v>
      </c>
      <c r="C165" t="s">
        <v>11</v>
      </c>
      <c r="D165" t="s">
        <v>18</v>
      </c>
      <c r="E165" t="s">
        <v>53</v>
      </c>
      <c r="F165" t="s">
        <v>30</v>
      </c>
      <c r="G165" s="4">
        <v>12</v>
      </c>
      <c r="H165" s="1">
        <v>45782</v>
      </c>
      <c r="I165" s="3" t="s">
        <v>15</v>
      </c>
      <c r="J165" s="4">
        <v>5</v>
      </c>
    </row>
    <row r="166" spans="1:10" x14ac:dyDescent="0.35">
      <c r="A166" s="2" t="s">
        <v>202</v>
      </c>
      <c r="B166" s="4">
        <v>54</v>
      </c>
      <c r="C166" t="s">
        <v>11</v>
      </c>
      <c r="D166" t="s">
        <v>36</v>
      </c>
      <c r="E166" t="s">
        <v>42</v>
      </c>
      <c r="F166" t="s">
        <v>30</v>
      </c>
      <c r="G166" s="4">
        <v>1</v>
      </c>
      <c r="H166" s="1">
        <v>57677</v>
      </c>
      <c r="I166" s="3" t="s">
        <v>15</v>
      </c>
      <c r="J166" s="4">
        <v>1</v>
      </c>
    </row>
    <row r="167" spans="1:10" x14ac:dyDescent="0.35">
      <c r="A167" s="2" t="s">
        <v>203</v>
      </c>
      <c r="B167" s="4">
        <v>65</v>
      </c>
      <c r="C167" t="s">
        <v>11</v>
      </c>
      <c r="D167" t="s">
        <v>49</v>
      </c>
      <c r="E167" t="s">
        <v>27</v>
      </c>
      <c r="F167" t="s">
        <v>14</v>
      </c>
      <c r="G167" s="4">
        <v>12</v>
      </c>
      <c r="H167" s="1">
        <v>77140</v>
      </c>
      <c r="I167" s="3" t="s">
        <v>15</v>
      </c>
      <c r="J167" s="4">
        <v>1</v>
      </c>
    </row>
    <row r="168" spans="1:10" x14ac:dyDescent="0.35">
      <c r="A168" s="2" t="s">
        <v>204</v>
      </c>
      <c r="B168" s="4">
        <v>17</v>
      </c>
      <c r="C168" t="s">
        <v>11</v>
      </c>
      <c r="D168" t="s">
        <v>39</v>
      </c>
      <c r="E168" t="s">
        <v>13</v>
      </c>
      <c r="F168" t="s">
        <v>20</v>
      </c>
      <c r="G168" s="4">
        <v>6</v>
      </c>
      <c r="H168" s="1">
        <v>84916</v>
      </c>
      <c r="I168" s="3" t="s">
        <v>15</v>
      </c>
      <c r="J168" s="4">
        <v>4</v>
      </c>
    </row>
    <row r="169" spans="1:10" x14ac:dyDescent="0.35">
      <c r="A169" s="2" t="s">
        <v>205</v>
      </c>
      <c r="B169" s="4">
        <v>83</v>
      </c>
      <c r="C169" t="s">
        <v>11</v>
      </c>
      <c r="D169" t="s">
        <v>28</v>
      </c>
      <c r="E169" t="s">
        <v>29</v>
      </c>
      <c r="F169" t="s">
        <v>14</v>
      </c>
      <c r="G169" s="4">
        <v>15</v>
      </c>
      <c r="H169" s="1">
        <v>48730</v>
      </c>
      <c r="I169" s="3" t="s">
        <v>15</v>
      </c>
      <c r="J169" s="4">
        <v>1</v>
      </c>
    </row>
    <row r="170" spans="1:10" x14ac:dyDescent="0.35">
      <c r="A170" s="2" t="s">
        <v>206</v>
      </c>
      <c r="B170" s="4">
        <v>22</v>
      </c>
      <c r="C170" t="s">
        <v>17</v>
      </c>
      <c r="D170" t="s">
        <v>28</v>
      </c>
      <c r="E170" t="s">
        <v>24</v>
      </c>
      <c r="F170" t="s">
        <v>30</v>
      </c>
      <c r="G170" s="4">
        <v>10</v>
      </c>
      <c r="H170" s="1">
        <v>11010</v>
      </c>
      <c r="I170" s="3" t="s">
        <v>15</v>
      </c>
      <c r="J170" s="4">
        <v>2</v>
      </c>
    </row>
    <row r="171" spans="1:10" x14ac:dyDescent="0.35">
      <c r="A171" s="2" t="s">
        <v>207</v>
      </c>
      <c r="B171" s="4">
        <v>74</v>
      </c>
      <c r="C171" t="s">
        <v>11</v>
      </c>
      <c r="D171" t="s">
        <v>39</v>
      </c>
      <c r="E171" t="s">
        <v>34</v>
      </c>
      <c r="F171" t="s">
        <v>14</v>
      </c>
      <c r="G171" s="4">
        <v>3</v>
      </c>
      <c r="H171" s="1">
        <v>78186</v>
      </c>
      <c r="I171" s="3" t="s">
        <v>15</v>
      </c>
      <c r="J171" s="4">
        <v>4</v>
      </c>
    </row>
    <row r="172" spans="1:10" x14ac:dyDescent="0.35">
      <c r="A172" s="2" t="s">
        <v>208</v>
      </c>
      <c r="B172" s="4">
        <v>10</v>
      </c>
      <c r="C172" t="s">
        <v>11</v>
      </c>
      <c r="D172" t="s">
        <v>28</v>
      </c>
      <c r="E172" t="s">
        <v>42</v>
      </c>
      <c r="F172" t="s">
        <v>14</v>
      </c>
      <c r="G172" s="4">
        <v>10</v>
      </c>
      <c r="H172" s="1">
        <v>48840</v>
      </c>
      <c r="I172" s="3" t="s">
        <v>21</v>
      </c>
      <c r="J172" s="4">
        <v>3</v>
      </c>
    </row>
    <row r="173" spans="1:10" x14ac:dyDescent="0.35">
      <c r="A173" s="2" t="s">
        <v>209</v>
      </c>
      <c r="B173" s="4">
        <v>83</v>
      </c>
      <c r="C173" t="s">
        <v>11</v>
      </c>
      <c r="D173" t="s">
        <v>41</v>
      </c>
      <c r="E173" t="s">
        <v>27</v>
      </c>
      <c r="F173" t="s">
        <v>20</v>
      </c>
      <c r="G173" s="4">
        <v>13</v>
      </c>
      <c r="H173" s="1">
        <v>86278</v>
      </c>
      <c r="I173" s="3" t="s">
        <v>21</v>
      </c>
      <c r="J173" s="4">
        <v>3</v>
      </c>
    </row>
    <row r="174" spans="1:10" x14ac:dyDescent="0.35">
      <c r="A174" s="2" t="s">
        <v>210</v>
      </c>
      <c r="B174" s="4">
        <v>84</v>
      </c>
      <c r="C174" t="s">
        <v>11</v>
      </c>
      <c r="D174" t="s">
        <v>33</v>
      </c>
      <c r="E174" t="s">
        <v>37</v>
      </c>
      <c r="F174" t="s">
        <v>14</v>
      </c>
      <c r="G174" s="4">
        <v>12</v>
      </c>
      <c r="H174" s="1">
        <v>29862</v>
      </c>
      <c r="I174" s="3" t="s">
        <v>21</v>
      </c>
      <c r="J174" s="4">
        <v>5</v>
      </c>
    </row>
    <row r="175" spans="1:10" x14ac:dyDescent="0.35">
      <c r="A175" s="2" t="s">
        <v>211</v>
      </c>
      <c r="B175" s="4">
        <v>69</v>
      </c>
      <c r="C175" t="s">
        <v>11</v>
      </c>
      <c r="D175" t="s">
        <v>12</v>
      </c>
      <c r="E175" t="s">
        <v>65</v>
      </c>
      <c r="F175" t="s">
        <v>20</v>
      </c>
      <c r="G175" s="4">
        <v>3</v>
      </c>
      <c r="H175" s="1">
        <v>69527</v>
      </c>
      <c r="I175" s="3" t="s">
        <v>21</v>
      </c>
      <c r="J175" s="4">
        <v>4</v>
      </c>
    </row>
    <row r="176" spans="1:10" x14ac:dyDescent="0.35">
      <c r="A176" s="2" t="s">
        <v>212</v>
      </c>
      <c r="B176" s="4">
        <v>1</v>
      </c>
      <c r="C176" t="s">
        <v>11</v>
      </c>
      <c r="D176" t="s">
        <v>23</v>
      </c>
      <c r="E176" t="s">
        <v>24</v>
      </c>
      <c r="F176" t="s">
        <v>30</v>
      </c>
      <c r="G176" s="4">
        <v>4</v>
      </c>
      <c r="H176" s="1">
        <v>63790</v>
      </c>
      <c r="I176" s="3" t="s">
        <v>15</v>
      </c>
      <c r="J176" s="4">
        <v>2</v>
      </c>
    </row>
    <row r="177" spans="1:10" x14ac:dyDescent="0.35">
      <c r="A177" s="2" t="s">
        <v>213</v>
      </c>
      <c r="B177" s="4">
        <v>32</v>
      </c>
      <c r="C177" t="s">
        <v>11</v>
      </c>
      <c r="D177" t="s">
        <v>39</v>
      </c>
      <c r="E177" t="s">
        <v>65</v>
      </c>
      <c r="F177" t="s">
        <v>20</v>
      </c>
      <c r="G177" s="4">
        <v>4</v>
      </c>
      <c r="H177" s="1">
        <v>14852</v>
      </c>
      <c r="I177" s="3" t="s">
        <v>15</v>
      </c>
      <c r="J177" s="4">
        <v>2</v>
      </c>
    </row>
    <row r="178" spans="1:10" x14ac:dyDescent="0.35">
      <c r="A178" s="2" t="s">
        <v>214</v>
      </c>
      <c r="B178" s="4">
        <v>42</v>
      </c>
      <c r="C178" t="s">
        <v>17</v>
      </c>
      <c r="D178" t="s">
        <v>41</v>
      </c>
      <c r="E178" t="s">
        <v>27</v>
      </c>
      <c r="F178" t="s">
        <v>14</v>
      </c>
      <c r="G178" s="4">
        <v>11</v>
      </c>
      <c r="H178" s="1">
        <v>72970</v>
      </c>
      <c r="I178" s="3" t="s">
        <v>15</v>
      </c>
      <c r="J178" s="4">
        <v>4</v>
      </c>
    </row>
    <row r="179" spans="1:10" x14ac:dyDescent="0.35">
      <c r="A179" s="2" t="s">
        <v>215</v>
      </c>
      <c r="B179" s="4">
        <v>85</v>
      </c>
      <c r="C179" t="s">
        <v>11</v>
      </c>
      <c r="D179" t="s">
        <v>36</v>
      </c>
      <c r="E179" t="s">
        <v>29</v>
      </c>
      <c r="F179" t="s">
        <v>14</v>
      </c>
      <c r="G179" s="4">
        <v>11</v>
      </c>
      <c r="H179" s="1">
        <v>90027</v>
      </c>
      <c r="I179" s="3" t="s">
        <v>21</v>
      </c>
      <c r="J179" s="4">
        <v>4</v>
      </c>
    </row>
    <row r="180" spans="1:10" x14ac:dyDescent="0.35">
      <c r="A180" s="2" t="s">
        <v>216</v>
      </c>
      <c r="B180" s="4">
        <v>87</v>
      </c>
      <c r="C180" t="s">
        <v>11</v>
      </c>
      <c r="D180" t="s">
        <v>23</v>
      </c>
      <c r="E180" t="s">
        <v>53</v>
      </c>
      <c r="F180" t="s">
        <v>20</v>
      </c>
      <c r="G180" s="4">
        <v>3</v>
      </c>
      <c r="H180" s="1">
        <v>40286</v>
      </c>
      <c r="I180" s="3" t="s">
        <v>15</v>
      </c>
      <c r="J180" s="4">
        <v>2</v>
      </c>
    </row>
    <row r="181" spans="1:10" x14ac:dyDescent="0.35">
      <c r="A181" s="2" t="s">
        <v>217</v>
      </c>
      <c r="B181" s="4">
        <v>3</v>
      </c>
      <c r="C181" t="s">
        <v>17</v>
      </c>
      <c r="D181" t="s">
        <v>26</v>
      </c>
      <c r="E181" t="s">
        <v>24</v>
      </c>
      <c r="F181" t="s">
        <v>14</v>
      </c>
      <c r="G181" s="4">
        <v>6</v>
      </c>
      <c r="H181" s="1">
        <v>11214</v>
      </c>
      <c r="I181" s="3" t="s">
        <v>21</v>
      </c>
      <c r="J181" s="4">
        <v>3</v>
      </c>
    </row>
    <row r="182" spans="1:10" x14ac:dyDescent="0.35">
      <c r="A182" s="2" t="s">
        <v>218</v>
      </c>
      <c r="B182" s="4">
        <v>34</v>
      </c>
      <c r="C182" t="s">
        <v>17</v>
      </c>
      <c r="D182" t="s">
        <v>28</v>
      </c>
      <c r="E182" t="s">
        <v>42</v>
      </c>
      <c r="F182" t="s">
        <v>14</v>
      </c>
      <c r="G182" s="4">
        <v>10</v>
      </c>
      <c r="H182" s="1">
        <v>11201</v>
      </c>
      <c r="I182" s="3" t="s">
        <v>21</v>
      </c>
      <c r="J182" s="4">
        <v>1</v>
      </c>
    </row>
    <row r="183" spans="1:10" x14ac:dyDescent="0.35">
      <c r="A183" s="2" t="s">
        <v>219</v>
      </c>
      <c r="B183" s="4">
        <v>66</v>
      </c>
      <c r="C183" t="s">
        <v>17</v>
      </c>
      <c r="D183" t="s">
        <v>33</v>
      </c>
      <c r="E183" t="s">
        <v>19</v>
      </c>
      <c r="F183" t="s">
        <v>20</v>
      </c>
      <c r="G183" s="4">
        <v>2</v>
      </c>
      <c r="H183" s="1">
        <v>32178</v>
      </c>
      <c r="I183" s="3" t="s">
        <v>15</v>
      </c>
      <c r="J183" s="4">
        <v>3</v>
      </c>
    </row>
    <row r="184" spans="1:10" x14ac:dyDescent="0.35">
      <c r="A184" s="2" t="s">
        <v>220</v>
      </c>
      <c r="B184" s="4">
        <v>37</v>
      </c>
      <c r="C184" t="s">
        <v>17</v>
      </c>
      <c r="D184" t="s">
        <v>23</v>
      </c>
      <c r="E184" t="s">
        <v>42</v>
      </c>
      <c r="F184" t="s">
        <v>20</v>
      </c>
      <c r="G184" s="4">
        <v>14</v>
      </c>
      <c r="H184" s="1">
        <v>59420</v>
      </c>
      <c r="I184" s="3" t="s">
        <v>15</v>
      </c>
      <c r="J184" s="4">
        <v>3</v>
      </c>
    </row>
    <row r="185" spans="1:10" x14ac:dyDescent="0.35">
      <c r="A185" s="2" t="s">
        <v>221</v>
      </c>
      <c r="B185" s="4">
        <v>12</v>
      </c>
      <c r="C185" t="s">
        <v>17</v>
      </c>
      <c r="D185" t="s">
        <v>18</v>
      </c>
      <c r="E185" t="s">
        <v>29</v>
      </c>
      <c r="F185" t="s">
        <v>20</v>
      </c>
      <c r="G185" s="4">
        <v>15</v>
      </c>
      <c r="H185" s="1">
        <v>93508</v>
      </c>
      <c r="I185" s="3" t="s">
        <v>21</v>
      </c>
      <c r="J185" s="4">
        <v>5</v>
      </c>
    </row>
    <row r="186" spans="1:10" x14ac:dyDescent="0.35">
      <c r="A186" s="2" t="s">
        <v>222</v>
      </c>
      <c r="B186" s="4">
        <v>27</v>
      </c>
      <c r="C186" t="s">
        <v>17</v>
      </c>
      <c r="D186" t="s">
        <v>41</v>
      </c>
      <c r="E186" t="s">
        <v>65</v>
      </c>
      <c r="F186" t="s">
        <v>20</v>
      </c>
      <c r="G186" s="4">
        <v>4</v>
      </c>
      <c r="H186" s="1">
        <v>60444</v>
      </c>
      <c r="I186" s="3" t="s">
        <v>21</v>
      </c>
      <c r="J186" s="4">
        <v>1</v>
      </c>
    </row>
    <row r="187" spans="1:10" x14ac:dyDescent="0.35">
      <c r="A187" s="2" t="s">
        <v>223</v>
      </c>
      <c r="B187" s="4">
        <v>24</v>
      </c>
      <c r="C187" t="s">
        <v>17</v>
      </c>
      <c r="D187" t="s">
        <v>28</v>
      </c>
      <c r="E187" t="s">
        <v>27</v>
      </c>
      <c r="F187" t="s">
        <v>20</v>
      </c>
      <c r="G187" s="4">
        <v>4</v>
      </c>
      <c r="H187" s="1">
        <v>8783</v>
      </c>
      <c r="I187" s="3" t="s">
        <v>15</v>
      </c>
      <c r="J187" s="4">
        <v>4</v>
      </c>
    </row>
    <row r="188" spans="1:10" x14ac:dyDescent="0.35">
      <c r="A188" s="2" t="s">
        <v>224</v>
      </c>
      <c r="B188" s="4">
        <v>79</v>
      </c>
      <c r="C188" t="s">
        <v>17</v>
      </c>
      <c r="D188" t="s">
        <v>12</v>
      </c>
      <c r="E188" t="s">
        <v>37</v>
      </c>
      <c r="F188" t="s">
        <v>30</v>
      </c>
      <c r="G188" s="4">
        <v>4</v>
      </c>
      <c r="H188" s="1">
        <v>19919</v>
      </c>
      <c r="I188" s="3" t="s">
        <v>15</v>
      </c>
      <c r="J188" s="4">
        <v>2</v>
      </c>
    </row>
    <row r="189" spans="1:10" x14ac:dyDescent="0.35">
      <c r="A189" s="2" t="s">
        <v>225</v>
      </c>
      <c r="B189" s="4">
        <v>62</v>
      </c>
      <c r="C189" t="s">
        <v>11</v>
      </c>
      <c r="D189" t="s">
        <v>33</v>
      </c>
      <c r="E189" t="s">
        <v>29</v>
      </c>
      <c r="F189" t="s">
        <v>20</v>
      </c>
      <c r="G189" s="4">
        <v>2</v>
      </c>
      <c r="H189" s="1">
        <v>7452</v>
      </c>
      <c r="I189" s="3" t="s">
        <v>21</v>
      </c>
      <c r="J189" s="4">
        <v>4</v>
      </c>
    </row>
    <row r="190" spans="1:10" x14ac:dyDescent="0.35">
      <c r="A190" s="2" t="s">
        <v>226</v>
      </c>
      <c r="B190" s="4">
        <v>48</v>
      </c>
      <c r="C190" t="s">
        <v>11</v>
      </c>
      <c r="D190" t="s">
        <v>49</v>
      </c>
      <c r="E190" t="s">
        <v>19</v>
      </c>
      <c r="F190" t="s">
        <v>14</v>
      </c>
      <c r="G190" s="4">
        <v>6</v>
      </c>
      <c r="H190" s="1">
        <v>82019</v>
      </c>
      <c r="I190" s="3" t="s">
        <v>15</v>
      </c>
      <c r="J190" s="4">
        <v>4</v>
      </c>
    </row>
    <row r="191" spans="1:10" x14ac:dyDescent="0.35">
      <c r="A191" s="2" t="s">
        <v>227</v>
      </c>
      <c r="B191" s="4">
        <v>76</v>
      </c>
      <c r="C191" t="s">
        <v>11</v>
      </c>
      <c r="D191" t="s">
        <v>39</v>
      </c>
      <c r="E191" t="s">
        <v>42</v>
      </c>
      <c r="F191" t="s">
        <v>20</v>
      </c>
      <c r="G191" s="4">
        <v>15</v>
      </c>
      <c r="H191" s="1">
        <v>65568</v>
      </c>
      <c r="I191" s="3" t="s">
        <v>15</v>
      </c>
      <c r="J191" s="4">
        <v>3</v>
      </c>
    </row>
    <row r="192" spans="1:10" x14ac:dyDescent="0.35">
      <c r="A192" s="2" t="s">
        <v>228</v>
      </c>
      <c r="B192" s="4">
        <v>39</v>
      </c>
      <c r="C192" t="s">
        <v>11</v>
      </c>
      <c r="D192" t="s">
        <v>26</v>
      </c>
      <c r="E192" t="s">
        <v>37</v>
      </c>
      <c r="F192" t="s">
        <v>30</v>
      </c>
      <c r="G192" s="4">
        <v>3</v>
      </c>
      <c r="H192" s="1">
        <v>53461</v>
      </c>
      <c r="I192" s="3" t="s">
        <v>15</v>
      </c>
      <c r="J192" s="4">
        <v>4</v>
      </c>
    </row>
    <row r="193" spans="1:10" x14ac:dyDescent="0.35">
      <c r="A193" s="2" t="s">
        <v>229</v>
      </c>
      <c r="B193" s="4">
        <v>81</v>
      </c>
      <c r="C193" t="s">
        <v>11</v>
      </c>
      <c r="D193" t="s">
        <v>33</v>
      </c>
      <c r="E193" t="s">
        <v>34</v>
      </c>
      <c r="F193" t="s">
        <v>30</v>
      </c>
      <c r="G193" s="4">
        <v>12</v>
      </c>
      <c r="H193" s="1">
        <v>67927</v>
      </c>
      <c r="I193" s="3" t="s">
        <v>15</v>
      </c>
      <c r="J193" s="4">
        <v>4</v>
      </c>
    </row>
    <row r="194" spans="1:10" x14ac:dyDescent="0.35">
      <c r="A194" s="2" t="s">
        <v>230</v>
      </c>
      <c r="B194" s="4">
        <v>76</v>
      </c>
      <c r="C194" t="s">
        <v>11</v>
      </c>
      <c r="D194" t="s">
        <v>33</v>
      </c>
      <c r="E194" t="s">
        <v>37</v>
      </c>
      <c r="F194" t="s">
        <v>30</v>
      </c>
      <c r="G194" s="4">
        <v>12</v>
      </c>
      <c r="H194" s="1">
        <v>62592</v>
      </c>
      <c r="I194" s="3" t="s">
        <v>21</v>
      </c>
      <c r="J194" s="4">
        <v>2</v>
      </c>
    </row>
    <row r="195" spans="1:10" x14ac:dyDescent="0.35">
      <c r="A195" s="2" t="s">
        <v>231</v>
      </c>
      <c r="B195" s="4">
        <v>67</v>
      </c>
      <c r="C195" t="s">
        <v>17</v>
      </c>
      <c r="D195" t="s">
        <v>23</v>
      </c>
      <c r="E195" t="s">
        <v>29</v>
      </c>
      <c r="F195" t="s">
        <v>20</v>
      </c>
      <c r="G195" s="4">
        <v>12</v>
      </c>
      <c r="H195" s="1">
        <v>40974</v>
      </c>
      <c r="I195" s="3" t="s">
        <v>15</v>
      </c>
      <c r="J195" s="4">
        <v>3</v>
      </c>
    </row>
    <row r="196" spans="1:10" x14ac:dyDescent="0.35">
      <c r="A196" s="2" t="s">
        <v>232</v>
      </c>
      <c r="B196" s="4">
        <v>39</v>
      </c>
      <c r="C196" t="s">
        <v>11</v>
      </c>
      <c r="D196" t="s">
        <v>26</v>
      </c>
      <c r="E196" t="s">
        <v>53</v>
      </c>
      <c r="F196" t="s">
        <v>20</v>
      </c>
      <c r="G196" s="4">
        <v>9</v>
      </c>
      <c r="H196" s="1">
        <v>46530</v>
      </c>
      <c r="I196" s="3" t="s">
        <v>15</v>
      </c>
      <c r="J196" s="4">
        <v>3</v>
      </c>
    </row>
    <row r="197" spans="1:10" x14ac:dyDescent="0.35">
      <c r="A197" s="2" t="s">
        <v>233</v>
      </c>
      <c r="B197" s="4">
        <v>55</v>
      </c>
      <c r="C197" t="s">
        <v>17</v>
      </c>
      <c r="D197" t="s">
        <v>41</v>
      </c>
      <c r="E197" t="s">
        <v>27</v>
      </c>
      <c r="F197" t="s">
        <v>14</v>
      </c>
      <c r="G197" s="4">
        <v>9</v>
      </c>
      <c r="H197" s="1">
        <v>54541</v>
      </c>
      <c r="I197" s="3" t="s">
        <v>15</v>
      </c>
      <c r="J197" s="4">
        <v>2</v>
      </c>
    </row>
    <row r="198" spans="1:10" x14ac:dyDescent="0.35">
      <c r="A198" s="2" t="s">
        <v>234</v>
      </c>
      <c r="B198" s="4">
        <v>62</v>
      </c>
      <c r="C198" t="s">
        <v>11</v>
      </c>
      <c r="D198" t="s">
        <v>36</v>
      </c>
      <c r="E198" t="s">
        <v>24</v>
      </c>
      <c r="F198" t="s">
        <v>14</v>
      </c>
      <c r="G198" s="4">
        <v>14</v>
      </c>
      <c r="H198" s="1">
        <v>23887</v>
      </c>
      <c r="I198" s="3" t="s">
        <v>21</v>
      </c>
      <c r="J198" s="4">
        <v>3</v>
      </c>
    </row>
    <row r="199" spans="1:10" x14ac:dyDescent="0.35">
      <c r="A199" s="2" t="s">
        <v>235</v>
      </c>
      <c r="B199" s="4">
        <v>45</v>
      </c>
      <c r="C199" t="s">
        <v>17</v>
      </c>
      <c r="D199" t="s">
        <v>41</v>
      </c>
      <c r="E199" t="s">
        <v>24</v>
      </c>
      <c r="F199" t="s">
        <v>14</v>
      </c>
      <c r="G199" s="4">
        <v>11</v>
      </c>
      <c r="H199" s="1">
        <v>60804</v>
      </c>
      <c r="I199" s="3" t="s">
        <v>15</v>
      </c>
      <c r="J199" s="4">
        <v>4</v>
      </c>
    </row>
    <row r="200" spans="1:10" x14ac:dyDescent="0.35">
      <c r="A200" s="2" t="s">
        <v>236</v>
      </c>
      <c r="B200" s="4">
        <v>71</v>
      </c>
      <c r="C200" t="s">
        <v>17</v>
      </c>
      <c r="D200" t="s">
        <v>39</v>
      </c>
      <c r="E200" t="s">
        <v>42</v>
      </c>
      <c r="F200" t="s">
        <v>20</v>
      </c>
      <c r="G200" s="4">
        <v>6</v>
      </c>
      <c r="H200" s="1">
        <v>80614</v>
      </c>
      <c r="I200" s="3" t="s">
        <v>21</v>
      </c>
      <c r="J200" s="4">
        <v>1</v>
      </c>
    </row>
    <row r="201" spans="1:10" x14ac:dyDescent="0.35">
      <c r="A201" s="2" t="s">
        <v>237</v>
      </c>
      <c r="B201" s="4">
        <v>68</v>
      </c>
      <c r="C201" t="s">
        <v>11</v>
      </c>
      <c r="D201" t="s">
        <v>33</v>
      </c>
      <c r="E201" t="s">
        <v>65</v>
      </c>
      <c r="F201" t="s">
        <v>14</v>
      </c>
      <c r="G201" s="4">
        <v>6</v>
      </c>
      <c r="H201" s="1">
        <v>48332</v>
      </c>
      <c r="I201" s="3" t="s">
        <v>21</v>
      </c>
      <c r="J201" s="4">
        <v>4</v>
      </c>
    </row>
    <row r="202" spans="1:10" x14ac:dyDescent="0.35">
      <c r="A202" s="2" t="s">
        <v>238</v>
      </c>
      <c r="B202" s="4">
        <v>82</v>
      </c>
      <c r="C202" t="s">
        <v>17</v>
      </c>
      <c r="D202" t="s">
        <v>33</v>
      </c>
      <c r="E202" t="s">
        <v>29</v>
      </c>
      <c r="F202" t="s">
        <v>30</v>
      </c>
      <c r="G202" s="4">
        <v>15</v>
      </c>
      <c r="H202" s="1">
        <v>14362</v>
      </c>
      <c r="I202" s="3" t="s">
        <v>21</v>
      </c>
      <c r="J202" s="4">
        <v>5</v>
      </c>
    </row>
    <row r="203" spans="1:10" x14ac:dyDescent="0.35">
      <c r="A203" s="2" t="s">
        <v>239</v>
      </c>
      <c r="B203" s="4">
        <v>26</v>
      </c>
      <c r="C203" t="s">
        <v>17</v>
      </c>
      <c r="D203" t="s">
        <v>18</v>
      </c>
      <c r="E203" t="s">
        <v>27</v>
      </c>
      <c r="F203" t="s">
        <v>14</v>
      </c>
      <c r="G203" s="4">
        <v>13</v>
      </c>
      <c r="H203" s="1">
        <v>83182</v>
      </c>
      <c r="I203" s="3" t="s">
        <v>15</v>
      </c>
      <c r="J203" s="4">
        <v>4</v>
      </c>
    </row>
    <row r="204" spans="1:10" x14ac:dyDescent="0.35">
      <c r="A204" s="2" t="s">
        <v>240</v>
      </c>
      <c r="B204" s="4">
        <v>64</v>
      </c>
      <c r="C204" t="s">
        <v>17</v>
      </c>
      <c r="D204" t="s">
        <v>33</v>
      </c>
      <c r="E204" t="s">
        <v>42</v>
      </c>
      <c r="F204" t="s">
        <v>30</v>
      </c>
      <c r="G204" s="4">
        <v>10</v>
      </c>
      <c r="H204" s="1">
        <v>98148</v>
      </c>
      <c r="I204" s="3" t="s">
        <v>15</v>
      </c>
      <c r="J204" s="4">
        <v>2</v>
      </c>
    </row>
    <row r="205" spans="1:10" x14ac:dyDescent="0.35">
      <c r="A205" s="2" t="s">
        <v>241</v>
      </c>
      <c r="B205" s="4">
        <v>36</v>
      </c>
      <c r="C205" t="s">
        <v>17</v>
      </c>
      <c r="D205" t="s">
        <v>41</v>
      </c>
      <c r="E205" t="s">
        <v>19</v>
      </c>
      <c r="F205" t="s">
        <v>20</v>
      </c>
      <c r="G205" s="4">
        <v>15</v>
      </c>
      <c r="H205" s="1">
        <v>55124</v>
      </c>
      <c r="I205" s="3" t="s">
        <v>21</v>
      </c>
      <c r="J205" s="4">
        <v>3</v>
      </c>
    </row>
    <row r="206" spans="1:10" x14ac:dyDescent="0.35">
      <c r="A206" s="2" t="s">
        <v>242</v>
      </c>
      <c r="B206" s="4">
        <v>10</v>
      </c>
      <c r="C206" t="s">
        <v>11</v>
      </c>
      <c r="D206" t="s">
        <v>49</v>
      </c>
      <c r="E206" t="s">
        <v>42</v>
      </c>
      <c r="F206" t="s">
        <v>14</v>
      </c>
      <c r="G206" s="4">
        <v>7</v>
      </c>
      <c r="H206" s="1">
        <v>36031</v>
      </c>
      <c r="I206" s="3" t="s">
        <v>15</v>
      </c>
      <c r="J206" s="4">
        <v>4</v>
      </c>
    </row>
    <row r="207" spans="1:10" x14ac:dyDescent="0.35">
      <c r="A207" s="2" t="s">
        <v>243</v>
      </c>
      <c r="B207" s="4">
        <v>88</v>
      </c>
      <c r="C207" t="s">
        <v>11</v>
      </c>
      <c r="D207" t="s">
        <v>12</v>
      </c>
      <c r="E207" t="s">
        <v>24</v>
      </c>
      <c r="F207" t="s">
        <v>20</v>
      </c>
      <c r="G207" s="4">
        <v>3</v>
      </c>
      <c r="H207" s="1">
        <v>95136</v>
      </c>
      <c r="I207" s="3" t="s">
        <v>21</v>
      </c>
      <c r="J207" s="4">
        <v>1</v>
      </c>
    </row>
    <row r="208" spans="1:10" x14ac:dyDescent="0.35">
      <c r="A208" s="2" t="s">
        <v>244</v>
      </c>
      <c r="B208" s="4">
        <v>39</v>
      </c>
      <c r="C208" t="s">
        <v>11</v>
      </c>
      <c r="D208" t="s">
        <v>12</v>
      </c>
      <c r="E208" t="s">
        <v>24</v>
      </c>
      <c r="F208" t="s">
        <v>20</v>
      </c>
      <c r="G208" s="4">
        <v>2</v>
      </c>
      <c r="H208" s="1">
        <v>14699</v>
      </c>
      <c r="I208" s="3" t="s">
        <v>21</v>
      </c>
      <c r="J208" s="4">
        <v>3</v>
      </c>
    </row>
    <row r="209" spans="1:10" x14ac:dyDescent="0.35">
      <c r="A209" s="2" t="s">
        <v>245</v>
      </c>
      <c r="B209" s="4">
        <v>76</v>
      </c>
      <c r="C209" t="s">
        <v>17</v>
      </c>
      <c r="D209" t="s">
        <v>41</v>
      </c>
      <c r="E209" t="s">
        <v>42</v>
      </c>
      <c r="F209" t="s">
        <v>14</v>
      </c>
      <c r="G209" s="4">
        <v>4</v>
      </c>
      <c r="H209" s="1">
        <v>56688</v>
      </c>
      <c r="I209" s="3" t="s">
        <v>15</v>
      </c>
      <c r="J209" s="4">
        <v>5</v>
      </c>
    </row>
    <row r="210" spans="1:10" x14ac:dyDescent="0.35">
      <c r="A210" s="2" t="s">
        <v>246</v>
      </c>
      <c r="B210" s="4">
        <v>32</v>
      </c>
      <c r="C210" t="s">
        <v>17</v>
      </c>
      <c r="D210" t="s">
        <v>39</v>
      </c>
      <c r="E210" t="s">
        <v>27</v>
      </c>
      <c r="F210" t="s">
        <v>30</v>
      </c>
      <c r="G210" s="4">
        <v>5</v>
      </c>
      <c r="H210" s="1">
        <v>94192</v>
      </c>
      <c r="I210" s="3" t="s">
        <v>21</v>
      </c>
      <c r="J210" s="4">
        <v>3</v>
      </c>
    </row>
    <row r="211" spans="1:10" x14ac:dyDescent="0.35">
      <c r="A211" s="2" t="s">
        <v>247</v>
      </c>
      <c r="B211" s="4">
        <v>49</v>
      </c>
      <c r="C211" t="s">
        <v>17</v>
      </c>
      <c r="D211" t="s">
        <v>33</v>
      </c>
      <c r="E211" t="s">
        <v>65</v>
      </c>
      <c r="F211" t="s">
        <v>20</v>
      </c>
      <c r="G211" s="4">
        <v>12</v>
      </c>
      <c r="H211" s="1">
        <v>9148</v>
      </c>
      <c r="I211" s="3" t="s">
        <v>15</v>
      </c>
      <c r="J211" s="4">
        <v>5</v>
      </c>
    </row>
    <row r="212" spans="1:10" x14ac:dyDescent="0.35">
      <c r="A212" s="2" t="s">
        <v>248</v>
      </c>
      <c r="B212" s="4">
        <v>18</v>
      </c>
      <c r="C212" t="s">
        <v>17</v>
      </c>
      <c r="D212" t="s">
        <v>26</v>
      </c>
      <c r="E212" t="s">
        <v>65</v>
      </c>
      <c r="F212" t="s">
        <v>30</v>
      </c>
      <c r="G212" s="4">
        <v>15</v>
      </c>
      <c r="H212" s="1">
        <v>63884</v>
      </c>
      <c r="I212" s="3" t="s">
        <v>15</v>
      </c>
      <c r="J212" s="4">
        <v>2</v>
      </c>
    </row>
    <row r="213" spans="1:10" x14ac:dyDescent="0.35">
      <c r="A213" s="2" t="s">
        <v>249</v>
      </c>
      <c r="B213" s="4">
        <v>5</v>
      </c>
      <c r="C213" t="s">
        <v>17</v>
      </c>
      <c r="D213" t="s">
        <v>12</v>
      </c>
      <c r="E213" t="s">
        <v>13</v>
      </c>
      <c r="F213" t="s">
        <v>14</v>
      </c>
      <c r="G213" s="4">
        <v>6</v>
      </c>
      <c r="H213" s="1">
        <v>15854</v>
      </c>
      <c r="I213" s="3" t="s">
        <v>15</v>
      </c>
      <c r="J213" s="4">
        <v>5</v>
      </c>
    </row>
    <row r="214" spans="1:10" x14ac:dyDescent="0.35">
      <c r="A214" s="2" t="s">
        <v>250</v>
      </c>
      <c r="B214" s="4">
        <v>8</v>
      </c>
      <c r="C214" t="s">
        <v>11</v>
      </c>
      <c r="D214" t="s">
        <v>12</v>
      </c>
      <c r="E214" t="s">
        <v>65</v>
      </c>
      <c r="F214" t="s">
        <v>20</v>
      </c>
      <c r="G214" s="4">
        <v>13</v>
      </c>
      <c r="H214" s="1">
        <v>64045</v>
      </c>
      <c r="I214" s="3" t="s">
        <v>15</v>
      </c>
      <c r="J214" s="4">
        <v>4</v>
      </c>
    </row>
    <row r="215" spans="1:10" x14ac:dyDescent="0.35">
      <c r="A215" s="2" t="s">
        <v>251</v>
      </c>
      <c r="B215" s="4">
        <v>33</v>
      </c>
      <c r="C215" t="s">
        <v>17</v>
      </c>
      <c r="D215" t="s">
        <v>49</v>
      </c>
      <c r="E215" t="s">
        <v>42</v>
      </c>
      <c r="F215" t="s">
        <v>30</v>
      </c>
      <c r="G215" s="4">
        <v>10</v>
      </c>
      <c r="H215" s="1">
        <v>27067</v>
      </c>
      <c r="I215" s="3" t="s">
        <v>21</v>
      </c>
      <c r="J215" s="4">
        <v>1</v>
      </c>
    </row>
    <row r="216" spans="1:10" x14ac:dyDescent="0.35">
      <c r="A216" s="2" t="s">
        <v>252</v>
      </c>
      <c r="B216" s="4">
        <v>26</v>
      </c>
      <c r="C216" t="s">
        <v>11</v>
      </c>
      <c r="D216" t="s">
        <v>36</v>
      </c>
      <c r="E216" t="s">
        <v>53</v>
      </c>
      <c r="F216" t="s">
        <v>20</v>
      </c>
      <c r="G216" s="4">
        <v>11</v>
      </c>
      <c r="H216" s="1">
        <v>14780</v>
      </c>
      <c r="I216" s="3" t="s">
        <v>15</v>
      </c>
      <c r="J216" s="4">
        <v>5</v>
      </c>
    </row>
    <row r="217" spans="1:10" x14ac:dyDescent="0.35">
      <c r="A217" s="2" t="s">
        <v>253</v>
      </c>
      <c r="B217" s="4">
        <v>14</v>
      </c>
      <c r="C217" t="s">
        <v>17</v>
      </c>
      <c r="D217" t="s">
        <v>41</v>
      </c>
      <c r="E217" t="s">
        <v>42</v>
      </c>
      <c r="F217" t="s">
        <v>14</v>
      </c>
      <c r="G217" s="4">
        <v>1</v>
      </c>
      <c r="H217" s="1">
        <v>66203</v>
      </c>
      <c r="I217" s="3" t="s">
        <v>15</v>
      </c>
      <c r="J217" s="4">
        <v>4</v>
      </c>
    </row>
    <row r="218" spans="1:10" x14ac:dyDescent="0.35">
      <c r="A218" s="2" t="s">
        <v>254</v>
      </c>
      <c r="B218" s="4">
        <v>65</v>
      </c>
      <c r="C218" t="s">
        <v>17</v>
      </c>
      <c r="D218" t="s">
        <v>23</v>
      </c>
      <c r="E218" t="s">
        <v>29</v>
      </c>
      <c r="F218" t="s">
        <v>30</v>
      </c>
      <c r="G218" s="4">
        <v>6</v>
      </c>
      <c r="H218" s="1">
        <v>73724</v>
      </c>
      <c r="I218" s="3" t="s">
        <v>15</v>
      </c>
      <c r="J218" s="4">
        <v>3</v>
      </c>
    </row>
    <row r="219" spans="1:10" x14ac:dyDescent="0.35">
      <c r="A219" s="2" t="s">
        <v>255</v>
      </c>
      <c r="B219" s="4">
        <v>27</v>
      </c>
      <c r="C219" t="s">
        <v>11</v>
      </c>
      <c r="D219" t="s">
        <v>18</v>
      </c>
      <c r="E219" t="s">
        <v>13</v>
      </c>
      <c r="F219" t="s">
        <v>14</v>
      </c>
      <c r="G219" s="4">
        <v>10</v>
      </c>
      <c r="H219" s="1">
        <v>91642</v>
      </c>
      <c r="I219" s="3" t="s">
        <v>21</v>
      </c>
      <c r="J219" s="4">
        <v>4</v>
      </c>
    </row>
    <row r="220" spans="1:10" x14ac:dyDescent="0.35">
      <c r="A220" s="2" t="s">
        <v>256</v>
      </c>
      <c r="B220" s="4">
        <v>1</v>
      </c>
      <c r="C220" t="s">
        <v>11</v>
      </c>
      <c r="D220" t="s">
        <v>18</v>
      </c>
      <c r="E220" t="s">
        <v>27</v>
      </c>
      <c r="F220" t="s">
        <v>14</v>
      </c>
      <c r="G220" s="4">
        <v>14</v>
      </c>
      <c r="H220" s="1">
        <v>72266</v>
      </c>
      <c r="I220" s="3" t="s">
        <v>21</v>
      </c>
      <c r="J220" s="4">
        <v>3</v>
      </c>
    </row>
    <row r="221" spans="1:10" x14ac:dyDescent="0.35">
      <c r="A221" s="2" t="s">
        <v>257</v>
      </c>
      <c r="B221" s="4">
        <v>43</v>
      </c>
      <c r="C221" t="s">
        <v>11</v>
      </c>
      <c r="D221" t="s">
        <v>41</v>
      </c>
      <c r="E221" t="s">
        <v>42</v>
      </c>
      <c r="F221" t="s">
        <v>20</v>
      </c>
      <c r="G221" s="4">
        <v>10</v>
      </c>
      <c r="H221" s="1">
        <v>84374</v>
      </c>
      <c r="I221" s="3" t="s">
        <v>21</v>
      </c>
      <c r="J221" s="4">
        <v>4</v>
      </c>
    </row>
    <row r="222" spans="1:10" x14ac:dyDescent="0.35">
      <c r="A222" s="2" t="s">
        <v>258</v>
      </c>
      <c r="B222" s="4">
        <v>65</v>
      </c>
      <c r="C222" t="s">
        <v>11</v>
      </c>
      <c r="D222" t="s">
        <v>39</v>
      </c>
      <c r="E222" t="s">
        <v>42</v>
      </c>
      <c r="F222" t="s">
        <v>20</v>
      </c>
      <c r="G222" s="4">
        <v>1</v>
      </c>
      <c r="H222" s="1">
        <v>12766</v>
      </c>
      <c r="I222" s="3" t="s">
        <v>15</v>
      </c>
      <c r="J222" s="4">
        <v>5</v>
      </c>
    </row>
    <row r="223" spans="1:10" x14ac:dyDescent="0.35">
      <c r="A223" s="2" t="s">
        <v>259</v>
      </c>
      <c r="B223" s="4">
        <v>35</v>
      </c>
      <c r="C223" t="s">
        <v>11</v>
      </c>
      <c r="D223" t="s">
        <v>41</v>
      </c>
      <c r="E223" t="s">
        <v>29</v>
      </c>
      <c r="F223" t="s">
        <v>20</v>
      </c>
      <c r="G223" s="4">
        <v>12</v>
      </c>
      <c r="H223" s="1">
        <v>19493</v>
      </c>
      <c r="I223" s="3" t="s">
        <v>21</v>
      </c>
      <c r="J223" s="4">
        <v>1</v>
      </c>
    </row>
    <row r="224" spans="1:10" x14ac:dyDescent="0.35">
      <c r="A224" s="2" t="s">
        <v>260</v>
      </c>
      <c r="B224" s="4">
        <v>19</v>
      </c>
      <c r="C224" t="s">
        <v>11</v>
      </c>
      <c r="D224" t="s">
        <v>36</v>
      </c>
      <c r="E224" t="s">
        <v>53</v>
      </c>
      <c r="F224" t="s">
        <v>14</v>
      </c>
      <c r="G224" s="4">
        <v>7</v>
      </c>
      <c r="H224" s="1">
        <v>41824</v>
      </c>
      <c r="I224" s="3" t="s">
        <v>15</v>
      </c>
      <c r="J224" s="4">
        <v>3</v>
      </c>
    </row>
    <row r="225" spans="1:10" x14ac:dyDescent="0.35">
      <c r="A225" s="2" t="s">
        <v>261</v>
      </c>
      <c r="B225" s="4">
        <v>57</v>
      </c>
      <c r="C225" t="s">
        <v>17</v>
      </c>
      <c r="D225" t="s">
        <v>36</v>
      </c>
      <c r="E225" t="s">
        <v>29</v>
      </c>
      <c r="F225" t="s">
        <v>20</v>
      </c>
      <c r="G225" s="4">
        <v>3</v>
      </c>
      <c r="H225" s="1">
        <v>83940</v>
      </c>
      <c r="I225" s="3" t="s">
        <v>21</v>
      </c>
      <c r="J225" s="4">
        <v>3</v>
      </c>
    </row>
    <row r="226" spans="1:10" x14ac:dyDescent="0.35">
      <c r="A226" s="2" t="s">
        <v>262</v>
      </c>
      <c r="B226" s="4">
        <v>83</v>
      </c>
      <c r="C226" t="s">
        <v>17</v>
      </c>
      <c r="D226" t="s">
        <v>49</v>
      </c>
      <c r="E226" t="s">
        <v>34</v>
      </c>
      <c r="F226" t="s">
        <v>30</v>
      </c>
      <c r="G226" s="4">
        <v>12</v>
      </c>
      <c r="H226" s="1">
        <v>42786</v>
      </c>
      <c r="I226" s="3" t="s">
        <v>15</v>
      </c>
      <c r="J226" s="4">
        <v>3</v>
      </c>
    </row>
    <row r="227" spans="1:10" x14ac:dyDescent="0.35">
      <c r="A227" s="2" t="s">
        <v>263</v>
      </c>
      <c r="B227" s="4">
        <v>9</v>
      </c>
      <c r="C227" t="s">
        <v>17</v>
      </c>
      <c r="D227" t="s">
        <v>49</v>
      </c>
      <c r="E227" t="s">
        <v>24</v>
      </c>
      <c r="F227" t="s">
        <v>14</v>
      </c>
      <c r="G227" s="4">
        <v>3</v>
      </c>
      <c r="H227" s="1">
        <v>19460</v>
      </c>
      <c r="I227" s="3" t="s">
        <v>15</v>
      </c>
      <c r="J227" s="4">
        <v>2</v>
      </c>
    </row>
    <row r="228" spans="1:10" x14ac:dyDescent="0.35">
      <c r="A228" s="2" t="s">
        <v>264</v>
      </c>
      <c r="B228" s="4">
        <v>67</v>
      </c>
      <c r="C228" t="s">
        <v>17</v>
      </c>
      <c r="D228" t="s">
        <v>23</v>
      </c>
      <c r="E228" t="s">
        <v>34</v>
      </c>
      <c r="F228" t="s">
        <v>14</v>
      </c>
      <c r="G228" s="4">
        <v>13</v>
      </c>
      <c r="H228" s="1">
        <v>42693</v>
      </c>
      <c r="I228" s="3" t="s">
        <v>21</v>
      </c>
      <c r="J228" s="4">
        <v>5</v>
      </c>
    </row>
    <row r="229" spans="1:10" x14ac:dyDescent="0.35">
      <c r="A229" s="2" t="s">
        <v>265</v>
      </c>
      <c r="B229" s="4">
        <v>77</v>
      </c>
      <c r="C229" t="s">
        <v>17</v>
      </c>
      <c r="D229" t="s">
        <v>23</v>
      </c>
      <c r="E229" t="s">
        <v>37</v>
      </c>
      <c r="F229" t="s">
        <v>14</v>
      </c>
      <c r="G229" s="4">
        <v>8</v>
      </c>
      <c r="H229" s="1">
        <v>22565</v>
      </c>
      <c r="I229" s="3" t="s">
        <v>15</v>
      </c>
      <c r="J229" s="4">
        <v>4</v>
      </c>
    </row>
    <row r="230" spans="1:10" x14ac:dyDescent="0.35">
      <c r="A230" s="2" t="s">
        <v>266</v>
      </c>
      <c r="B230" s="4">
        <v>16</v>
      </c>
      <c r="C230" t="s">
        <v>17</v>
      </c>
      <c r="D230" t="s">
        <v>18</v>
      </c>
      <c r="E230" t="s">
        <v>42</v>
      </c>
      <c r="F230" t="s">
        <v>30</v>
      </c>
      <c r="G230" s="4">
        <v>9</v>
      </c>
      <c r="H230" s="1">
        <v>56363</v>
      </c>
      <c r="I230" s="3" t="s">
        <v>21</v>
      </c>
      <c r="J230" s="4">
        <v>5</v>
      </c>
    </row>
    <row r="231" spans="1:10" x14ac:dyDescent="0.35">
      <c r="A231" s="2" t="s">
        <v>267</v>
      </c>
      <c r="B231" s="4">
        <v>38</v>
      </c>
      <c r="C231" t="s">
        <v>17</v>
      </c>
      <c r="D231" t="s">
        <v>26</v>
      </c>
      <c r="E231" t="s">
        <v>27</v>
      </c>
      <c r="F231" t="s">
        <v>14</v>
      </c>
      <c r="G231" s="4">
        <v>13</v>
      </c>
      <c r="H231" s="1">
        <v>39338</v>
      </c>
      <c r="I231" s="3" t="s">
        <v>21</v>
      </c>
      <c r="J231" s="4">
        <v>1</v>
      </c>
    </row>
    <row r="232" spans="1:10" x14ac:dyDescent="0.35">
      <c r="A232" s="2" t="s">
        <v>268</v>
      </c>
      <c r="B232" s="4">
        <v>26</v>
      </c>
      <c r="C232" t="s">
        <v>17</v>
      </c>
      <c r="D232" t="s">
        <v>18</v>
      </c>
      <c r="E232" t="s">
        <v>27</v>
      </c>
      <c r="F232" t="s">
        <v>14</v>
      </c>
      <c r="G232" s="4">
        <v>8</v>
      </c>
      <c r="H232" s="1">
        <v>28637</v>
      </c>
      <c r="I232" s="3" t="s">
        <v>21</v>
      </c>
      <c r="J232" s="4">
        <v>2</v>
      </c>
    </row>
    <row r="233" spans="1:10" x14ac:dyDescent="0.35">
      <c r="A233" s="2" t="s">
        <v>269</v>
      </c>
      <c r="B233" s="4">
        <v>63</v>
      </c>
      <c r="C233" t="s">
        <v>11</v>
      </c>
      <c r="D233" t="s">
        <v>36</v>
      </c>
      <c r="E233" t="s">
        <v>13</v>
      </c>
      <c r="F233" t="s">
        <v>20</v>
      </c>
      <c r="G233" s="4">
        <v>15</v>
      </c>
      <c r="H233" s="1">
        <v>54404</v>
      </c>
      <c r="I233" s="3" t="s">
        <v>21</v>
      </c>
      <c r="J233" s="4">
        <v>3</v>
      </c>
    </row>
    <row r="234" spans="1:10" x14ac:dyDescent="0.35">
      <c r="A234" s="2" t="s">
        <v>270</v>
      </c>
      <c r="B234" s="4">
        <v>29</v>
      </c>
      <c r="C234" t="s">
        <v>17</v>
      </c>
      <c r="D234" t="s">
        <v>33</v>
      </c>
      <c r="E234" t="s">
        <v>65</v>
      </c>
      <c r="F234" t="s">
        <v>14</v>
      </c>
      <c r="G234" s="4">
        <v>7</v>
      </c>
      <c r="H234" s="1">
        <v>88712</v>
      </c>
      <c r="I234" s="3" t="s">
        <v>15</v>
      </c>
      <c r="J234" s="4">
        <v>2</v>
      </c>
    </row>
    <row r="235" spans="1:10" x14ac:dyDescent="0.35">
      <c r="A235" s="2" t="s">
        <v>271</v>
      </c>
      <c r="B235" s="4">
        <v>33</v>
      </c>
      <c r="C235" t="s">
        <v>11</v>
      </c>
      <c r="D235" t="s">
        <v>23</v>
      </c>
      <c r="E235" t="s">
        <v>53</v>
      </c>
      <c r="F235" t="s">
        <v>14</v>
      </c>
      <c r="G235" s="4">
        <v>8</v>
      </c>
      <c r="H235" s="1">
        <v>94937</v>
      </c>
      <c r="I235" s="3" t="s">
        <v>15</v>
      </c>
      <c r="J235" s="4">
        <v>4</v>
      </c>
    </row>
    <row r="236" spans="1:10" x14ac:dyDescent="0.35">
      <c r="A236" s="2" t="s">
        <v>272</v>
      </c>
      <c r="B236" s="4">
        <v>35</v>
      </c>
      <c r="C236" t="s">
        <v>17</v>
      </c>
      <c r="D236" t="s">
        <v>23</v>
      </c>
      <c r="E236" t="s">
        <v>34</v>
      </c>
      <c r="F236" t="s">
        <v>14</v>
      </c>
      <c r="G236" s="4">
        <v>2</v>
      </c>
      <c r="H236" s="1">
        <v>65360</v>
      </c>
      <c r="I236" s="3" t="s">
        <v>15</v>
      </c>
      <c r="J236" s="4">
        <v>4</v>
      </c>
    </row>
    <row r="237" spans="1:10" x14ac:dyDescent="0.35">
      <c r="A237" s="2" t="s">
        <v>273</v>
      </c>
      <c r="B237" s="4">
        <v>28</v>
      </c>
      <c r="C237" t="s">
        <v>17</v>
      </c>
      <c r="D237" t="s">
        <v>49</v>
      </c>
      <c r="E237" t="s">
        <v>42</v>
      </c>
      <c r="F237" t="s">
        <v>14</v>
      </c>
      <c r="G237" s="4">
        <v>6</v>
      </c>
      <c r="H237" s="1">
        <v>21132</v>
      </c>
      <c r="I237" s="3" t="s">
        <v>21</v>
      </c>
      <c r="J237" s="4">
        <v>2</v>
      </c>
    </row>
    <row r="238" spans="1:10" x14ac:dyDescent="0.35">
      <c r="A238" s="2" t="s">
        <v>274</v>
      </c>
      <c r="B238" s="4">
        <v>86</v>
      </c>
      <c r="C238" t="s">
        <v>11</v>
      </c>
      <c r="D238" t="s">
        <v>23</v>
      </c>
      <c r="E238" t="s">
        <v>24</v>
      </c>
      <c r="F238" t="s">
        <v>30</v>
      </c>
      <c r="G238" s="4">
        <v>9</v>
      </c>
      <c r="H238" s="1">
        <v>75484</v>
      </c>
      <c r="I238" s="3" t="s">
        <v>15</v>
      </c>
      <c r="J238" s="4">
        <v>2</v>
      </c>
    </row>
    <row r="239" spans="1:10" x14ac:dyDescent="0.35">
      <c r="A239" s="2" t="s">
        <v>275</v>
      </c>
      <c r="B239" s="4">
        <v>23</v>
      </c>
      <c r="C239" t="s">
        <v>11</v>
      </c>
      <c r="D239" t="s">
        <v>33</v>
      </c>
      <c r="E239" t="s">
        <v>53</v>
      </c>
      <c r="F239" t="s">
        <v>30</v>
      </c>
      <c r="G239" s="4">
        <v>7</v>
      </c>
      <c r="H239" s="1">
        <v>28913</v>
      </c>
      <c r="I239" s="3" t="s">
        <v>15</v>
      </c>
      <c r="J239" s="4">
        <v>5</v>
      </c>
    </row>
    <row r="240" spans="1:10" x14ac:dyDescent="0.35">
      <c r="A240" s="2" t="s">
        <v>276</v>
      </c>
      <c r="B240" s="4">
        <v>28</v>
      </c>
      <c r="C240" t="s">
        <v>17</v>
      </c>
      <c r="D240" t="s">
        <v>12</v>
      </c>
      <c r="E240" t="s">
        <v>19</v>
      </c>
      <c r="F240" t="s">
        <v>30</v>
      </c>
      <c r="G240" s="4">
        <v>10</v>
      </c>
      <c r="H240" s="1">
        <v>45970</v>
      </c>
      <c r="I240" s="3" t="s">
        <v>15</v>
      </c>
      <c r="J240" s="4">
        <v>2</v>
      </c>
    </row>
    <row r="241" spans="1:10" x14ac:dyDescent="0.35">
      <c r="A241" s="2" t="s">
        <v>277</v>
      </c>
      <c r="B241" s="4">
        <v>71</v>
      </c>
      <c r="C241" t="s">
        <v>11</v>
      </c>
      <c r="D241" t="s">
        <v>33</v>
      </c>
      <c r="E241" t="s">
        <v>34</v>
      </c>
      <c r="F241" t="s">
        <v>14</v>
      </c>
      <c r="G241" s="4">
        <v>6</v>
      </c>
      <c r="H241" s="1">
        <v>38677</v>
      </c>
      <c r="I241" s="3" t="s">
        <v>21</v>
      </c>
      <c r="J241" s="4">
        <v>4</v>
      </c>
    </row>
    <row r="242" spans="1:10" x14ac:dyDescent="0.35">
      <c r="A242" s="2" t="s">
        <v>278</v>
      </c>
      <c r="B242" s="4">
        <v>50</v>
      </c>
      <c r="C242" t="s">
        <v>17</v>
      </c>
      <c r="D242" t="s">
        <v>18</v>
      </c>
      <c r="E242" t="s">
        <v>29</v>
      </c>
      <c r="F242" t="s">
        <v>20</v>
      </c>
      <c r="G242" s="4">
        <v>3</v>
      </c>
      <c r="H242" s="1">
        <v>36034</v>
      </c>
      <c r="I242" s="3" t="s">
        <v>15</v>
      </c>
      <c r="J242" s="4">
        <v>4</v>
      </c>
    </row>
    <row r="243" spans="1:10" x14ac:dyDescent="0.35">
      <c r="A243" s="2" t="s">
        <v>279</v>
      </c>
      <c r="B243" s="4">
        <v>16</v>
      </c>
      <c r="C243" t="s">
        <v>17</v>
      </c>
      <c r="D243" t="s">
        <v>26</v>
      </c>
      <c r="E243" t="s">
        <v>34</v>
      </c>
      <c r="F243" t="s">
        <v>20</v>
      </c>
      <c r="G243" s="4">
        <v>15</v>
      </c>
      <c r="H243" s="1">
        <v>49224</v>
      </c>
      <c r="I243" s="3" t="s">
        <v>21</v>
      </c>
      <c r="J243" s="4">
        <v>4</v>
      </c>
    </row>
    <row r="244" spans="1:10" x14ac:dyDescent="0.35">
      <c r="A244" s="2" t="s">
        <v>280</v>
      </c>
      <c r="B244" s="4">
        <v>68</v>
      </c>
      <c r="C244" t="s">
        <v>11</v>
      </c>
      <c r="D244" t="s">
        <v>18</v>
      </c>
      <c r="E244" t="s">
        <v>37</v>
      </c>
      <c r="F244" t="s">
        <v>20</v>
      </c>
      <c r="G244" s="4">
        <v>4</v>
      </c>
      <c r="H244" s="1">
        <v>31553</v>
      </c>
      <c r="I244" s="3" t="s">
        <v>21</v>
      </c>
      <c r="J244" s="4">
        <v>5</v>
      </c>
    </row>
    <row r="245" spans="1:10" x14ac:dyDescent="0.35">
      <c r="A245" s="2" t="s">
        <v>281</v>
      </c>
      <c r="B245" s="4">
        <v>78</v>
      </c>
      <c r="C245" t="s">
        <v>11</v>
      </c>
      <c r="D245" t="s">
        <v>39</v>
      </c>
      <c r="E245" t="s">
        <v>27</v>
      </c>
      <c r="F245" t="s">
        <v>30</v>
      </c>
      <c r="G245" s="4">
        <v>15</v>
      </c>
      <c r="H245" s="1">
        <v>68384</v>
      </c>
      <c r="I245" s="3" t="s">
        <v>15</v>
      </c>
      <c r="J245" s="4">
        <v>4</v>
      </c>
    </row>
    <row r="246" spans="1:10" x14ac:dyDescent="0.35">
      <c r="A246" s="2" t="s">
        <v>282</v>
      </c>
      <c r="B246" s="4">
        <v>28</v>
      </c>
      <c r="C246" t="s">
        <v>17</v>
      </c>
      <c r="D246" t="s">
        <v>33</v>
      </c>
      <c r="E246" t="s">
        <v>29</v>
      </c>
      <c r="F246" t="s">
        <v>30</v>
      </c>
      <c r="G246" s="4">
        <v>15</v>
      </c>
      <c r="H246" s="1">
        <v>96483</v>
      </c>
      <c r="I246" s="3" t="s">
        <v>21</v>
      </c>
      <c r="J246" s="4">
        <v>3</v>
      </c>
    </row>
    <row r="247" spans="1:10" x14ac:dyDescent="0.35">
      <c r="A247" s="2" t="s">
        <v>283</v>
      </c>
      <c r="B247" s="4">
        <v>14</v>
      </c>
      <c r="C247" t="s">
        <v>11</v>
      </c>
      <c r="D247" t="s">
        <v>36</v>
      </c>
      <c r="E247" t="s">
        <v>19</v>
      </c>
      <c r="F247" t="s">
        <v>30</v>
      </c>
      <c r="G247" s="4">
        <v>3</v>
      </c>
      <c r="H247" s="1">
        <v>78693</v>
      </c>
      <c r="I247" s="3" t="s">
        <v>21</v>
      </c>
      <c r="J247" s="4">
        <v>4</v>
      </c>
    </row>
    <row r="248" spans="1:10" x14ac:dyDescent="0.35">
      <c r="A248" s="2" t="s">
        <v>284</v>
      </c>
      <c r="B248" s="4">
        <v>65</v>
      </c>
      <c r="C248" t="s">
        <v>11</v>
      </c>
      <c r="D248" t="s">
        <v>12</v>
      </c>
      <c r="E248" t="s">
        <v>53</v>
      </c>
      <c r="F248" t="s">
        <v>14</v>
      </c>
      <c r="G248" s="4">
        <v>15</v>
      </c>
      <c r="H248" s="1">
        <v>64991</v>
      </c>
      <c r="I248" s="3" t="s">
        <v>15</v>
      </c>
      <c r="J248" s="4">
        <v>5</v>
      </c>
    </row>
    <row r="249" spans="1:10" x14ac:dyDescent="0.35">
      <c r="A249" s="2" t="s">
        <v>285</v>
      </c>
      <c r="B249" s="4">
        <v>78</v>
      </c>
      <c r="C249" t="s">
        <v>17</v>
      </c>
      <c r="D249" t="s">
        <v>26</v>
      </c>
      <c r="E249" t="s">
        <v>29</v>
      </c>
      <c r="F249" t="s">
        <v>20</v>
      </c>
      <c r="G249" s="4">
        <v>5</v>
      </c>
      <c r="H249" s="1">
        <v>61222</v>
      </c>
      <c r="I249" s="3" t="s">
        <v>21</v>
      </c>
      <c r="J249" s="4">
        <v>4</v>
      </c>
    </row>
    <row r="250" spans="1:10" x14ac:dyDescent="0.35">
      <c r="A250" s="2" t="s">
        <v>286</v>
      </c>
      <c r="B250" s="4">
        <v>70</v>
      </c>
      <c r="C250" t="s">
        <v>17</v>
      </c>
      <c r="D250" t="s">
        <v>23</v>
      </c>
      <c r="E250" t="s">
        <v>27</v>
      </c>
      <c r="F250" t="s">
        <v>14</v>
      </c>
      <c r="G250" s="4">
        <v>1</v>
      </c>
      <c r="H250" s="1">
        <v>35920</v>
      </c>
      <c r="I250" s="3" t="s">
        <v>21</v>
      </c>
      <c r="J250" s="4">
        <v>5</v>
      </c>
    </row>
    <row r="251" spans="1:10" x14ac:dyDescent="0.35">
      <c r="A251" s="2" t="s">
        <v>287</v>
      </c>
      <c r="B251" s="4">
        <v>8</v>
      </c>
      <c r="C251" t="s">
        <v>17</v>
      </c>
      <c r="D251" t="s">
        <v>18</v>
      </c>
      <c r="E251" t="s">
        <v>34</v>
      </c>
      <c r="F251" t="s">
        <v>14</v>
      </c>
      <c r="G251" s="4">
        <v>3</v>
      </c>
      <c r="H251" s="1">
        <v>63553</v>
      </c>
      <c r="I251" s="3" t="s">
        <v>15</v>
      </c>
      <c r="J251" s="4">
        <v>4</v>
      </c>
    </row>
    <row r="252" spans="1:10" x14ac:dyDescent="0.35">
      <c r="A252" s="2" t="s">
        <v>288</v>
      </c>
      <c r="B252" s="4">
        <v>8</v>
      </c>
      <c r="C252" t="s">
        <v>17</v>
      </c>
      <c r="D252" t="s">
        <v>28</v>
      </c>
      <c r="E252" t="s">
        <v>42</v>
      </c>
      <c r="F252" t="s">
        <v>30</v>
      </c>
      <c r="G252" s="4">
        <v>12</v>
      </c>
      <c r="H252" s="1">
        <v>74975</v>
      </c>
      <c r="I252" s="3" t="s">
        <v>15</v>
      </c>
      <c r="J252" s="4">
        <v>5</v>
      </c>
    </row>
    <row r="253" spans="1:10" x14ac:dyDescent="0.35">
      <c r="A253" s="2" t="s">
        <v>289</v>
      </c>
      <c r="B253" s="4">
        <v>11</v>
      </c>
      <c r="C253" t="s">
        <v>11</v>
      </c>
      <c r="D253" t="s">
        <v>18</v>
      </c>
      <c r="E253" t="s">
        <v>65</v>
      </c>
      <c r="F253" t="s">
        <v>30</v>
      </c>
      <c r="G253" s="4">
        <v>8</v>
      </c>
      <c r="H253" s="1">
        <v>56551</v>
      </c>
      <c r="I253" s="3" t="s">
        <v>21</v>
      </c>
      <c r="J253" s="4">
        <v>2</v>
      </c>
    </row>
    <row r="254" spans="1:10" x14ac:dyDescent="0.35">
      <c r="A254" s="2" t="s">
        <v>290</v>
      </c>
      <c r="B254" s="4">
        <v>80</v>
      </c>
      <c r="C254" t="s">
        <v>11</v>
      </c>
      <c r="D254" t="s">
        <v>28</v>
      </c>
      <c r="E254" t="s">
        <v>37</v>
      </c>
      <c r="F254" t="s">
        <v>30</v>
      </c>
      <c r="G254" s="4">
        <v>3</v>
      </c>
      <c r="H254" s="1">
        <v>42367</v>
      </c>
      <c r="I254" s="3" t="s">
        <v>21</v>
      </c>
      <c r="J254" s="4">
        <v>1</v>
      </c>
    </row>
    <row r="255" spans="1:10" x14ac:dyDescent="0.35">
      <c r="A255" s="2" t="s">
        <v>291</v>
      </c>
      <c r="B255" s="4">
        <v>7</v>
      </c>
      <c r="C255" t="s">
        <v>11</v>
      </c>
      <c r="D255" t="s">
        <v>28</v>
      </c>
      <c r="E255" t="s">
        <v>24</v>
      </c>
      <c r="F255" t="s">
        <v>30</v>
      </c>
      <c r="G255" s="4">
        <v>5</v>
      </c>
      <c r="H255" s="1">
        <v>82898</v>
      </c>
      <c r="I255" s="3" t="s">
        <v>15</v>
      </c>
      <c r="J255" s="4">
        <v>2</v>
      </c>
    </row>
    <row r="256" spans="1:10" x14ac:dyDescent="0.35">
      <c r="A256" s="2" t="s">
        <v>292</v>
      </c>
      <c r="B256" s="4">
        <v>80</v>
      </c>
      <c r="C256" t="s">
        <v>11</v>
      </c>
      <c r="D256" t="s">
        <v>49</v>
      </c>
      <c r="E256" t="s">
        <v>65</v>
      </c>
      <c r="F256" t="s">
        <v>20</v>
      </c>
      <c r="G256" s="4">
        <v>6</v>
      </c>
      <c r="H256" s="1">
        <v>66255</v>
      </c>
      <c r="I256" s="3" t="s">
        <v>15</v>
      </c>
      <c r="J256" s="4">
        <v>5</v>
      </c>
    </row>
    <row r="257" spans="1:10" x14ac:dyDescent="0.35">
      <c r="A257" s="2" t="s">
        <v>293</v>
      </c>
      <c r="B257" s="4">
        <v>7</v>
      </c>
      <c r="C257" t="s">
        <v>11</v>
      </c>
      <c r="D257" t="s">
        <v>41</v>
      </c>
      <c r="E257" t="s">
        <v>37</v>
      </c>
      <c r="F257" t="s">
        <v>20</v>
      </c>
      <c r="G257" s="4">
        <v>10</v>
      </c>
      <c r="H257" s="1">
        <v>45699</v>
      </c>
      <c r="I257" s="3" t="s">
        <v>21</v>
      </c>
      <c r="J257" s="4">
        <v>5</v>
      </c>
    </row>
    <row r="258" spans="1:10" x14ac:dyDescent="0.35">
      <c r="A258" s="2" t="s">
        <v>294</v>
      </c>
      <c r="B258" s="4">
        <v>72</v>
      </c>
      <c r="C258" t="s">
        <v>11</v>
      </c>
      <c r="D258" t="s">
        <v>26</v>
      </c>
      <c r="E258" t="s">
        <v>24</v>
      </c>
      <c r="F258" t="s">
        <v>14</v>
      </c>
      <c r="G258" s="4">
        <v>10</v>
      </c>
      <c r="H258" s="1">
        <v>44706</v>
      </c>
      <c r="I258" s="3" t="s">
        <v>15</v>
      </c>
      <c r="J258" s="4">
        <v>5</v>
      </c>
    </row>
    <row r="259" spans="1:10" x14ac:dyDescent="0.35">
      <c r="A259" s="2" t="s">
        <v>295</v>
      </c>
      <c r="B259" s="4">
        <v>54</v>
      </c>
      <c r="C259" t="s">
        <v>17</v>
      </c>
      <c r="D259" t="s">
        <v>33</v>
      </c>
      <c r="E259" t="s">
        <v>53</v>
      </c>
      <c r="F259" t="s">
        <v>30</v>
      </c>
      <c r="G259" s="4">
        <v>12</v>
      </c>
      <c r="H259" s="1">
        <v>66934</v>
      </c>
      <c r="I259" s="3" t="s">
        <v>21</v>
      </c>
      <c r="J259" s="4">
        <v>1</v>
      </c>
    </row>
    <row r="260" spans="1:10" x14ac:dyDescent="0.35">
      <c r="A260" s="2" t="s">
        <v>296</v>
      </c>
      <c r="B260" s="4">
        <v>42</v>
      </c>
      <c r="C260" t="s">
        <v>17</v>
      </c>
      <c r="D260" t="s">
        <v>33</v>
      </c>
      <c r="E260" t="s">
        <v>34</v>
      </c>
      <c r="F260" t="s">
        <v>20</v>
      </c>
      <c r="G260" s="4">
        <v>9</v>
      </c>
      <c r="H260" s="1">
        <v>22170</v>
      </c>
      <c r="I260" s="3" t="s">
        <v>15</v>
      </c>
      <c r="J260" s="4">
        <v>2</v>
      </c>
    </row>
    <row r="261" spans="1:10" x14ac:dyDescent="0.35">
      <c r="A261" s="2" t="s">
        <v>297</v>
      </c>
      <c r="B261" s="4">
        <v>64</v>
      </c>
      <c r="C261" t="s">
        <v>17</v>
      </c>
      <c r="D261" t="s">
        <v>49</v>
      </c>
      <c r="E261" t="s">
        <v>13</v>
      </c>
      <c r="F261" t="s">
        <v>14</v>
      </c>
      <c r="G261" s="4">
        <v>5</v>
      </c>
      <c r="H261" s="1">
        <v>16377</v>
      </c>
      <c r="I261" s="3" t="s">
        <v>15</v>
      </c>
      <c r="J261" s="4">
        <v>4</v>
      </c>
    </row>
    <row r="262" spans="1:10" x14ac:dyDescent="0.35">
      <c r="A262" s="2" t="s">
        <v>298</v>
      </c>
      <c r="B262" s="4">
        <v>54</v>
      </c>
      <c r="C262" t="s">
        <v>11</v>
      </c>
      <c r="D262" t="s">
        <v>41</v>
      </c>
      <c r="E262" t="s">
        <v>65</v>
      </c>
      <c r="F262" t="s">
        <v>20</v>
      </c>
      <c r="G262" s="4">
        <v>15</v>
      </c>
      <c r="H262" s="1">
        <v>34701</v>
      </c>
      <c r="I262" s="3" t="s">
        <v>15</v>
      </c>
      <c r="J262" s="4">
        <v>2</v>
      </c>
    </row>
    <row r="263" spans="1:10" x14ac:dyDescent="0.35">
      <c r="A263" s="2" t="s">
        <v>299</v>
      </c>
      <c r="B263" s="4">
        <v>29</v>
      </c>
      <c r="C263" t="s">
        <v>11</v>
      </c>
      <c r="D263" t="s">
        <v>18</v>
      </c>
      <c r="E263" t="s">
        <v>24</v>
      </c>
      <c r="F263" t="s">
        <v>30</v>
      </c>
      <c r="G263" s="4">
        <v>10</v>
      </c>
      <c r="H263" s="1">
        <v>86255</v>
      </c>
      <c r="I263" s="3" t="s">
        <v>21</v>
      </c>
      <c r="J263" s="4">
        <v>3</v>
      </c>
    </row>
    <row r="264" spans="1:10" x14ac:dyDescent="0.35">
      <c r="A264" s="2" t="s">
        <v>300</v>
      </c>
      <c r="B264" s="4">
        <v>47</v>
      </c>
      <c r="C264" t="s">
        <v>17</v>
      </c>
      <c r="D264" t="s">
        <v>12</v>
      </c>
      <c r="E264" t="s">
        <v>29</v>
      </c>
      <c r="F264" t="s">
        <v>14</v>
      </c>
      <c r="G264" s="4">
        <v>8</v>
      </c>
      <c r="H264" s="1">
        <v>33086</v>
      </c>
      <c r="I264" s="3" t="s">
        <v>21</v>
      </c>
      <c r="J264" s="4">
        <v>3</v>
      </c>
    </row>
    <row r="265" spans="1:10" x14ac:dyDescent="0.35">
      <c r="A265" s="2" t="s">
        <v>301</v>
      </c>
      <c r="B265" s="4">
        <v>14</v>
      </c>
      <c r="C265" t="s">
        <v>11</v>
      </c>
      <c r="D265" t="s">
        <v>18</v>
      </c>
      <c r="E265" t="s">
        <v>37</v>
      </c>
      <c r="F265" t="s">
        <v>14</v>
      </c>
      <c r="G265" s="4">
        <v>12</v>
      </c>
      <c r="H265" s="1">
        <v>54459</v>
      </c>
      <c r="I265" s="3" t="s">
        <v>15</v>
      </c>
      <c r="J265" s="4">
        <v>1</v>
      </c>
    </row>
    <row r="266" spans="1:10" x14ac:dyDescent="0.35">
      <c r="A266" s="2" t="s">
        <v>302</v>
      </c>
      <c r="B266" s="4">
        <v>64</v>
      </c>
      <c r="C266" t="s">
        <v>17</v>
      </c>
      <c r="D266" t="s">
        <v>28</v>
      </c>
      <c r="E266" t="s">
        <v>19</v>
      </c>
      <c r="F266" t="s">
        <v>30</v>
      </c>
      <c r="G266" s="4">
        <v>5</v>
      </c>
      <c r="H266" s="1">
        <v>54319</v>
      </c>
      <c r="I266" s="3" t="s">
        <v>21</v>
      </c>
      <c r="J266" s="4">
        <v>2</v>
      </c>
    </row>
    <row r="267" spans="1:10" x14ac:dyDescent="0.35">
      <c r="A267" s="2" t="s">
        <v>303</v>
      </c>
      <c r="B267" s="4">
        <v>81</v>
      </c>
      <c r="C267" t="s">
        <v>11</v>
      </c>
      <c r="D267" t="s">
        <v>23</v>
      </c>
      <c r="E267" t="s">
        <v>37</v>
      </c>
      <c r="F267" t="s">
        <v>20</v>
      </c>
      <c r="G267" s="4">
        <v>14</v>
      </c>
      <c r="H267" s="1">
        <v>39859</v>
      </c>
      <c r="I267" s="3" t="s">
        <v>21</v>
      </c>
      <c r="J267" s="4">
        <v>4</v>
      </c>
    </row>
    <row r="268" spans="1:10" x14ac:dyDescent="0.35">
      <c r="A268" s="2" t="s">
        <v>304</v>
      </c>
      <c r="B268" s="4">
        <v>48</v>
      </c>
      <c r="C268" t="s">
        <v>11</v>
      </c>
      <c r="D268" t="s">
        <v>28</v>
      </c>
      <c r="E268" t="s">
        <v>29</v>
      </c>
      <c r="F268" t="s">
        <v>20</v>
      </c>
      <c r="G268" s="4">
        <v>5</v>
      </c>
      <c r="H268" s="1">
        <v>42432</v>
      </c>
      <c r="I268" s="3" t="s">
        <v>21</v>
      </c>
      <c r="J268" s="4">
        <v>3</v>
      </c>
    </row>
    <row r="269" spans="1:10" x14ac:dyDescent="0.35">
      <c r="A269" s="2" t="s">
        <v>305</v>
      </c>
      <c r="B269" s="4">
        <v>48</v>
      </c>
      <c r="C269" t="s">
        <v>17</v>
      </c>
      <c r="D269" t="s">
        <v>41</v>
      </c>
      <c r="E269" t="s">
        <v>13</v>
      </c>
      <c r="F269" t="s">
        <v>14</v>
      </c>
      <c r="G269" s="4">
        <v>11</v>
      </c>
      <c r="H269" s="1">
        <v>87197</v>
      </c>
      <c r="I269" s="3" t="s">
        <v>21</v>
      </c>
      <c r="J269" s="4">
        <v>1</v>
      </c>
    </row>
    <row r="270" spans="1:10" x14ac:dyDescent="0.35">
      <c r="A270" s="2" t="s">
        <v>306</v>
      </c>
      <c r="B270" s="4">
        <v>86</v>
      </c>
      <c r="C270" t="s">
        <v>17</v>
      </c>
      <c r="D270" t="s">
        <v>26</v>
      </c>
      <c r="E270" t="s">
        <v>29</v>
      </c>
      <c r="F270" t="s">
        <v>20</v>
      </c>
      <c r="G270" s="4">
        <v>15</v>
      </c>
      <c r="H270" s="1">
        <v>69008</v>
      </c>
      <c r="I270" s="3" t="s">
        <v>21</v>
      </c>
      <c r="J270" s="4">
        <v>2</v>
      </c>
    </row>
    <row r="271" spans="1:10" x14ac:dyDescent="0.35">
      <c r="A271" s="2" t="s">
        <v>307</v>
      </c>
      <c r="B271" s="4">
        <v>55</v>
      </c>
      <c r="C271" t="s">
        <v>11</v>
      </c>
      <c r="D271" t="s">
        <v>23</v>
      </c>
      <c r="E271" t="s">
        <v>13</v>
      </c>
      <c r="F271" t="s">
        <v>14</v>
      </c>
      <c r="G271" s="4">
        <v>6</v>
      </c>
      <c r="H271" s="1">
        <v>11004</v>
      </c>
      <c r="I271" s="3" t="s">
        <v>21</v>
      </c>
      <c r="J271" s="4">
        <v>1</v>
      </c>
    </row>
    <row r="272" spans="1:10" x14ac:dyDescent="0.35">
      <c r="A272" s="2" t="s">
        <v>308</v>
      </c>
      <c r="B272" s="4">
        <v>71</v>
      </c>
      <c r="C272" t="s">
        <v>11</v>
      </c>
      <c r="D272" t="s">
        <v>49</v>
      </c>
      <c r="E272" t="s">
        <v>65</v>
      </c>
      <c r="F272" t="s">
        <v>30</v>
      </c>
      <c r="G272" s="4">
        <v>3</v>
      </c>
      <c r="H272" s="1">
        <v>62533</v>
      </c>
      <c r="I272" s="3" t="s">
        <v>15</v>
      </c>
      <c r="J272" s="4">
        <v>2</v>
      </c>
    </row>
    <row r="273" spans="1:10" x14ac:dyDescent="0.35">
      <c r="A273" s="2" t="s">
        <v>309</v>
      </c>
      <c r="B273" s="4">
        <v>67</v>
      </c>
      <c r="C273" t="s">
        <v>11</v>
      </c>
      <c r="D273" t="s">
        <v>36</v>
      </c>
      <c r="E273" t="s">
        <v>29</v>
      </c>
      <c r="F273" t="s">
        <v>20</v>
      </c>
      <c r="G273" s="4">
        <v>13</v>
      </c>
      <c r="H273" s="1">
        <v>50308</v>
      </c>
      <c r="I273" s="3" t="s">
        <v>21</v>
      </c>
      <c r="J273" s="4">
        <v>2</v>
      </c>
    </row>
    <row r="274" spans="1:10" x14ac:dyDescent="0.35">
      <c r="A274" s="2" t="s">
        <v>310</v>
      </c>
      <c r="B274" s="4">
        <v>8</v>
      </c>
      <c r="C274" t="s">
        <v>11</v>
      </c>
      <c r="D274" t="s">
        <v>39</v>
      </c>
      <c r="E274" t="s">
        <v>29</v>
      </c>
      <c r="F274" t="s">
        <v>20</v>
      </c>
      <c r="G274" s="4">
        <v>15</v>
      </c>
      <c r="H274" s="1">
        <v>75325</v>
      </c>
      <c r="I274" s="3" t="s">
        <v>21</v>
      </c>
      <c r="J274" s="4">
        <v>4</v>
      </c>
    </row>
    <row r="275" spans="1:10" x14ac:dyDescent="0.35">
      <c r="A275" s="2" t="s">
        <v>311</v>
      </c>
      <c r="B275" s="4">
        <v>77</v>
      </c>
      <c r="C275" t="s">
        <v>17</v>
      </c>
      <c r="D275" t="s">
        <v>39</v>
      </c>
      <c r="E275" t="s">
        <v>24</v>
      </c>
      <c r="F275" t="s">
        <v>30</v>
      </c>
      <c r="G275" s="4">
        <v>11</v>
      </c>
      <c r="H275" s="1">
        <v>21618</v>
      </c>
      <c r="I275" s="3" t="s">
        <v>15</v>
      </c>
      <c r="J275" s="4">
        <v>2</v>
      </c>
    </row>
    <row r="276" spans="1:10" x14ac:dyDescent="0.35">
      <c r="A276" s="2" t="s">
        <v>312</v>
      </c>
      <c r="B276" s="4">
        <v>33</v>
      </c>
      <c r="C276" t="s">
        <v>11</v>
      </c>
      <c r="D276" t="s">
        <v>39</v>
      </c>
      <c r="E276" t="s">
        <v>29</v>
      </c>
      <c r="F276" t="s">
        <v>14</v>
      </c>
      <c r="G276" s="4">
        <v>3</v>
      </c>
      <c r="H276" s="1">
        <v>64483</v>
      </c>
      <c r="I276" s="3" t="s">
        <v>15</v>
      </c>
      <c r="J276" s="4">
        <v>5</v>
      </c>
    </row>
    <row r="277" spans="1:10" x14ac:dyDescent="0.35">
      <c r="A277" s="2" t="s">
        <v>313</v>
      </c>
      <c r="B277" s="4">
        <v>41</v>
      </c>
      <c r="C277" t="s">
        <v>17</v>
      </c>
      <c r="D277" t="s">
        <v>41</v>
      </c>
      <c r="E277" t="s">
        <v>13</v>
      </c>
      <c r="F277" t="s">
        <v>14</v>
      </c>
      <c r="G277" s="4">
        <v>1</v>
      </c>
      <c r="H277" s="1">
        <v>23304</v>
      </c>
      <c r="I277" s="3" t="s">
        <v>15</v>
      </c>
      <c r="J277" s="4">
        <v>5</v>
      </c>
    </row>
    <row r="278" spans="1:10" x14ac:dyDescent="0.35">
      <c r="A278" s="2" t="s">
        <v>314</v>
      </c>
      <c r="B278" s="4">
        <v>90</v>
      </c>
      <c r="C278" t="s">
        <v>11</v>
      </c>
      <c r="D278" t="s">
        <v>41</v>
      </c>
      <c r="E278" t="s">
        <v>29</v>
      </c>
      <c r="F278" t="s">
        <v>20</v>
      </c>
      <c r="G278" s="4">
        <v>10</v>
      </c>
      <c r="H278" s="1">
        <v>26343</v>
      </c>
      <c r="I278" s="3" t="s">
        <v>21</v>
      </c>
      <c r="J278" s="4">
        <v>4</v>
      </c>
    </row>
    <row r="279" spans="1:10" x14ac:dyDescent="0.35">
      <c r="A279" s="2" t="s">
        <v>315</v>
      </c>
      <c r="B279" s="4">
        <v>65</v>
      </c>
      <c r="C279" t="s">
        <v>17</v>
      </c>
      <c r="D279" t="s">
        <v>33</v>
      </c>
      <c r="E279" t="s">
        <v>65</v>
      </c>
      <c r="F279" t="s">
        <v>20</v>
      </c>
      <c r="G279" s="4">
        <v>14</v>
      </c>
      <c r="H279" s="1">
        <v>59683</v>
      </c>
      <c r="I279" s="3" t="s">
        <v>15</v>
      </c>
      <c r="J279" s="4">
        <v>5</v>
      </c>
    </row>
    <row r="280" spans="1:10" x14ac:dyDescent="0.35">
      <c r="A280" s="2" t="s">
        <v>316</v>
      </c>
      <c r="B280" s="4">
        <v>78</v>
      </c>
      <c r="C280" t="s">
        <v>11</v>
      </c>
      <c r="D280" t="s">
        <v>28</v>
      </c>
      <c r="E280" t="s">
        <v>13</v>
      </c>
      <c r="F280" t="s">
        <v>14</v>
      </c>
      <c r="G280" s="4">
        <v>5</v>
      </c>
      <c r="H280" s="1">
        <v>83259</v>
      </c>
      <c r="I280" s="3" t="s">
        <v>15</v>
      </c>
      <c r="J280" s="4">
        <v>1</v>
      </c>
    </row>
    <row r="281" spans="1:10" x14ac:dyDescent="0.35">
      <c r="A281" s="2" t="s">
        <v>317</v>
      </c>
      <c r="B281" s="4">
        <v>1</v>
      </c>
      <c r="C281" t="s">
        <v>17</v>
      </c>
      <c r="D281" t="s">
        <v>12</v>
      </c>
      <c r="E281" t="s">
        <v>19</v>
      </c>
      <c r="F281" t="s">
        <v>30</v>
      </c>
      <c r="G281" s="4">
        <v>15</v>
      </c>
      <c r="H281" s="1">
        <v>30758</v>
      </c>
      <c r="I281" s="3" t="s">
        <v>21</v>
      </c>
      <c r="J281" s="4">
        <v>3</v>
      </c>
    </row>
    <row r="282" spans="1:10" x14ac:dyDescent="0.35">
      <c r="A282" s="2" t="s">
        <v>318</v>
      </c>
      <c r="B282" s="4">
        <v>47</v>
      </c>
      <c r="C282" t="s">
        <v>11</v>
      </c>
      <c r="D282" t="s">
        <v>28</v>
      </c>
      <c r="E282" t="s">
        <v>65</v>
      </c>
      <c r="F282" t="s">
        <v>14</v>
      </c>
      <c r="G282" s="4">
        <v>11</v>
      </c>
      <c r="H282" s="1">
        <v>30825</v>
      </c>
      <c r="I282" s="3" t="s">
        <v>21</v>
      </c>
      <c r="J282" s="4">
        <v>3</v>
      </c>
    </row>
    <row r="283" spans="1:10" x14ac:dyDescent="0.35">
      <c r="A283" s="2" t="s">
        <v>319</v>
      </c>
      <c r="B283" s="4">
        <v>52</v>
      </c>
      <c r="C283" t="s">
        <v>11</v>
      </c>
      <c r="D283" t="s">
        <v>12</v>
      </c>
      <c r="E283" t="s">
        <v>13</v>
      </c>
      <c r="F283" t="s">
        <v>20</v>
      </c>
      <c r="G283" s="4">
        <v>14</v>
      </c>
      <c r="H283" s="1">
        <v>61684</v>
      </c>
      <c r="I283" s="3" t="s">
        <v>15</v>
      </c>
      <c r="J283" s="4">
        <v>4</v>
      </c>
    </row>
    <row r="284" spans="1:10" x14ac:dyDescent="0.35">
      <c r="A284" s="2" t="s">
        <v>320</v>
      </c>
      <c r="B284" s="4">
        <v>86</v>
      </c>
      <c r="C284" t="s">
        <v>11</v>
      </c>
      <c r="D284" t="s">
        <v>49</v>
      </c>
      <c r="E284" t="s">
        <v>34</v>
      </c>
      <c r="F284" t="s">
        <v>30</v>
      </c>
      <c r="G284" s="4">
        <v>9</v>
      </c>
      <c r="H284" s="1">
        <v>52496</v>
      </c>
      <c r="I284" s="3" t="s">
        <v>21</v>
      </c>
      <c r="J284" s="4">
        <v>1</v>
      </c>
    </row>
    <row r="285" spans="1:10" x14ac:dyDescent="0.35">
      <c r="A285" s="2" t="s">
        <v>321</v>
      </c>
      <c r="B285" s="4">
        <v>28</v>
      </c>
      <c r="C285" t="s">
        <v>17</v>
      </c>
      <c r="D285" t="s">
        <v>49</v>
      </c>
      <c r="E285" t="s">
        <v>37</v>
      </c>
      <c r="F285" t="s">
        <v>14</v>
      </c>
      <c r="G285" s="4">
        <v>1</v>
      </c>
      <c r="H285" s="1">
        <v>77455</v>
      </c>
      <c r="I285" s="3" t="s">
        <v>21</v>
      </c>
      <c r="J285" s="4">
        <v>2</v>
      </c>
    </row>
    <row r="286" spans="1:10" x14ac:dyDescent="0.35">
      <c r="A286" s="2" t="s">
        <v>322</v>
      </c>
      <c r="B286" s="4">
        <v>66</v>
      </c>
      <c r="C286" t="s">
        <v>17</v>
      </c>
      <c r="D286" t="s">
        <v>12</v>
      </c>
      <c r="E286" t="s">
        <v>19</v>
      </c>
      <c r="F286" t="s">
        <v>14</v>
      </c>
      <c r="G286" s="4">
        <v>14</v>
      </c>
      <c r="H286" s="1">
        <v>14257</v>
      </c>
      <c r="I286" s="3" t="s">
        <v>21</v>
      </c>
      <c r="J286" s="4">
        <v>2</v>
      </c>
    </row>
    <row r="287" spans="1:10" x14ac:dyDescent="0.35">
      <c r="A287" s="2" t="s">
        <v>323</v>
      </c>
      <c r="B287" s="4">
        <v>20</v>
      </c>
      <c r="C287" t="s">
        <v>11</v>
      </c>
      <c r="D287" t="s">
        <v>49</v>
      </c>
      <c r="E287" t="s">
        <v>37</v>
      </c>
      <c r="F287" t="s">
        <v>14</v>
      </c>
      <c r="G287" s="4">
        <v>9</v>
      </c>
      <c r="H287" s="1">
        <v>58791</v>
      </c>
      <c r="I287" s="3" t="s">
        <v>21</v>
      </c>
      <c r="J287" s="4">
        <v>2</v>
      </c>
    </row>
    <row r="288" spans="1:10" x14ac:dyDescent="0.35">
      <c r="A288" s="2" t="s">
        <v>324</v>
      </c>
      <c r="B288" s="4">
        <v>7</v>
      </c>
      <c r="C288" t="s">
        <v>11</v>
      </c>
      <c r="D288" t="s">
        <v>18</v>
      </c>
      <c r="E288" t="s">
        <v>13</v>
      </c>
      <c r="F288" t="s">
        <v>14</v>
      </c>
      <c r="G288" s="4">
        <v>13</v>
      </c>
      <c r="H288" s="1">
        <v>78813</v>
      </c>
      <c r="I288" s="3" t="s">
        <v>15</v>
      </c>
      <c r="J288" s="4">
        <v>5</v>
      </c>
    </row>
    <row r="289" spans="1:10" x14ac:dyDescent="0.35">
      <c r="A289" s="2" t="s">
        <v>325</v>
      </c>
      <c r="B289" s="4">
        <v>9</v>
      </c>
      <c r="C289" t="s">
        <v>11</v>
      </c>
      <c r="D289" t="s">
        <v>18</v>
      </c>
      <c r="E289" t="s">
        <v>24</v>
      </c>
      <c r="F289" t="s">
        <v>30</v>
      </c>
      <c r="G289" s="4">
        <v>14</v>
      </c>
      <c r="H289" s="1">
        <v>81426</v>
      </c>
      <c r="I289" s="3" t="s">
        <v>15</v>
      </c>
      <c r="J289" s="4">
        <v>1</v>
      </c>
    </row>
    <row r="290" spans="1:10" x14ac:dyDescent="0.35">
      <c r="A290" s="2" t="s">
        <v>326</v>
      </c>
      <c r="B290" s="4">
        <v>90</v>
      </c>
      <c r="C290" t="s">
        <v>17</v>
      </c>
      <c r="D290" t="s">
        <v>26</v>
      </c>
      <c r="E290" t="s">
        <v>24</v>
      </c>
      <c r="F290" t="s">
        <v>14</v>
      </c>
      <c r="G290" s="4">
        <v>3</v>
      </c>
      <c r="H290" s="1">
        <v>46196</v>
      </c>
      <c r="I290" s="3" t="s">
        <v>21</v>
      </c>
      <c r="J290" s="4">
        <v>3</v>
      </c>
    </row>
    <row r="291" spans="1:10" x14ac:dyDescent="0.35">
      <c r="A291" s="2" t="s">
        <v>327</v>
      </c>
      <c r="B291" s="4">
        <v>14</v>
      </c>
      <c r="C291" t="s">
        <v>17</v>
      </c>
      <c r="D291" t="s">
        <v>12</v>
      </c>
      <c r="E291" t="s">
        <v>13</v>
      </c>
      <c r="F291" t="s">
        <v>30</v>
      </c>
      <c r="G291" s="4">
        <v>3</v>
      </c>
      <c r="H291" s="1">
        <v>57270</v>
      </c>
      <c r="I291" s="3" t="s">
        <v>21</v>
      </c>
      <c r="J291" s="4">
        <v>5</v>
      </c>
    </row>
    <row r="292" spans="1:10" x14ac:dyDescent="0.35">
      <c r="A292" s="2" t="s">
        <v>328</v>
      </c>
      <c r="B292" s="4">
        <v>69</v>
      </c>
      <c r="C292" t="s">
        <v>11</v>
      </c>
      <c r="D292" t="s">
        <v>33</v>
      </c>
      <c r="E292" t="s">
        <v>27</v>
      </c>
      <c r="F292" t="s">
        <v>30</v>
      </c>
      <c r="G292" s="4">
        <v>11</v>
      </c>
      <c r="H292" s="1">
        <v>17016</v>
      </c>
      <c r="I292" s="3" t="s">
        <v>15</v>
      </c>
      <c r="J292" s="4">
        <v>5</v>
      </c>
    </row>
    <row r="293" spans="1:10" x14ac:dyDescent="0.35">
      <c r="A293" s="2" t="s">
        <v>329</v>
      </c>
      <c r="B293" s="4">
        <v>56</v>
      </c>
      <c r="C293" t="s">
        <v>11</v>
      </c>
      <c r="D293" t="s">
        <v>33</v>
      </c>
      <c r="E293" t="s">
        <v>24</v>
      </c>
      <c r="F293" t="s">
        <v>20</v>
      </c>
      <c r="G293" s="4">
        <v>3</v>
      </c>
      <c r="H293" s="1">
        <v>89958</v>
      </c>
      <c r="I293" s="3" t="s">
        <v>15</v>
      </c>
      <c r="J293" s="4">
        <v>5</v>
      </c>
    </row>
    <row r="294" spans="1:10" x14ac:dyDescent="0.35">
      <c r="A294" s="2" t="s">
        <v>330</v>
      </c>
      <c r="B294" s="4">
        <v>66</v>
      </c>
      <c r="C294" t="s">
        <v>17</v>
      </c>
      <c r="D294" t="s">
        <v>23</v>
      </c>
      <c r="E294" t="s">
        <v>24</v>
      </c>
      <c r="F294" t="s">
        <v>30</v>
      </c>
      <c r="G294" s="4">
        <v>3</v>
      </c>
      <c r="H294" s="1">
        <v>73510</v>
      </c>
      <c r="I294" s="3" t="s">
        <v>21</v>
      </c>
      <c r="J294" s="4">
        <v>5</v>
      </c>
    </row>
    <row r="295" spans="1:10" x14ac:dyDescent="0.35">
      <c r="A295" s="2" t="s">
        <v>331</v>
      </c>
      <c r="B295" s="4">
        <v>25</v>
      </c>
      <c r="C295" t="s">
        <v>11</v>
      </c>
      <c r="D295" t="s">
        <v>12</v>
      </c>
      <c r="E295" t="s">
        <v>24</v>
      </c>
      <c r="F295" t="s">
        <v>14</v>
      </c>
      <c r="G295" s="4">
        <v>4</v>
      </c>
      <c r="H295" s="1">
        <v>42924</v>
      </c>
      <c r="I295" s="3" t="s">
        <v>15</v>
      </c>
      <c r="J295" s="4">
        <v>2</v>
      </c>
    </row>
    <row r="296" spans="1:10" x14ac:dyDescent="0.35">
      <c r="A296" s="2" t="s">
        <v>332</v>
      </c>
      <c r="B296" s="4">
        <v>19</v>
      </c>
      <c r="C296" t="s">
        <v>11</v>
      </c>
      <c r="D296" t="s">
        <v>18</v>
      </c>
      <c r="E296" t="s">
        <v>13</v>
      </c>
      <c r="F296" t="s">
        <v>14</v>
      </c>
      <c r="G296" s="4">
        <v>10</v>
      </c>
      <c r="H296" s="1">
        <v>44874</v>
      </c>
      <c r="I296" s="3" t="s">
        <v>21</v>
      </c>
      <c r="J296" s="4">
        <v>1</v>
      </c>
    </row>
    <row r="297" spans="1:10" x14ac:dyDescent="0.35">
      <c r="A297" s="2" t="s">
        <v>333</v>
      </c>
      <c r="B297" s="4">
        <v>22</v>
      </c>
      <c r="C297" t="s">
        <v>11</v>
      </c>
      <c r="D297" t="s">
        <v>12</v>
      </c>
      <c r="E297" t="s">
        <v>29</v>
      </c>
      <c r="F297" t="s">
        <v>30</v>
      </c>
      <c r="G297" s="4">
        <v>1</v>
      </c>
      <c r="H297" s="1">
        <v>34006</v>
      </c>
      <c r="I297" s="3" t="s">
        <v>15</v>
      </c>
      <c r="J297" s="4">
        <v>4</v>
      </c>
    </row>
    <row r="298" spans="1:10" x14ac:dyDescent="0.35">
      <c r="A298" s="2" t="s">
        <v>334</v>
      </c>
      <c r="B298" s="4">
        <v>22</v>
      </c>
      <c r="C298" t="s">
        <v>17</v>
      </c>
      <c r="D298" t="s">
        <v>28</v>
      </c>
      <c r="E298" t="s">
        <v>27</v>
      </c>
      <c r="F298" t="s">
        <v>14</v>
      </c>
      <c r="G298" s="4">
        <v>4</v>
      </c>
      <c r="H298" s="1">
        <v>58668</v>
      </c>
      <c r="I298" s="3" t="s">
        <v>15</v>
      </c>
      <c r="J298" s="4">
        <v>4</v>
      </c>
    </row>
    <row r="299" spans="1:10" x14ac:dyDescent="0.35">
      <c r="A299" s="2" t="s">
        <v>335</v>
      </c>
      <c r="B299" s="4">
        <v>9</v>
      </c>
      <c r="C299" t="s">
        <v>17</v>
      </c>
      <c r="D299" t="s">
        <v>33</v>
      </c>
      <c r="E299" t="s">
        <v>42</v>
      </c>
      <c r="F299" t="s">
        <v>14</v>
      </c>
      <c r="G299" s="4">
        <v>4</v>
      </c>
      <c r="H299" s="1">
        <v>61232</v>
      </c>
      <c r="I299" s="3" t="s">
        <v>21</v>
      </c>
      <c r="J299" s="4">
        <v>5</v>
      </c>
    </row>
    <row r="300" spans="1:10" x14ac:dyDescent="0.35">
      <c r="A300" s="2" t="s">
        <v>336</v>
      </c>
      <c r="B300" s="4">
        <v>29</v>
      </c>
      <c r="C300" t="s">
        <v>11</v>
      </c>
      <c r="D300" t="s">
        <v>26</v>
      </c>
      <c r="E300" t="s">
        <v>53</v>
      </c>
      <c r="F300" t="s">
        <v>14</v>
      </c>
      <c r="G300" s="4">
        <v>3</v>
      </c>
      <c r="H300" s="1">
        <v>11258</v>
      </c>
      <c r="I300" s="3" t="s">
        <v>21</v>
      </c>
      <c r="J300" s="4">
        <v>1</v>
      </c>
    </row>
    <row r="301" spans="1:10" x14ac:dyDescent="0.35">
      <c r="A301" s="2" t="s">
        <v>337</v>
      </c>
      <c r="B301" s="4">
        <v>11</v>
      </c>
      <c r="C301" t="s">
        <v>11</v>
      </c>
      <c r="D301" t="s">
        <v>26</v>
      </c>
      <c r="E301" t="s">
        <v>34</v>
      </c>
      <c r="F301" t="s">
        <v>20</v>
      </c>
      <c r="G301" s="4">
        <v>9</v>
      </c>
      <c r="H301" s="1">
        <v>91973</v>
      </c>
      <c r="I301" s="3" t="s">
        <v>15</v>
      </c>
      <c r="J301" s="4">
        <v>5</v>
      </c>
    </row>
    <row r="302" spans="1:10" x14ac:dyDescent="0.35">
      <c r="A302" s="2" t="s">
        <v>338</v>
      </c>
      <c r="B302" s="4">
        <v>49</v>
      </c>
      <c r="C302" t="s">
        <v>11</v>
      </c>
      <c r="D302" t="s">
        <v>36</v>
      </c>
      <c r="E302" t="s">
        <v>19</v>
      </c>
      <c r="F302" t="s">
        <v>30</v>
      </c>
      <c r="G302" s="4">
        <v>15</v>
      </c>
      <c r="H302" s="1">
        <v>79430</v>
      </c>
      <c r="I302" s="3" t="s">
        <v>21</v>
      </c>
      <c r="J302" s="4">
        <v>4</v>
      </c>
    </row>
    <row r="303" spans="1:10" x14ac:dyDescent="0.35">
      <c r="A303" s="2" t="s">
        <v>339</v>
      </c>
      <c r="B303" s="4">
        <v>46</v>
      </c>
      <c r="C303" t="s">
        <v>11</v>
      </c>
      <c r="D303" t="s">
        <v>41</v>
      </c>
      <c r="E303" t="s">
        <v>24</v>
      </c>
      <c r="F303" t="s">
        <v>14</v>
      </c>
      <c r="G303" s="4">
        <v>15</v>
      </c>
      <c r="H303" s="1">
        <v>54220</v>
      </c>
      <c r="I303" s="3" t="s">
        <v>15</v>
      </c>
      <c r="J303" s="4">
        <v>4</v>
      </c>
    </row>
    <row r="304" spans="1:10" x14ac:dyDescent="0.35">
      <c r="A304" s="2" t="s">
        <v>340</v>
      </c>
      <c r="B304" s="4">
        <v>19</v>
      </c>
      <c r="C304" t="s">
        <v>17</v>
      </c>
      <c r="D304" t="s">
        <v>39</v>
      </c>
      <c r="E304" t="s">
        <v>42</v>
      </c>
      <c r="F304" t="s">
        <v>30</v>
      </c>
      <c r="G304" s="4">
        <v>13</v>
      </c>
      <c r="H304" s="1">
        <v>8651</v>
      </c>
      <c r="I304" s="3" t="s">
        <v>15</v>
      </c>
      <c r="J304" s="4">
        <v>1</v>
      </c>
    </row>
    <row r="305" spans="1:10" x14ac:dyDescent="0.35">
      <c r="A305" s="2" t="s">
        <v>341</v>
      </c>
      <c r="B305" s="4">
        <v>57</v>
      </c>
      <c r="C305" t="s">
        <v>17</v>
      </c>
      <c r="D305" t="s">
        <v>12</v>
      </c>
      <c r="E305" t="s">
        <v>37</v>
      </c>
      <c r="F305" t="s">
        <v>20</v>
      </c>
      <c r="G305" s="4">
        <v>10</v>
      </c>
      <c r="H305" s="1">
        <v>9051</v>
      </c>
      <c r="I305" s="3" t="s">
        <v>15</v>
      </c>
      <c r="J305" s="4">
        <v>1</v>
      </c>
    </row>
    <row r="306" spans="1:10" x14ac:dyDescent="0.35">
      <c r="A306" s="2" t="s">
        <v>342</v>
      </c>
      <c r="B306" s="4">
        <v>58</v>
      </c>
      <c r="C306" t="s">
        <v>17</v>
      </c>
      <c r="D306" t="s">
        <v>33</v>
      </c>
      <c r="E306" t="s">
        <v>34</v>
      </c>
      <c r="F306" t="s">
        <v>20</v>
      </c>
      <c r="G306" s="4">
        <v>14</v>
      </c>
      <c r="H306" s="1">
        <v>33174</v>
      </c>
      <c r="I306" s="3" t="s">
        <v>21</v>
      </c>
      <c r="J306" s="4">
        <v>3</v>
      </c>
    </row>
    <row r="307" spans="1:10" x14ac:dyDescent="0.35">
      <c r="A307" s="2" t="s">
        <v>343</v>
      </c>
      <c r="B307" s="4">
        <v>50</v>
      </c>
      <c r="C307" t="s">
        <v>17</v>
      </c>
      <c r="D307" t="s">
        <v>18</v>
      </c>
      <c r="E307" t="s">
        <v>19</v>
      </c>
      <c r="F307" t="s">
        <v>20</v>
      </c>
      <c r="G307" s="4">
        <v>11</v>
      </c>
      <c r="H307" s="1">
        <v>12326</v>
      </c>
      <c r="I307" s="3" t="s">
        <v>21</v>
      </c>
      <c r="J307" s="4">
        <v>5</v>
      </c>
    </row>
    <row r="308" spans="1:10" x14ac:dyDescent="0.35">
      <c r="A308" s="2" t="s">
        <v>344</v>
      </c>
      <c r="B308" s="4">
        <v>58</v>
      </c>
      <c r="C308" t="s">
        <v>17</v>
      </c>
      <c r="D308" t="s">
        <v>12</v>
      </c>
      <c r="E308" t="s">
        <v>24</v>
      </c>
      <c r="F308" t="s">
        <v>30</v>
      </c>
      <c r="G308" s="4">
        <v>15</v>
      </c>
      <c r="H308" s="1">
        <v>28683</v>
      </c>
      <c r="I308" s="3" t="s">
        <v>15</v>
      </c>
      <c r="J308" s="4">
        <v>5</v>
      </c>
    </row>
    <row r="309" spans="1:10" x14ac:dyDescent="0.35">
      <c r="A309" s="2" t="s">
        <v>345</v>
      </c>
      <c r="B309" s="4">
        <v>60</v>
      </c>
      <c r="C309" t="s">
        <v>11</v>
      </c>
      <c r="D309" t="s">
        <v>12</v>
      </c>
      <c r="E309" t="s">
        <v>13</v>
      </c>
      <c r="F309" t="s">
        <v>20</v>
      </c>
      <c r="G309" s="4">
        <v>15</v>
      </c>
      <c r="H309" s="1">
        <v>67090</v>
      </c>
      <c r="I309" s="3" t="s">
        <v>21</v>
      </c>
      <c r="J309" s="4">
        <v>1</v>
      </c>
    </row>
    <row r="310" spans="1:10" x14ac:dyDescent="0.35">
      <c r="A310" s="2" t="s">
        <v>346</v>
      </c>
      <c r="B310" s="4">
        <v>2</v>
      </c>
      <c r="C310" t="s">
        <v>17</v>
      </c>
      <c r="D310" t="s">
        <v>33</v>
      </c>
      <c r="E310" t="s">
        <v>19</v>
      </c>
      <c r="F310" t="s">
        <v>14</v>
      </c>
      <c r="G310" s="4">
        <v>9</v>
      </c>
      <c r="H310" s="1">
        <v>23340</v>
      </c>
      <c r="I310" s="3" t="s">
        <v>15</v>
      </c>
      <c r="J310" s="4">
        <v>1</v>
      </c>
    </row>
    <row r="311" spans="1:10" x14ac:dyDescent="0.35">
      <c r="A311" s="2" t="s">
        <v>347</v>
      </c>
      <c r="B311" s="4">
        <v>90</v>
      </c>
      <c r="C311" t="s">
        <v>17</v>
      </c>
      <c r="D311" t="s">
        <v>23</v>
      </c>
      <c r="E311" t="s">
        <v>37</v>
      </c>
      <c r="F311" t="s">
        <v>20</v>
      </c>
      <c r="G311" s="4">
        <v>1</v>
      </c>
      <c r="H311" s="1">
        <v>88382</v>
      </c>
      <c r="I311" s="3" t="s">
        <v>15</v>
      </c>
      <c r="J311" s="4">
        <v>5</v>
      </c>
    </row>
    <row r="312" spans="1:10" x14ac:dyDescent="0.35">
      <c r="A312" s="2" t="s">
        <v>348</v>
      </c>
      <c r="B312" s="4">
        <v>75</v>
      </c>
      <c r="C312" t="s">
        <v>17</v>
      </c>
      <c r="D312" t="s">
        <v>49</v>
      </c>
      <c r="E312" t="s">
        <v>29</v>
      </c>
      <c r="F312" t="s">
        <v>30</v>
      </c>
      <c r="G312" s="4">
        <v>15</v>
      </c>
      <c r="H312" s="1">
        <v>88124</v>
      </c>
      <c r="I312" s="3" t="s">
        <v>15</v>
      </c>
      <c r="J312" s="4">
        <v>3</v>
      </c>
    </row>
    <row r="313" spans="1:10" x14ac:dyDescent="0.35">
      <c r="A313" s="2" t="s">
        <v>349</v>
      </c>
      <c r="B313" s="4">
        <v>53</v>
      </c>
      <c r="C313" t="s">
        <v>17</v>
      </c>
      <c r="D313" t="s">
        <v>23</v>
      </c>
      <c r="E313" t="s">
        <v>42</v>
      </c>
      <c r="F313" t="s">
        <v>20</v>
      </c>
      <c r="G313" s="4">
        <v>10</v>
      </c>
      <c r="H313" s="1">
        <v>74025</v>
      </c>
      <c r="I313" s="3" t="s">
        <v>21</v>
      </c>
      <c r="J313" s="4">
        <v>4</v>
      </c>
    </row>
    <row r="314" spans="1:10" x14ac:dyDescent="0.35">
      <c r="A314" s="2" t="s">
        <v>350</v>
      </c>
      <c r="B314" s="4">
        <v>69</v>
      </c>
      <c r="C314" t="s">
        <v>17</v>
      </c>
      <c r="D314" t="s">
        <v>12</v>
      </c>
      <c r="E314" t="s">
        <v>27</v>
      </c>
      <c r="F314" t="s">
        <v>30</v>
      </c>
      <c r="G314" s="4">
        <v>7</v>
      </c>
      <c r="H314" s="1">
        <v>90945</v>
      </c>
      <c r="I314" s="3" t="s">
        <v>15</v>
      </c>
      <c r="J314" s="4">
        <v>4</v>
      </c>
    </row>
    <row r="315" spans="1:10" x14ac:dyDescent="0.35">
      <c r="A315" s="2" t="s">
        <v>351</v>
      </c>
      <c r="B315" s="4">
        <v>88</v>
      </c>
      <c r="C315" t="s">
        <v>17</v>
      </c>
      <c r="D315" t="s">
        <v>26</v>
      </c>
      <c r="E315" t="s">
        <v>24</v>
      </c>
      <c r="F315" t="s">
        <v>20</v>
      </c>
      <c r="G315" s="4">
        <v>12</v>
      </c>
      <c r="H315" s="1">
        <v>94143</v>
      </c>
      <c r="I315" s="3" t="s">
        <v>21</v>
      </c>
      <c r="J315" s="4">
        <v>1</v>
      </c>
    </row>
    <row r="316" spans="1:10" x14ac:dyDescent="0.35">
      <c r="A316" s="2" t="s">
        <v>352</v>
      </c>
      <c r="B316" s="4">
        <v>65</v>
      </c>
      <c r="C316" t="s">
        <v>17</v>
      </c>
      <c r="D316" t="s">
        <v>39</v>
      </c>
      <c r="E316" t="s">
        <v>29</v>
      </c>
      <c r="F316" t="s">
        <v>20</v>
      </c>
      <c r="G316" s="4">
        <v>10</v>
      </c>
      <c r="H316" s="1">
        <v>57543</v>
      </c>
      <c r="I316" s="3" t="s">
        <v>21</v>
      </c>
      <c r="J316" s="4">
        <v>5</v>
      </c>
    </row>
    <row r="317" spans="1:10" x14ac:dyDescent="0.35">
      <c r="A317" s="2" t="s">
        <v>353</v>
      </c>
      <c r="B317" s="4">
        <v>6</v>
      </c>
      <c r="C317" t="s">
        <v>17</v>
      </c>
      <c r="D317" t="s">
        <v>28</v>
      </c>
      <c r="E317" t="s">
        <v>24</v>
      </c>
      <c r="F317" t="s">
        <v>14</v>
      </c>
      <c r="G317" s="4">
        <v>4</v>
      </c>
      <c r="H317" s="1">
        <v>64530</v>
      </c>
      <c r="I317" s="3" t="s">
        <v>15</v>
      </c>
      <c r="J317" s="4">
        <v>5</v>
      </c>
    </row>
    <row r="318" spans="1:10" x14ac:dyDescent="0.35">
      <c r="A318" s="2" t="s">
        <v>354</v>
      </c>
      <c r="B318" s="4">
        <v>37</v>
      </c>
      <c r="C318" t="s">
        <v>11</v>
      </c>
      <c r="D318" t="s">
        <v>33</v>
      </c>
      <c r="E318" t="s">
        <v>27</v>
      </c>
      <c r="F318" t="s">
        <v>30</v>
      </c>
      <c r="G318" s="4">
        <v>5</v>
      </c>
      <c r="H318" s="1">
        <v>64050</v>
      </c>
      <c r="I318" s="3" t="s">
        <v>15</v>
      </c>
      <c r="J318" s="4">
        <v>3</v>
      </c>
    </row>
    <row r="319" spans="1:10" x14ac:dyDescent="0.35">
      <c r="A319" s="2" t="s">
        <v>355</v>
      </c>
      <c r="B319" s="4">
        <v>63</v>
      </c>
      <c r="C319" t="s">
        <v>17</v>
      </c>
      <c r="D319" t="s">
        <v>33</v>
      </c>
      <c r="E319" t="s">
        <v>65</v>
      </c>
      <c r="F319" t="s">
        <v>14</v>
      </c>
      <c r="G319" s="4">
        <v>3</v>
      </c>
      <c r="H319" s="1">
        <v>59521</v>
      </c>
      <c r="I319" s="3" t="s">
        <v>15</v>
      </c>
      <c r="J319" s="4">
        <v>5</v>
      </c>
    </row>
    <row r="320" spans="1:10" x14ac:dyDescent="0.35">
      <c r="A320" s="2" t="s">
        <v>356</v>
      </c>
      <c r="B320" s="4">
        <v>14</v>
      </c>
      <c r="C320" t="s">
        <v>17</v>
      </c>
      <c r="D320" t="s">
        <v>18</v>
      </c>
      <c r="E320" t="s">
        <v>27</v>
      </c>
      <c r="F320" t="s">
        <v>20</v>
      </c>
      <c r="G320" s="4">
        <v>2</v>
      </c>
      <c r="H320" s="1">
        <v>79256</v>
      </c>
      <c r="I320" s="3" t="s">
        <v>21</v>
      </c>
      <c r="J320" s="4">
        <v>2</v>
      </c>
    </row>
    <row r="321" spans="1:10" x14ac:dyDescent="0.35">
      <c r="A321" s="2" t="s">
        <v>357</v>
      </c>
      <c r="B321" s="4">
        <v>53</v>
      </c>
      <c r="C321" t="s">
        <v>17</v>
      </c>
      <c r="D321" t="s">
        <v>36</v>
      </c>
      <c r="E321" t="s">
        <v>42</v>
      </c>
      <c r="F321" t="s">
        <v>14</v>
      </c>
      <c r="G321" s="4">
        <v>14</v>
      </c>
      <c r="H321" s="1">
        <v>42259</v>
      </c>
      <c r="I321" s="3" t="s">
        <v>21</v>
      </c>
      <c r="J321" s="4">
        <v>4</v>
      </c>
    </row>
    <row r="322" spans="1:10" x14ac:dyDescent="0.35">
      <c r="A322" s="2" t="s">
        <v>358</v>
      </c>
      <c r="B322" s="4">
        <v>57</v>
      </c>
      <c r="C322" t="s">
        <v>17</v>
      </c>
      <c r="D322" t="s">
        <v>33</v>
      </c>
      <c r="E322" t="s">
        <v>29</v>
      </c>
      <c r="F322" t="s">
        <v>30</v>
      </c>
      <c r="G322" s="4">
        <v>8</v>
      </c>
      <c r="H322" s="1">
        <v>52516</v>
      </c>
      <c r="I322" s="3" t="s">
        <v>15</v>
      </c>
      <c r="J322" s="4">
        <v>3</v>
      </c>
    </row>
    <row r="323" spans="1:10" x14ac:dyDescent="0.35">
      <c r="A323" s="2" t="s">
        <v>359</v>
      </c>
      <c r="B323" s="4">
        <v>22</v>
      </c>
      <c r="C323" t="s">
        <v>17</v>
      </c>
      <c r="D323" t="s">
        <v>26</v>
      </c>
      <c r="E323" t="s">
        <v>19</v>
      </c>
      <c r="F323" t="s">
        <v>20</v>
      </c>
      <c r="G323" s="4">
        <v>7</v>
      </c>
      <c r="H323" s="1">
        <v>93197</v>
      </c>
      <c r="I323" s="3" t="s">
        <v>15</v>
      </c>
      <c r="J323" s="4">
        <v>1</v>
      </c>
    </row>
    <row r="324" spans="1:10" x14ac:dyDescent="0.35">
      <c r="A324" s="2" t="s">
        <v>360</v>
      </c>
      <c r="B324" s="4">
        <v>68</v>
      </c>
      <c r="C324" t="s">
        <v>17</v>
      </c>
      <c r="D324" t="s">
        <v>49</v>
      </c>
      <c r="E324" t="s">
        <v>65</v>
      </c>
      <c r="F324" t="s">
        <v>20</v>
      </c>
      <c r="G324" s="4">
        <v>4</v>
      </c>
      <c r="H324" s="1">
        <v>41747</v>
      </c>
      <c r="I324" s="3" t="s">
        <v>21</v>
      </c>
      <c r="J324" s="4">
        <v>3</v>
      </c>
    </row>
    <row r="325" spans="1:10" x14ac:dyDescent="0.35">
      <c r="A325" s="2" t="s">
        <v>361</v>
      </c>
      <c r="B325" s="4">
        <v>26</v>
      </c>
      <c r="C325" t="s">
        <v>17</v>
      </c>
      <c r="D325" t="s">
        <v>28</v>
      </c>
      <c r="E325" t="s">
        <v>24</v>
      </c>
      <c r="F325" t="s">
        <v>30</v>
      </c>
      <c r="G325" s="4">
        <v>14</v>
      </c>
      <c r="H325" s="1">
        <v>93241</v>
      </c>
      <c r="I325" s="3" t="s">
        <v>21</v>
      </c>
      <c r="J325" s="4">
        <v>5</v>
      </c>
    </row>
    <row r="326" spans="1:10" x14ac:dyDescent="0.35">
      <c r="A326" s="2" t="s">
        <v>362</v>
      </c>
      <c r="B326" s="4">
        <v>50</v>
      </c>
      <c r="C326" t="s">
        <v>17</v>
      </c>
      <c r="D326" t="s">
        <v>33</v>
      </c>
      <c r="E326" t="s">
        <v>13</v>
      </c>
      <c r="F326" t="s">
        <v>20</v>
      </c>
      <c r="G326" s="4">
        <v>14</v>
      </c>
      <c r="H326" s="1">
        <v>54399</v>
      </c>
      <c r="I326" s="3" t="s">
        <v>15</v>
      </c>
      <c r="J326" s="4">
        <v>1</v>
      </c>
    </row>
    <row r="327" spans="1:10" x14ac:dyDescent="0.35">
      <c r="A327" s="2" t="s">
        <v>363</v>
      </c>
      <c r="B327" s="4">
        <v>36</v>
      </c>
      <c r="C327" t="s">
        <v>11</v>
      </c>
      <c r="D327" t="s">
        <v>28</v>
      </c>
      <c r="E327" t="s">
        <v>37</v>
      </c>
      <c r="F327" t="s">
        <v>30</v>
      </c>
      <c r="G327" s="4">
        <v>4</v>
      </c>
      <c r="H327" s="1">
        <v>28990</v>
      </c>
      <c r="I327" s="3" t="s">
        <v>21</v>
      </c>
      <c r="J327" s="4">
        <v>3</v>
      </c>
    </row>
    <row r="328" spans="1:10" x14ac:dyDescent="0.35">
      <c r="A328" s="2" t="s">
        <v>364</v>
      </c>
      <c r="B328" s="4">
        <v>71</v>
      </c>
      <c r="C328" t="s">
        <v>11</v>
      </c>
      <c r="D328" t="s">
        <v>39</v>
      </c>
      <c r="E328" t="s">
        <v>65</v>
      </c>
      <c r="F328" t="s">
        <v>14</v>
      </c>
      <c r="G328" s="4">
        <v>9</v>
      </c>
      <c r="H328" s="1">
        <v>42950</v>
      </c>
      <c r="I328" s="3" t="s">
        <v>15</v>
      </c>
      <c r="J328" s="4">
        <v>4</v>
      </c>
    </row>
    <row r="329" spans="1:10" x14ac:dyDescent="0.35">
      <c r="A329" s="2" t="s">
        <v>365</v>
      </c>
      <c r="B329" s="4">
        <v>31</v>
      </c>
      <c r="C329" t="s">
        <v>17</v>
      </c>
      <c r="D329" t="s">
        <v>26</v>
      </c>
      <c r="E329" t="s">
        <v>27</v>
      </c>
      <c r="F329" t="s">
        <v>30</v>
      </c>
      <c r="G329" s="4">
        <v>4</v>
      </c>
      <c r="H329" s="1">
        <v>56986</v>
      </c>
      <c r="I329" s="3" t="s">
        <v>21</v>
      </c>
      <c r="J329" s="4">
        <v>3</v>
      </c>
    </row>
    <row r="330" spans="1:10" x14ac:dyDescent="0.35">
      <c r="A330" s="2" t="s">
        <v>366</v>
      </c>
      <c r="B330" s="4">
        <v>76</v>
      </c>
      <c r="C330" t="s">
        <v>11</v>
      </c>
      <c r="D330" t="s">
        <v>12</v>
      </c>
      <c r="E330" t="s">
        <v>42</v>
      </c>
      <c r="F330" t="s">
        <v>14</v>
      </c>
      <c r="G330" s="4">
        <v>3</v>
      </c>
      <c r="H330" s="1">
        <v>33273</v>
      </c>
      <c r="I330" s="3" t="s">
        <v>21</v>
      </c>
      <c r="J330" s="4">
        <v>2</v>
      </c>
    </row>
    <row r="331" spans="1:10" x14ac:dyDescent="0.35">
      <c r="A331" s="2" t="s">
        <v>367</v>
      </c>
      <c r="B331" s="4">
        <v>16</v>
      </c>
      <c r="C331" t="s">
        <v>17</v>
      </c>
      <c r="D331" t="s">
        <v>41</v>
      </c>
      <c r="E331" t="s">
        <v>65</v>
      </c>
      <c r="F331" t="s">
        <v>20</v>
      </c>
      <c r="G331" s="4">
        <v>2</v>
      </c>
      <c r="H331" s="1">
        <v>24418</v>
      </c>
      <c r="I331" s="3" t="s">
        <v>21</v>
      </c>
      <c r="J331" s="4">
        <v>5</v>
      </c>
    </row>
    <row r="332" spans="1:10" x14ac:dyDescent="0.35">
      <c r="A332" s="2" t="s">
        <v>368</v>
      </c>
      <c r="B332" s="4">
        <v>36</v>
      </c>
      <c r="C332" t="s">
        <v>11</v>
      </c>
      <c r="D332" t="s">
        <v>49</v>
      </c>
      <c r="E332" t="s">
        <v>53</v>
      </c>
      <c r="F332" t="s">
        <v>30</v>
      </c>
      <c r="G332" s="4">
        <v>10</v>
      </c>
      <c r="H332" s="1">
        <v>75468</v>
      </c>
      <c r="I332" s="3" t="s">
        <v>21</v>
      </c>
      <c r="J332" s="4">
        <v>4</v>
      </c>
    </row>
    <row r="333" spans="1:10" x14ac:dyDescent="0.35">
      <c r="A333" s="2" t="s">
        <v>369</v>
      </c>
      <c r="B333" s="4">
        <v>1</v>
      </c>
      <c r="C333" t="s">
        <v>17</v>
      </c>
      <c r="D333" t="s">
        <v>39</v>
      </c>
      <c r="E333" t="s">
        <v>19</v>
      </c>
      <c r="F333" t="s">
        <v>14</v>
      </c>
      <c r="G333" s="4">
        <v>4</v>
      </c>
      <c r="H333" s="1">
        <v>23471</v>
      </c>
      <c r="I333" s="3" t="s">
        <v>15</v>
      </c>
      <c r="J333" s="4">
        <v>4</v>
      </c>
    </row>
    <row r="334" spans="1:10" x14ac:dyDescent="0.35">
      <c r="A334" s="2" t="s">
        <v>370</v>
      </c>
      <c r="B334" s="4">
        <v>84</v>
      </c>
      <c r="C334" t="s">
        <v>17</v>
      </c>
      <c r="D334" t="s">
        <v>28</v>
      </c>
      <c r="E334" t="s">
        <v>53</v>
      </c>
      <c r="F334" t="s">
        <v>30</v>
      </c>
      <c r="G334" s="4">
        <v>6</v>
      </c>
      <c r="H334" s="1">
        <v>58453</v>
      </c>
      <c r="I334" s="3" t="s">
        <v>21</v>
      </c>
      <c r="J334" s="4">
        <v>2</v>
      </c>
    </row>
    <row r="335" spans="1:10" x14ac:dyDescent="0.35">
      <c r="A335" s="2" t="s">
        <v>371</v>
      </c>
      <c r="B335" s="4">
        <v>40</v>
      </c>
      <c r="C335" t="s">
        <v>17</v>
      </c>
      <c r="D335" t="s">
        <v>18</v>
      </c>
      <c r="E335" t="s">
        <v>34</v>
      </c>
      <c r="F335" t="s">
        <v>20</v>
      </c>
      <c r="G335" s="4">
        <v>2</v>
      </c>
      <c r="H335" s="1">
        <v>60969</v>
      </c>
      <c r="I335" s="3" t="s">
        <v>15</v>
      </c>
      <c r="J335" s="4">
        <v>3</v>
      </c>
    </row>
    <row r="336" spans="1:10" x14ac:dyDescent="0.35">
      <c r="A336" s="2" t="s">
        <v>372</v>
      </c>
      <c r="B336" s="4">
        <v>33</v>
      </c>
      <c r="C336" t="s">
        <v>11</v>
      </c>
      <c r="D336" t="s">
        <v>36</v>
      </c>
      <c r="E336" t="s">
        <v>34</v>
      </c>
      <c r="F336" t="s">
        <v>30</v>
      </c>
      <c r="G336" s="4">
        <v>10</v>
      </c>
      <c r="H336" s="1">
        <v>9395</v>
      </c>
      <c r="I336" s="3" t="s">
        <v>15</v>
      </c>
      <c r="J336" s="4">
        <v>1</v>
      </c>
    </row>
    <row r="337" spans="1:10" x14ac:dyDescent="0.35">
      <c r="A337" s="2" t="s">
        <v>373</v>
      </c>
      <c r="B337" s="4">
        <v>66</v>
      </c>
      <c r="C337" t="s">
        <v>11</v>
      </c>
      <c r="D337" t="s">
        <v>36</v>
      </c>
      <c r="E337" t="s">
        <v>34</v>
      </c>
      <c r="F337" t="s">
        <v>14</v>
      </c>
      <c r="G337" s="4">
        <v>9</v>
      </c>
      <c r="H337" s="1">
        <v>34222</v>
      </c>
      <c r="I337" s="3" t="s">
        <v>21</v>
      </c>
      <c r="J337" s="4">
        <v>2</v>
      </c>
    </row>
    <row r="338" spans="1:10" x14ac:dyDescent="0.35">
      <c r="A338" s="2" t="s">
        <v>374</v>
      </c>
      <c r="B338" s="4">
        <v>81</v>
      </c>
      <c r="C338" t="s">
        <v>17</v>
      </c>
      <c r="D338" t="s">
        <v>28</v>
      </c>
      <c r="E338" t="s">
        <v>34</v>
      </c>
      <c r="F338" t="s">
        <v>20</v>
      </c>
      <c r="G338" s="4">
        <v>9</v>
      </c>
      <c r="H338" s="1">
        <v>21008</v>
      </c>
      <c r="I338" s="3" t="s">
        <v>21</v>
      </c>
      <c r="J338" s="4">
        <v>1</v>
      </c>
    </row>
    <row r="339" spans="1:10" x14ac:dyDescent="0.35">
      <c r="A339" s="2" t="s">
        <v>375</v>
      </c>
      <c r="B339" s="4">
        <v>48</v>
      </c>
      <c r="C339" t="s">
        <v>17</v>
      </c>
      <c r="D339" t="s">
        <v>18</v>
      </c>
      <c r="E339" t="s">
        <v>24</v>
      </c>
      <c r="F339" t="s">
        <v>30</v>
      </c>
      <c r="G339" s="4">
        <v>1</v>
      </c>
      <c r="H339" s="1">
        <v>64790</v>
      </c>
      <c r="I339" s="3" t="s">
        <v>21</v>
      </c>
      <c r="J339" s="4">
        <v>2</v>
      </c>
    </row>
    <row r="340" spans="1:10" x14ac:dyDescent="0.35">
      <c r="A340" s="2" t="s">
        <v>376</v>
      </c>
      <c r="B340" s="4">
        <v>25</v>
      </c>
      <c r="C340" t="s">
        <v>17</v>
      </c>
      <c r="D340" t="s">
        <v>39</v>
      </c>
      <c r="E340" t="s">
        <v>34</v>
      </c>
      <c r="F340" t="s">
        <v>20</v>
      </c>
      <c r="G340" s="4">
        <v>11</v>
      </c>
      <c r="H340" s="1">
        <v>72596</v>
      </c>
      <c r="I340" s="3" t="s">
        <v>15</v>
      </c>
      <c r="J340" s="4">
        <v>3</v>
      </c>
    </row>
    <row r="341" spans="1:10" x14ac:dyDescent="0.35">
      <c r="A341" s="2" t="s">
        <v>377</v>
      </c>
      <c r="B341" s="4">
        <v>50</v>
      </c>
      <c r="C341" t="s">
        <v>11</v>
      </c>
      <c r="D341" t="s">
        <v>18</v>
      </c>
      <c r="E341" t="s">
        <v>19</v>
      </c>
      <c r="F341" t="s">
        <v>14</v>
      </c>
      <c r="G341" s="4">
        <v>11</v>
      </c>
      <c r="H341" s="1">
        <v>31562</v>
      </c>
      <c r="I341" s="3" t="s">
        <v>21</v>
      </c>
      <c r="J341" s="4">
        <v>5</v>
      </c>
    </row>
    <row r="342" spans="1:10" x14ac:dyDescent="0.35">
      <c r="A342" s="2" t="s">
        <v>378</v>
      </c>
      <c r="B342" s="4">
        <v>9</v>
      </c>
      <c r="C342" t="s">
        <v>11</v>
      </c>
      <c r="D342" t="s">
        <v>23</v>
      </c>
      <c r="E342" t="s">
        <v>24</v>
      </c>
      <c r="F342" t="s">
        <v>30</v>
      </c>
      <c r="G342" s="4">
        <v>1</v>
      </c>
      <c r="H342" s="1">
        <v>17800</v>
      </c>
      <c r="I342" s="3" t="s">
        <v>15</v>
      </c>
      <c r="J342" s="4">
        <v>2</v>
      </c>
    </row>
    <row r="343" spans="1:10" x14ac:dyDescent="0.35">
      <c r="A343" s="2" t="s">
        <v>379</v>
      </c>
      <c r="B343" s="4">
        <v>38</v>
      </c>
      <c r="C343" t="s">
        <v>11</v>
      </c>
      <c r="D343" t="s">
        <v>39</v>
      </c>
      <c r="E343" t="s">
        <v>65</v>
      </c>
      <c r="F343" t="s">
        <v>20</v>
      </c>
      <c r="G343" s="4">
        <v>4</v>
      </c>
      <c r="H343" s="1">
        <v>43698</v>
      </c>
      <c r="I343" s="3" t="s">
        <v>21</v>
      </c>
      <c r="J343" s="4">
        <v>4</v>
      </c>
    </row>
    <row r="344" spans="1:10" x14ac:dyDescent="0.35">
      <c r="A344" s="2" t="s">
        <v>380</v>
      </c>
      <c r="B344" s="4">
        <v>17</v>
      </c>
      <c r="C344" t="s">
        <v>11</v>
      </c>
      <c r="D344" t="s">
        <v>28</v>
      </c>
      <c r="E344" t="s">
        <v>19</v>
      </c>
      <c r="F344" t="s">
        <v>20</v>
      </c>
      <c r="G344" s="4">
        <v>3</v>
      </c>
      <c r="H344" s="1">
        <v>79018</v>
      </c>
      <c r="I344" s="3" t="s">
        <v>21</v>
      </c>
      <c r="J344" s="4">
        <v>1</v>
      </c>
    </row>
    <row r="345" spans="1:10" x14ac:dyDescent="0.35">
      <c r="A345" s="2" t="s">
        <v>381</v>
      </c>
      <c r="B345" s="4">
        <v>44</v>
      </c>
      <c r="C345" t="s">
        <v>11</v>
      </c>
      <c r="D345" t="s">
        <v>12</v>
      </c>
      <c r="E345" t="s">
        <v>34</v>
      </c>
      <c r="F345" t="s">
        <v>14</v>
      </c>
      <c r="G345" s="4">
        <v>1</v>
      </c>
      <c r="H345" s="1">
        <v>83865</v>
      </c>
      <c r="I345" s="3" t="s">
        <v>21</v>
      </c>
      <c r="J345" s="4">
        <v>4</v>
      </c>
    </row>
    <row r="346" spans="1:10" x14ac:dyDescent="0.35">
      <c r="A346" s="2" t="s">
        <v>382</v>
      </c>
      <c r="B346" s="4">
        <v>68</v>
      </c>
      <c r="C346" t="s">
        <v>17</v>
      </c>
      <c r="D346" t="s">
        <v>39</v>
      </c>
      <c r="E346" t="s">
        <v>37</v>
      </c>
      <c r="F346" t="s">
        <v>20</v>
      </c>
      <c r="G346" s="4">
        <v>13</v>
      </c>
      <c r="H346" s="1">
        <v>37031</v>
      </c>
      <c r="I346" s="3" t="s">
        <v>21</v>
      </c>
      <c r="J346" s="4">
        <v>3</v>
      </c>
    </row>
    <row r="347" spans="1:10" x14ac:dyDescent="0.35">
      <c r="A347" s="2" t="s">
        <v>383</v>
      </c>
      <c r="B347" s="4">
        <v>29</v>
      </c>
      <c r="C347" t="s">
        <v>17</v>
      </c>
      <c r="D347" t="s">
        <v>39</v>
      </c>
      <c r="E347" t="s">
        <v>13</v>
      </c>
      <c r="F347" t="s">
        <v>14</v>
      </c>
      <c r="G347" s="4">
        <v>14</v>
      </c>
      <c r="H347" s="1">
        <v>18269</v>
      </c>
      <c r="I347" s="3" t="s">
        <v>21</v>
      </c>
      <c r="J347" s="4">
        <v>2</v>
      </c>
    </row>
    <row r="348" spans="1:10" x14ac:dyDescent="0.35">
      <c r="A348" s="2" t="s">
        <v>384</v>
      </c>
      <c r="B348" s="4">
        <v>7</v>
      </c>
      <c r="C348" t="s">
        <v>17</v>
      </c>
      <c r="D348" t="s">
        <v>36</v>
      </c>
      <c r="E348" t="s">
        <v>42</v>
      </c>
      <c r="F348" t="s">
        <v>14</v>
      </c>
      <c r="G348" s="4">
        <v>14</v>
      </c>
      <c r="H348" s="1">
        <v>59911</v>
      </c>
      <c r="I348" s="3" t="s">
        <v>21</v>
      </c>
      <c r="J348" s="4">
        <v>3</v>
      </c>
    </row>
    <row r="349" spans="1:10" x14ac:dyDescent="0.35">
      <c r="A349" s="2" t="s">
        <v>385</v>
      </c>
      <c r="B349" s="4">
        <v>47</v>
      </c>
      <c r="C349" t="s">
        <v>11</v>
      </c>
      <c r="D349" t="s">
        <v>23</v>
      </c>
      <c r="E349" t="s">
        <v>19</v>
      </c>
      <c r="F349" t="s">
        <v>14</v>
      </c>
      <c r="G349" s="4">
        <v>14</v>
      </c>
      <c r="H349" s="1">
        <v>24358</v>
      </c>
      <c r="I349" s="3" t="s">
        <v>15</v>
      </c>
      <c r="J349" s="4">
        <v>3</v>
      </c>
    </row>
    <row r="350" spans="1:10" x14ac:dyDescent="0.35">
      <c r="A350" s="2" t="s">
        <v>386</v>
      </c>
      <c r="B350" s="4">
        <v>27</v>
      </c>
      <c r="C350" t="s">
        <v>17</v>
      </c>
      <c r="D350" t="s">
        <v>12</v>
      </c>
      <c r="E350" t="s">
        <v>24</v>
      </c>
      <c r="F350" t="s">
        <v>14</v>
      </c>
      <c r="G350" s="4">
        <v>15</v>
      </c>
      <c r="H350" s="1">
        <v>47606</v>
      </c>
      <c r="I350" s="3" t="s">
        <v>15</v>
      </c>
      <c r="J350" s="4">
        <v>1</v>
      </c>
    </row>
    <row r="351" spans="1:10" x14ac:dyDescent="0.35">
      <c r="A351" s="2" t="s">
        <v>387</v>
      </c>
      <c r="B351" s="4">
        <v>59</v>
      </c>
      <c r="C351" t="s">
        <v>11</v>
      </c>
      <c r="D351" t="s">
        <v>23</v>
      </c>
      <c r="E351" t="s">
        <v>29</v>
      </c>
      <c r="F351" t="s">
        <v>14</v>
      </c>
      <c r="G351" s="4">
        <v>5</v>
      </c>
      <c r="H351" s="1">
        <v>86308</v>
      </c>
      <c r="I351" s="3" t="s">
        <v>21</v>
      </c>
      <c r="J351" s="4">
        <v>1</v>
      </c>
    </row>
    <row r="352" spans="1:10" x14ac:dyDescent="0.35">
      <c r="A352" s="2" t="s">
        <v>388</v>
      </c>
      <c r="B352" s="4">
        <v>58</v>
      </c>
      <c r="C352" t="s">
        <v>17</v>
      </c>
      <c r="D352" t="s">
        <v>26</v>
      </c>
      <c r="E352" t="s">
        <v>13</v>
      </c>
      <c r="F352" t="s">
        <v>30</v>
      </c>
      <c r="G352" s="4">
        <v>1</v>
      </c>
      <c r="H352" s="1">
        <v>92402</v>
      </c>
      <c r="I352" s="3" t="s">
        <v>21</v>
      </c>
      <c r="J352" s="4">
        <v>2</v>
      </c>
    </row>
    <row r="353" spans="1:10" x14ac:dyDescent="0.35">
      <c r="A353" s="2" t="s">
        <v>389</v>
      </c>
      <c r="B353" s="4">
        <v>14</v>
      </c>
      <c r="C353" t="s">
        <v>17</v>
      </c>
      <c r="D353" t="s">
        <v>28</v>
      </c>
      <c r="E353" t="s">
        <v>19</v>
      </c>
      <c r="F353" t="s">
        <v>30</v>
      </c>
      <c r="G353" s="4">
        <v>2</v>
      </c>
      <c r="H353" s="1">
        <v>8922</v>
      </c>
      <c r="I353" s="3" t="s">
        <v>15</v>
      </c>
      <c r="J353" s="4">
        <v>3</v>
      </c>
    </row>
    <row r="354" spans="1:10" x14ac:dyDescent="0.35">
      <c r="A354" s="2" t="s">
        <v>390</v>
      </c>
      <c r="B354" s="4">
        <v>63</v>
      </c>
      <c r="C354" t="s">
        <v>17</v>
      </c>
      <c r="D354" t="s">
        <v>12</v>
      </c>
      <c r="E354" t="s">
        <v>19</v>
      </c>
      <c r="F354" t="s">
        <v>20</v>
      </c>
      <c r="G354" s="4">
        <v>15</v>
      </c>
      <c r="H354" s="1">
        <v>78235</v>
      </c>
      <c r="I354" s="3" t="s">
        <v>15</v>
      </c>
      <c r="J354" s="4">
        <v>5</v>
      </c>
    </row>
    <row r="355" spans="1:10" x14ac:dyDescent="0.35">
      <c r="A355" s="2" t="s">
        <v>391</v>
      </c>
      <c r="B355" s="4">
        <v>39</v>
      </c>
      <c r="C355" t="s">
        <v>17</v>
      </c>
      <c r="D355" t="s">
        <v>28</v>
      </c>
      <c r="E355" t="s">
        <v>53</v>
      </c>
      <c r="F355" t="s">
        <v>20</v>
      </c>
      <c r="G355" s="4">
        <v>4</v>
      </c>
      <c r="H355" s="1">
        <v>40371</v>
      </c>
      <c r="I355" s="3" t="s">
        <v>21</v>
      </c>
      <c r="J355" s="4">
        <v>4</v>
      </c>
    </row>
    <row r="356" spans="1:10" x14ac:dyDescent="0.35">
      <c r="A356" s="2" t="s">
        <v>392</v>
      </c>
      <c r="B356" s="4">
        <v>76</v>
      </c>
      <c r="C356" t="s">
        <v>17</v>
      </c>
      <c r="D356" t="s">
        <v>12</v>
      </c>
      <c r="E356" t="s">
        <v>19</v>
      </c>
      <c r="F356" t="s">
        <v>20</v>
      </c>
      <c r="G356" s="4">
        <v>5</v>
      </c>
      <c r="H356" s="1">
        <v>20973</v>
      </c>
      <c r="I356" s="3" t="s">
        <v>21</v>
      </c>
      <c r="J356" s="4">
        <v>1</v>
      </c>
    </row>
    <row r="357" spans="1:10" x14ac:dyDescent="0.35">
      <c r="A357" s="2" t="s">
        <v>393</v>
      </c>
      <c r="B357" s="4">
        <v>61</v>
      </c>
      <c r="C357" t="s">
        <v>17</v>
      </c>
      <c r="D357" t="s">
        <v>12</v>
      </c>
      <c r="E357" t="s">
        <v>37</v>
      </c>
      <c r="F357" t="s">
        <v>20</v>
      </c>
      <c r="G357" s="4">
        <v>8</v>
      </c>
      <c r="H357" s="1">
        <v>53833</v>
      </c>
      <c r="I357" s="3" t="s">
        <v>21</v>
      </c>
      <c r="J357" s="4">
        <v>4</v>
      </c>
    </row>
    <row r="358" spans="1:10" x14ac:dyDescent="0.35">
      <c r="A358" s="2" t="s">
        <v>394</v>
      </c>
      <c r="B358" s="4">
        <v>45</v>
      </c>
      <c r="C358" t="s">
        <v>17</v>
      </c>
      <c r="D358" t="s">
        <v>26</v>
      </c>
      <c r="E358" t="s">
        <v>27</v>
      </c>
      <c r="F358" t="s">
        <v>14</v>
      </c>
      <c r="G358" s="4">
        <v>2</v>
      </c>
      <c r="H358" s="1">
        <v>62575</v>
      </c>
      <c r="I358" s="3" t="s">
        <v>21</v>
      </c>
      <c r="J358" s="4">
        <v>2</v>
      </c>
    </row>
    <row r="359" spans="1:10" x14ac:dyDescent="0.35">
      <c r="A359" s="2" t="s">
        <v>395</v>
      </c>
      <c r="B359" s="4">
        <v>43</v>
      </c>
      <c r="C359" t="s">
        <v>17</v>
      </c>
      <c r="D359" t="s">
        <v>39</v>
      </c>
      <c r="E359" t="s">
        <v>42</v>
      </c>
      <c r="F359" t="s">
        <v>30</v>
      </c>
      <c r="G359" s="4">
        <v>8</v>
      </c>
      <c r="H359" s="1">
        <v>96885</v>
      </c>
      <c r="I359" s="3" t="s">
        <v>15</v>
      </c>
      <c r="J359" s="4">
        <v>5</v>
      </c>
    </row>
    <row r="360" spans="1:10" x14ac:dyDescent="0.35">
      <c r="A360" s="2" t="s">
        <v>396</v>
      </c>
      <c r="B360" s="4">
        <v>62</v>
      </c>
      <c r="C360" t="s">
        <v>11</v>
      </c>
      <c r="D360" t="s">
        <v>39</v>
      </c>
      <c r="E360" t="s">
        <v>13</v>
      </c>
      <c r="F360" t="s">
        <v>20</v>
      </c>
      <c r="G360" s="4">
        <v>14</v>
      </c>
      <c r="H360" s="1">
        <v>33151</v>
      </c>
      <c r="I360" s="3" t="s">
        <v>21</v>
      </c>
      <c r="J360" s="4">
        <v>4</v>
      </c>
    </row>
    <row r="361" spans="1:10" x14ac:dyDescent="0.35">
      <c r="A361" s="2" t="s">
        <v>397</v>
      </c>
      <c r="B361" s="4">
        <v>14</v>
      </c>
      <c r="C361" t="s">
        <v>17</v>
      </c>
      <c r="D361" t="s">
        <v>33</v>
      </c>
      <c r="E361" t="s">
        <v>19</v>
      </c>
      <c r="F361" t="s">
        <v>14</v>
      </c>
      <c r="G361" s="4">
        <v>13</v>
      </c>
      <c r="H361" s="1">
        <v>72982</v>
      </c>
      <c r="I361" s="3" t="s">
        <v>15</v>
      </c>
      <c r="J361" s="4">
        <v>2</v>
      </c>
    </row>
    <row r="362" spans="1:10" x14ac:dyDescent="0.35">
      <c r="A362" s="2" t="s">
        <v>398</v>
      </c>
      <c r="B362" s="4">
        <v>14</v>
      </c>
      <c r="C362" t="s">
        <v>11</v>
      </c>
      <c r="D362" t="s">
        <v>26</v>
      </c>
      <c r="E362" t="s">
        <v>27</v>
      </c>
      <c r="F362" t="s">
        <v>30</v>
      </c>
      <c r="G362" s="4">
        <v>1</v>
      </c>
      <c r="H362" s="1">
        <v>52259</v>
      </c>
      <c r="I362" s="3" t="s">
        <v>15</v>
      </c>
      <c r="J362" s="4">
        <v>1</v>
      </c>
    </row>
    <row r="363" spans="1:10" x14ac:dyDescent="0.35">
      <c r="A363" s="2" t="s">
        <v>399</v>
      </c>
      <c r="B363" s="4">
        <v>58</v>
      </c>
      <c r="C363" t="s">
        <v>17</v>
      </c>
      <c r="D363" t="s">
        <v>28</v>
      </c>
      <c r="E363" t="s">
        <v>13</v>
      </c>
      <c r="F363" t="s">
        <v>20</v>
      </c>
      <c r="G363" s="4">
        <v>3</v>
      </c>
      <c r="H363" s="1">
        <v>94079</v>
      </c>
      <c r="I363" s="3" t="s">
        <v>15</v>
      </c>
      <c r="J363" s="4">
        <v>4</v>
      </c>
    </row>
    <row r="364" spans="1:10" x14ac:dyDescent="0.35">
      <c r="A364" s="2" t="s">
        <v>400</v>
      </c>
      <c r="B364" s="4">
        <v>74</v>
      </c>
      <c r="C364" t="s">
        <v>11</v>
      </c>
      <c r="D364" t="s">
        <v>36</v>
      </c>
      <c r="E364" t="s">
        <v>53</v>
      </c>
      <c r="F364" t="s">
        <v>14</v>
      </c>
      <c r="G364" s="4">
        <v>15</v>
      </c>
      <c r="H364" s="1">
        <v>94480</v>
      </c>
      <c r="I364" s="3" t="s">
        <v>21</v>
      </c>
      <c r="J364" s="4">
        <v>3</v>
      </c>
    </row>
    <row r="365" spans="1:10" x14ac:dyDescent="0.35">
      <c r="A365" s="2" t="s">
        <v>401</v>
      </c>
      <c r="B365" s="4">
        <v>2</v>
      </c>
      <c r="C365" t="s">
        <v>17</v>
      </c>
      <c r="D365" t="s">
        <v>41</v>
      </c>
      <c r="E365" t="s">
        <v>19</v>
      </c>
      <c r="F365" t="s">
        <v>14</v>
      </c>
      <c r="G365" s="4">
        <v>1</v>
      </c>
      <c r="H365" s="1">
        <v>54358</v>
      </c>
      <c r="I365" s="3" t="s">
        <v>15</v>
      </c>
      <c r="J365" s="4">
        <v>2</v>
      </c>
    </row>
    <row r="366" spans="1:10" x14ac:dyDescent="0.35">
      <c r="A366" s="2" t="s">
        <v>402</v>
      </c>
      <c r="B366" s="4">
        <v>54</v>
      </c>
      <c r="C366" t="s">
        <v>17</v>
      </c>
      <c r="D366" t="s">
        <v>12</v>
      </c>
      <c r="E366" t="s">
        <v>29</v>
      </c>
      <c r="F366" t="s">
        <v>14</v>
      </c>
      <c r="G366" s="4">
        <v>10</v>
      </c>
      <c r="H366" s="1">
        <v>8326</v>
      </c>
      <c r="I366" s="3" t="s">
        <v>21</v>
      </c>
      <c r="J366" s="4">
        <v>5</v>
      </c>
    </row>
    <row r="367" spans="1:10" x14ac:dyDescent="0.35">
      <c r="A367" s="2" t="s">
        <v>403</v>
      </c>
      <c r="B367" s="4">
        <v>76</v>
      </c>
      <c r="C367" t="s">
        <v>17</v>
      </c>
      <c r="D367" t="s">
        <v>28</v>
      </c>
      <c r="E367" t="s">
        <v>29</v>
      </c>
      <c r="F367" t="s">
        <v>14</v>
      </c>
      <c r="G367" s="4">
        <v>5</v>
      </c>
      <c r="H367" s="1">
        <v>34350</v>
      </c>
      <c r="I367" s="3" t="s">
        <v>15</v>
      </c>
      <c r="J367" s="4">
        <v>2</v>
      </c>
    </row>
    <row r="368" spans="1:10" x14ac:dyDescent="0.35">
      <c r="A368" s="2" t="s">
        <v>404</v>
      </c>
      <c r="B368" s="4">
        <v>71</v>
      </c>
      <c r="C368" t="s">
        <v>17</v>
      </c>
      <c r="D368" t="s">
        <v>18</v>
      </c>
      <c r="E368" t="s">
        <v>27</v>
      </c>
      <c r="F368" t="s">
        <v>20</v>
      </c>
      <c r="G368" s="4">
        <v>14</v>
      </c>
      <c r="H368" s="1">
        <v>22816</v>
      </c>
      <c r="I368" s="3" t="s">
        <v>15</v>
      </c>
      <c r="J368" s="4">
        <v>3</v>
      </c>
    </row>
    <row r="369" spans="1:10" x14ac:dyDescent="0.35">
      <c r="A369" s="2" t="s">
        <v>405</v>
      </c>
      <c r="B369" s="4">
        <v>15</v>
      </c>
      <c r="C369" t="s">
        <v>11</v>
      </c>
      <c r="D369" t="s">
        <v>49</v>
      </c>
      <c r="E369" t="s">
        <v>13</v>
      </c>
      <c r="F369" t="s">
        <v>14</v>
      </c>
      <c r="G369" s="4">
        <v>2</v>
      </c>
      <c r="H369" s="1">
        <v>47863</v>
      </c>
      <c r="I369" s="3" t="s">
        <v>21</v>
      </c>
      <c r="J369" s="4">
        <v>1</v>
      </c>
    </row>
    <row r="370" spans="1:10" x14ac:dyDescent="0.35">
      <c r="A370" s="2" t="s">
        <v>406</v>
      </c>
      <c r="B370" s="4">
        <v>42</v>
      </c>
      <c r="C370" t="s">
        <v>17</v>
      </c>
      <c r="D370" t="s">
        <v>23</v>
      </c>
      <c r="E370" t="s">
        <v>37</v>
      </c>
      <c r="F370" t="s">
        <v>14</v>
      </c>
      <c r="G370" s="4">
        <v>6</v>
      </c>
      <c r="H370" s="1">
        <v>71527</v>
      </c>
      <c r="I370" s="3" t="s">
        <v>21</v>
      </c>
      <c r="J370" s="4">
        <v>3</v>
      </c>
    </row>
    <row r="371" spans="1:10" x14ac:dyDescent="0.35">
      <c r="A371" s="2" t="s">
        <v>407</v>
      </c>
      <c r="B371" s="4">
        <v>18</v>
      </c>
      <c r="C371" t="s">
        <v>11</v>
      </c>
      <c r="D371" t="s">
        <v>23</v>
      </c>
      <c r="E371" t="s">
        <v>29</v>
      </c>
      <c r="F371" t="s">
        <v>14</v>
      </c>
      <c r="G371" s="4">
        <v>6</v>
      </c>
      <c r="H371" s="1">
        <v>17567</v>
      </c>
      <c r="I371" s="3" t="s">
        <v>21</v>
      </c>
      <c r="J371" s="4">
        <v>5</v>
      </c>
    </row>
    <row r="372" spans="1:10" x14ac:dyDescent="0.35">
      <c r="A372" s="2" t="s">
        <v>408</v>
      </c>
      <c r="B372" s="4">
        <v>50</v>
      </c>
      <c r="C372" t="s">
        <v>17</v>
      </c>
      <c r="D372" t="s">
        <v>49</v>
      </c>
      <c r="E372" t="s">
        <v>34</v>
      </c>
      <c r="F372" t="s">
        <v>14</v>
      </c>
      <c r="G372" s="4">
        <v>11</v>
      </c>
      <c r="H372" s="1">
        <v>62633</v>
      </c>
      <c r="I372" s="3" t="s">
        <v>21</v>
      </c>
      <c r="J372" s="4">
        <v>2</v>
      </c>
    </row>
    <row r="373" spans="1:10" x14ac:dyDescent="0.35">
      <c r="A373" s="2" t="s">
        <v>409</v>
      </c>
      <c r="B373" s="4">
        <v>65</v>
      </c>
      <c r="C373" t="s">
        <v>17</v>
      </c>
      <c r="D373" t="s">
        <v>12</v>
      </c>
      <c r="E373" t="s">
        <v>34</v>
      </c>
      <c r="F373" t="s">
        <v>30</v>
      </c>
      <c r="G373" s="4">
        <v>7</v>
      </c>
      <c r="H373" s="1">
        <v>51318</v>
      </c>
      <c r="I373" s="3" t="s">
        <v>15</v>
      </c>
      <c r="J373" s="4">
        <v>1</v>
      </c>
    </row>
    <row r="374" spans="1:10" x14ac:dyDescent="0.35">
      <c r="A374" s="2" t="s">
        <v>410</v>
      </c>
      <c r="B374" s="4">
        <v>34</v>
      </c>
      <c r="C374" t="s">
        <v>11</v>
      </c>
      <c r="D374" t="s">
        <v>18</v>
      </c>
      <c r="E374" t="s">
        <v>37</v>
      </c>
      <c r="F374" t="s">
        <v>20</v>
      </c>
      <c r="G374" s="4">
        <v>14</v>
      </c>
      <c r="H374" s="1">
        <v>37115</v>
      </c>
      <c r="I374" s="3" t="s">
        <v>21</v>
      </c>
      <c r="J374" s="4">
        <v>2</v>
      </c>
    </row>
    <row r="375" spans="1:10" x14ac:dyDescent="0.35">
      <c r="A375" s="2" t="s">
        <v>411</v>
      </c>
      <c r="B375" s="4">
        <v>65</v>
      </c>
      <c r="C375" t="s">
        <v>17</v>
      </c>
      <c r="D375" t="s">
        <v>49</v>
      </c>
      <c r="E375" t="s">
        <v>42</v>
      </c>
      <c r="F375" t="s">
        <v>20</v>
      </c>
      <c r="G375" s="4">
        <v>5</v>
      </c>
      <c r="H375" s="1">
        <v>86492</v>
      </c>
      <c r="I375" s="3" t="s">
        <v>21</v>
      </c>
      <c r="J375" s="4">
        <v>1</v>
      </c>
    </row>
    <row r="376" spans="1:10" x14ac:dyDescent="0.35">
      <c r="A376" s="2" t="s">
        <v>412</v>
      </c>
      <c r="B376" s="4">
        <v>25</v>
      </c>
      <c r="C376" t="s">
        <v>11</v>
      </c>
      <c r="D376" t="s">
        <v>39</v>
      </c>
      <c r="E376" t="s">
        <v>34</v>
      </c>
      <c r="F376" t="s">
        <v>14</v>
      </c>
      <c r="G376" s="4">
        <v>5</v>
      </c>
      <c r="H376" s="1">
        <v>82348</v>
      </c>
      <c r="I376" s="3" t="s">
        <v>15</v>
      </c>
      <c r="J376" s="4">
        <v>3</v>
      </c>
    </row>
    <row r="377" spans="1:10" x14ac:dyDescent="0.35">
      <c r="A377" s="2" t="s">
        <v>413</v>
      </c>
      <c r="B377" s="4">
        <v>57</v>
      </c>
      <c r="C377" t="s">
        <v>17</v>
      </c>
      <c r="D377" t="s">
        <v>33</v>
      </c>
      <c r="E377" t="s">
        <v>37</v>
      </c>
      <c r="F377" t="s">
        <v>20</v>
      </c>
      <c r="G377" s="4">
        <v>6</v>
      </c>
      <c r="H377" s="1">
        <v>86853</v>
      </c>
      <c r="I377" s="3" t="s">
        <v>21</v>
      </c>
      <c r="J377" s="4">
        <v>1</v>
      </c>
    </row>
    <row r="378" spans="1:10" x14ac:dyDescent="0.35">
      <c r="A378" s="2" t="s">
        <v>414</v>
      </c>
      <c r="B378" s="4">
        <v>5</v>
      </c>
      <c r="C378" t="s">
        <v>17</v>
      </c>
      <c r="D378" t="s">
        <v>23</v>
      </c>
      <c r="E378" t="s">
        <v>37</v>
      </c>
      <c r="F378" t="s">
        <v>20</v>
      </c>
      <c r="G378" s="4">
        <v>14</v>
      </c>
      <c r="H378" s="1">
        <v>10894</v>
      </c>
      <c r="I378" s="3" t="s">
        <v>15</v>
      </c>
      <c r="J378" s="4">
        <v>3</v>
      </c>
    </row>
    <row r="379" spans="1:10" x14ac:dyDescent="0.35">
      <c r="A379" s="2" t="s">
        <v>415</v>
      </c>
      <c r="B379" s="4">
        <v>25</v>
      </c>
      <c r="C379" t="s">
        <v>17</v>
      </c>
      <c r="D379" t="s">
        <v>12</v>
      </c>
      <c r="E379" t="s">
        <v>53</v>
      </c>
      <c r="F379" t="s">
        <v>20</v>
      </c>
      <c r="G379" s="4">
        <v>8</v>
      </c>
      <c r="H379" s="1">
        <v>80775</v>
      </c>
      <c r="I379" s="3" t="s">
        <v>15</v>
      </c>
      <c r="J379" s="4">
        <v>1</v>
      </c>
    </row>
    <row r="380" spans="1:10" x14ac:dyDescent="0.35">
      <c r="A380" s="2" t="s">
        <v>416</v>
      </c>
      <c r="B380" s="4">
        <v>63</v>
      </c>
      <c r="C380" t="s">
        <v>11</v>
      </c>
      <c r="D380" t="s">
        <v>26</v>
      </c>
      <c r="E380" t="s">
        <v>27</v>
      </c>
      <c r="F380" t="s">
        <v>30</v>
      </c>
      <c r="G380" s="4">
        <v>11</v>
      </c>
      <c r="H380" s="1">
        <v>35657</v>
      </c>
      <c r="I380" s="3" t="s">
        <v>15</v>
      </c>
      <c r="J380" s="4">
        <v>2</v>
      </c>
    </row>
    <row r="381" spans="1:10" x14ac:dyDescent="0.35">
      <c r="A381" s="2" t="s">
        <v>417</v>
      </c>
      <c r="B381" s="4">
        <v>24</v>
      </c>
      <c r="C381" t="s">
        <v>17</v>
      </c>
      <c r="D381" t="s">
        <v>23</v>
      </c>
      <c r="E381" t="s">
        <v>13</v>
      </c>
      <c r="F381" t="s">
        <v>14</v>
      </c>
      <c r="G381" s="4">
        <v>4</v>
      </c>
      <c r="H381" s="1">
        <v>22065</v>
      </c>
      <c r="I381" s="3" t="s">
        <v>21</v>
      </c>
      <c r="J381" s="4">
        <v>1</v>
      </c>
    </row>
    <row r="382" spans="1:10" x14ac:dyDescent="0.35">
      <c r="A382" s="2" t="s">
        <v>418</v>
      </c>
      <c r="B382" s="4">
        <v>4</v>
      </c>
      <c r="C382" t="s">
        <v>17</v>
      </c>
      <c r="D382" t="s">
        <v>39</v>
      </c>
      <c r="E382" t="s">
        <v>37</v>
      </c>
      <c r="F382" t="s">
        <v>30</v>
      </c>
      <c r="G382" s="4">
        <v>14</v>
      </c>
      <c r="H382" s="1">
        <v>12833</v>
      </c>
      <c r="I382" s="3" t="s">
        <v>15</v>
      </c>
      <c r="J382" s="4">
        <v>5</v>
      </c>
    </row>
    <row r="383" spans="1:10" x14ac:dyDescent="0.35">
      <c r="A383" s="2" t="s">
        <v>419</v>
      </c>
      <c r="B383" s="4">
        <v>26</v>
      </c>
      <c r="C383" t="s">
        <v>11</v>
      </c>
      <c r="D383" t="s">
        <v>36</v>
      </c>
      <c r="E383" t="s">
        <v>19</v>
      </c>
      <c r="F383" t="s">
        <v>30</v>
      </c>
      <c r="G383" s="4">
        <v>9</v>
      </c>
      <c r="H383" s="1">
        <v>41145</v>
      </c>
      <c r="I383" s="3" t="s">
        <v>15</v>
      </c>
      <c r="J383" s="4">
        <v>4</v>
      </c>
    </row>
    <row r="384" spans="1:10" x14ac:dyDescent="0.35">
      <c r="A384" s="2" t="s">
        <v>420</v>
      </c>
      <c r="B384" s="4">
        <v>12</v>
      </c>
      <c r="C384" t="s">
        <v>17</v>
      </c>
      <c r="D384" t="s">
        <v>41</v>
      </c>
      <c r="E384" t="s">
        <v>13</v>
      </c>
      <c r="F384" t="s">
        <v>14</v>
      </c>
      <c r="G384" s="4">
        <v>5</v>
      </c>
      <c r="H384" s="1">
        <v>83469</v>
      </c>
      <c r="I384" s="3" t="s">
        <v>15</v>
      </c>
      <c r="J384" s="4">
        <v>2</v>
      </c>
    </row>
    <row r="385" spans="1:10" x14ac:dyDescent="0.35">
      <c r="A385" s="2" t="s">
        <v>421</v>
      </c>
      <c r="B385" s="4">
        <v>85</v>
      </c>
      <c r="C385" t="s">
        <v>17</v>
      </c>
      <c r="D385" t="s">
        <v>36</v>
      </c>
      <c r="E385" t="s">
        <v>37</v>
      </c>
      <c r="F385" t="s">
        <v>30</v>
      </c>
      <c r="G385" s="4">
        <v>5</v>
      </c>
      <c r="H385" s="1">
        <v>57352</v>
      </c>
      <c r="I385" s="3" t="s">
        <v>21</v>
      </c>
      <c r="J385" s="4">
        <v>2</v>
      </c>
    </row>
    <row r="386" spans="1:10" x14ac:dyDescent="0.35">
      <c r="A386" s="2" t="s">
        <v>422</v>
      </c>
      <c r="B386" s="4">
        <v>84</v>
      </c>
      <c r="C386" t="s">
        <v>11</v>
      </c>
      <c r="D386" t="s">
        <v>39</v>
      </c>
      <c r="E386" t="s">
        <v>42</v>
      </c>
      <c r="F386" t="s">
        <v>20</v>
      </c>
      <c r="G386" s="4">
        <v>12</v>
      </c>
      <c r="H386" s="1">
        <v>23770</v>
      </c>
      <c r="I386" s="3" t="s">
        <v>15</v>
      </c>
      <c r="J386" s="4">
        <v>5</v>
      </c>
    </row>
    <row r="387" spans="1:10" x14ac:dyDescent="0.35">
      <c r="A387" s="2" t="s">
        <v>423</v>
      </c>
      <c r="B387" s="4">
        <v>71</v>
      </c>
      <c r="C387" t="s">
        <v>11</v>
      </c>
      <c r="D387" t="s">
        <v>41</v>
      </c>
      <c r="E387" t="s">
        <v>27</v>
      </c>
      <c r="F387" t="s">
        <v>14</v>
      </c>
      <c r="G387" s="4">
        <v>12</v>
      </c>
      <c r="H387" s="1">
        <v>86217</v>
      </c>
      <c r="I387" s="3" t="s">
        <v>15</v>
      </c>
      <c r="J387" s="4">
        <v>3</v>
      </c>
    </row>
    <row r="388" spans="1:10" x14ac:dyDescent="0.35">
      <c r="A388" s="2" t="s">
        <v>424</v>
      </c>
      <c r="B388" s="4">
        <v>85</v>
      </c>
      <c r="C388" t="s">
        <v>17</v>
      </c>
      <c r="D388" t="s">
        <v>26</v>
      </c>
      <c r="E388" t="s">
        <v>42</v>
      </c>
      <c r="F388" t="s">
        <v>30</v>
      </c>
      <c r="G388" s="4">
        <v>3</v>
      </c>
      <c r="H388" s="1">
        <v>87857</v>
      </c>
      <c r="I388" s="3" t="s">
        <v>21</v>
      </c>
      <c r="J388" s="4">
        <v>5</v>
      </c>
    </row>
    <row r="389" spans="1:10" x14ac:dyDescent="0.35">
      <c r="A389" s="2" t="s">
        <v>425</v>
      </c>
      <c r="B389" s="4">
        <v>47</v>
      </c>
      <c r="C389" t="s">
        <v>17</v>
      </c>
      <c r="D389" t="s">
        <v>12</v>
      </c>
      <c r="E389" t="s">
        <v>65</v>
      </c>
      <c r="F389" t="s">
        <v>30</v>
      </c>
      <c r="G389" s="4">
        <v>1</v>
      </c>
      <c r="H389" s="1">
        <v>85928</v>
      </c>
      <c r="I389" s="3" t="s">
        <v>21</v>
      </c>
      <c r="J389" s="4">
        <v>1</v>
      </c>
    </row>
    <row r="390" spans="1:10" x14ac:dyDescent="0.35">
      <c r="A390" s="2" t="s">
        <v>426</v>
      </c>
      <c r="B390" s="4">
        <v>81</v>
      </c>
      <c r="C390" t="s">
        <v>17</v>
      </c>
      <c r="D390" t="s">
        <v>36</v>
      </c>
      <c r="E390" t="s">
        <v>13</v>
      </c>
      <c r="F390" t="s">
        <v>14</v>
      </c>
      <c r="G390" s="4">
        <v>13</v>
      </c>
      <c r="H390" s="1">
        <v>90307</v>
      </c>
      <c r="I390" s="3" t="s">
        <v>21</v>
      </c>
      <c r="J390" s="4">
        <v>3</v>
      </c>
    </row>
    <row r="391" spans="1:10" x14ac:dyDescent="0.35">
      <c r="A391" s="2" t="s">
        <v>427</v>
      </c>
      <c r="B391" s="4">
        <v>61</v>
      </c>
      <c r="C391" t="s">
        <v>17</v>
      </c>
      <c r="D391" t="s">
        <v>28</v>
      </c>
      <c r="E391" t="s">
        <v>53</v>
      </c>
      <c r="F391" t="s">
        <v>20</v>
      </c>
      <c r="G391" s="4">
        <v>9</v>
      </c>
      <c r="H391" s="1">
        <v>40040</v>
      </c>
      <c r="I391" s="3" t="s">
        <v>21</v>
      </c>
      <c r="J391" s="4">
        <v>4</v>
      </c>
    </row>
    <row r="392" spans="1:10" x14ac:dyDescent="0.35">
      <c r="A392" s="2" t="s">
        <v>428</v>
      </c>
      <c r="B392" s="4">
        <v>82</v>
      </c>
      <c r="C392" t="s">
        <v>11</v>
      </c>
      <c r="D392" t="s">
        <v>49</v>
      </c>
      <c r="E392" t="s">
        <v>13</v>
      </c>
      <c r="F392" t="s">
        <v>20</v>
      </c>
      <c r="G392" s="4">
        <v>6</v>
      </c>
      <c r="H392" s="1">
        <v>11588</v>
      </c>
      <c r="I392" s="3" t="s">
        <v>15</v>
      </c>
      <c r="J392" s="4">
        <v>1</v>
      </c>
    </row>
    <row r="393" spans="1:10" x14ac:dyDescent="0.35">
      <c r="A393" s="2" t="s">
        <v>429</v>
      </c>
      <c r="B393" s="4">
        <v>78</v>
      </c>
      <c r="C393" t="s">
        <v>17</v>
      </c>
      <c r="D393" t="s">
        <v>49</v>
      </c>
      <c r="E393" t="s">
        <v>42</v>
      </c>
      <c r="F393" t="s">
        <v>30</v>
      </c>
      <c r="G393" s="4">
        <v>3</v>
      </c>
      <c r="H393" s="1">
        <v>31533</v>
      </c>
      <c r="I393" s="3" t="s">
        <v>21</v>
      </c>
      <c r="J393" s="4">
        <v>4</v>
      </c>
    </row>
    <row r="394" spans="1:10" x14ac:dyDescent="0.35">
      <c r="A394" s="2" t="s">
        <v>430</v>
      </c>
      <c r="B394" s="4">
        <v>20</v>
      </c>
      <c r="C394" t="s">
        <v>17</v>
      </c>
      <c r="D394" t="s">
        <v>39</v>
      </c>
      <c r="E394" t="s">
        <v>65</v>
      </c>
      <c r="F394" t="s">
        <v>20</v>
      </c>
      <c r="G394" s="4">
        <v>7</v>
      </c>
      <c r="H394" s="1">
        <v>29886</v>
      </c>
      <c r="I394" s="3" t="s">
        <v>15</v>
      </c>
      <c r="J394" s="4">
        <v>1</v>
      </c>
    </row>
    <row r="395" spans="1:10" x14ac:dyDescent="0.35">
      <c r="A395" s="2" t="s">
        <v>431</v>
      </c>
      <c r="B395" s="4">
        <v>23</v>
      </c>
      <c r="C395" t="s">
        <v>17</v>
      </c>
      <c r="D395" t="s">
        <v>41</v>
      </c>
      <c r="E395" t="s">
        <v>24</v>
      </c>
      <c r="F395" t="s">
        <v>30</v>
      </c>
      <c r="G395" s="4">
        <v>2</v>
      </c>
      <c r="H395" s="1">
        <v>24028</v>
      </c>
      <c r="I395" s="3" t="s">
        <v>15</v>
      </c>
      <c r="J395" s="4">
        <v>5</v>
      </c>
    </row>
    <row r="396" spans="1:10" x14ac:dyDescent="0.35">
      <c r="A396" s="2" t="s">
        <v>432</v>
      </c>
      <c r="B396" s="4">
        <v>44</v>
      </c>
      <c r="C396" t="s">
        <v>11</v>
      </c>
      <c r="D396" t="s">
        <v>23</v>
      </c>
      <c r="E396" t="s">
        <v>27</v>
      </c>
      <c r="F396" t="s">
        <v>30</v>
      </c>
      <c r="G396" s="4">
        <v>9</v>
      </c>
      <c r="H396" s="1">
        <v>65435</v>
      </c>
      <c r="I396" s="3" t="s">
        <v>21</v>
      </c>
      <c r="J396" s="4">
        <v>2</v>
      </c>
    </row>
    <row r="397" spans="1:10" x14ac:dyDescent="0.35">
      <c r="A397" s="2" t="s">
        <v>433</v>
      </c>
      <c r="B397" s="4">
        <v>74</v>
      </c>
      <c r="C397" t="s">
        <v>17</v>
      </c>
      <c r="D397" t="s">
        <v>28</v>
      </c>
      <c r="E397" t="s">
        <v>24</v>
      </c>
      <c r="F397" t="s">
        <v>20</v>
      </c>
      <c r="G397" s="4">
        <v>14</v>
      </c>
      <c r="H397" s="1">
        <v>97466</v>
      </c>
      <c r="I397" s="3" t="s">
        <v>15</v>
      </c>
      <c r="J397" s="4">
        <v>1</v>
      </c>
    </row>
    <row r="398" spans="1:10" x14ac:dyDescent="0.35">
      <c r="A398" s="2" t="s">
        <v>434</v>
      </c>
      <c r="B398" s="4">
        <v>8</v>
      </c>
      <c r="C398" t="s">
        <v>17</v>
      </c>
      <c r="D398" t="s">
        <v>23</v>
      </c>
      <c r="E398" t="s">
        <v>27</v>
      </c>
      <c r="F398" t="s">
        <v>20</v>
      </c>
      <c r="G398" s="4">
        <v>10</v>
      </c>
      <c r="H398" s="1">
        <v>87187</v>
      </c>
      <c r="I398" s="3" t="s">
        <v>21</v>
      </c>
      <c r="J398" s="4">
        <v>1</v>
      </c>
    </row>
    <row r="399" spans="1:10" x14ac:dyDescent="0.35">
      <c r="A399" s="2" t="s">
        <v>435</v>
      </c>
      <c r="B399" s="4">
        <v>46</v>
      </c>
      <c r="C399" t="s">
        <v>17</v>
      </c>
      <c r="D399" t="s">
        <v>33</v>
      </c>
      <c r="E399" t="s">
        <v>24</v>
      </c>
      <c r="F399" t="s">
        <v>30</v>
      </c>
      <c r="G399" s="4">
        <v>5</v>
      </c>
      <c r="H399" s="1">
        <v>14656</v>
      </c>
      <c r="I399" s="3" t="s">
        <v>15</v>
      </c>
      <c r="J399" s="4">
        <v>3</v>
      </c>
    </row>
    <row r="400" spans="1:10" x14ac:dyDescent="0.35">
      <c r="A400" s="2" t="s">
        <v>436</v>
      </c>
      <c r="B400" s="4">
        <v>82</v>
      </c>
      <c r="C400" t="s">
        <v>11</v>
      </c>
      <c r="D400" t="s">
        <v>33</v>
      </c>
      <c r="E400" t="s">
        <v>19</v>
      </c>
      <c r="F400" t="s">
        <v>30</v>
      </c>
      <c r="G400" s="4">
        <v>6</v>
      </c>
      <c r="H400" s="1">
        <v>34399</v>
      </c>
      <c r="I400" s="3" t="s">
        <v>21</v>
      </c>
      <c r="J400" s="4">
        <v>1</v>
      </c>
    </row>
    <row r="401" spans="1:10" x14ac:dyDescent="0.35">
      <c r="A401" s="2" t="s">
        <v>437</v>
      </c>
      <c r="B401" s="4">
        <v>36</v>
      </c>
      <c r="C401" t="s">
        <v>17</v>
      </c>
      <c r="D401" t="s">
        <v>39</v>
      </c>
      <c r="E401" t="s">
        <v>53</v>
      </c>
      <c r="F401" t="s">
        <v>30</v>
      </c>
      <c r="G401" s="4">
        <v>8</v>
      </c>
      <c r="H401" s="1">
        <v>51603</v>
      </c>
      <c r="I401" s="3" t="s">
        <v>21</v>
      </c>
      <c r="J401" s="4">
        <v>5</v>
      </c>
    </row>
    <row r="402" spans="1:10" x14ac:dyDescent="0.35">
      <c r="A402" s="2" t="s">
        <v>438</v>
      </c>
      <c r="B402" s="4">
        <v>89</v>
      </c>
      <c r="C402" t="s">
        <v>17</v>
      </c>
      <c r="D402" t="s">
        <v>18</v>
      </c>
      <c r="E402" t="s">
        <v>27</v>
      </c>
      <c r="F402" t="s">
        <v>20</v>
      </c>
      <c r="G402" s="4">
        <v>6</v>
      </c>
      <c r="H402" s="1">
        <v>33530</v>
      </c>
      <c r="I402" s="3" t="s">
        <v>15</v>
      </c>
      <c r="J402" s="4">
        <v>1</v>
      </c>
    </row>
    <row r="403" spans="1:10" x14ac:dyDescent="0.35">
      <c r="A403" s="2" t="s">
        <v>439</v>
      </c>
      <c r="B403" s="4">
        <v>69</v>
      </c>
      <c r="C403" t="s">
        <v>17</v>
      </c>
      <c r="D403" t="s">
        <v>41</v>
      </c>
      <c r="E403" t="s">
        <v>65</v>
      </c>
      <c r="F403" t="s">
        <v>20</v>
      </c>
      <c r="G403" s="4">
        <v>3</v>
      </c>
      <c r="H403" s="1">
        <v>23254</v>
      </c>
      <c r="I403" s="3" t="s">
        <v>21</v>
      </c>
      <c r="J403" s="4">
        <v>5</v>
      </c>
    </row>
    <row r="404" spans="1:10" x14ac:dyDescent="0.35">
      <c r="A404" s="2" t="s">
        <v>440</v>
      </c>
      <c r="B404" s="4">
        <v>32</v>
      </c>
      <c r="C404" t="s">
        <v>11</v>
      </c>
      <c r="D404" t="s">
        <v>39</v>
      </c>
      <c r="E404" t="s">
        <v>34</v>
      </c>
      <c r="F404" t="s">
        <v>14</v>
      </c>
      <c r="G404" s="4">
        <v>12</v>
      </c>
      <c r="H404" s="1">
        <v>34388</v>
      </c>
      <c r="I404" s="3" t="s">
        <v>15</v>
      </c>
      <c r="J404" s="4">
        <v>4</v>
      </c>
    </row>
    <row r="405" spans="1:10" x14ac:dyDescent="0.35">
      <c r="A405" s="2" t="s">
        <v>441</v>
      </c>
      <c r="B405" s="4">
        <v>40</v>
      </c>
      <c r="C405" t="s">
        <v>11</v>
      </c>
      <c r="D405" t="s">
        <v>12</v>
      </c>
      <c r="E405" t="s">
        <v>29</v>
      </c>
      <c r="F405" t="s">
        <v>30</v>
      </c>
      <c r="G405" s="4">
        <v>1</v>
      </c>
      <c r="H405" s="1">
        <v>57492</v>
      </c>
      <c r="I405" s="3" t="s">
        <v>21</v>
      </c>
      <c r="J405" s="4">
        <v>3</v>
      </c>
    </row>
    <row r="406" spans="1:10" x14ac:dyDescent="0.35">
      <c r="A406" s="2" t="s">
        <v>442</v>
      </c>
      <c r="B406" s="4">
        <v>52</v>
      </c>
      <c r="C406" t="s">
        <v>17</v>
      </c>
      <c r="D406" t="s">
        <v>12</v>
      </c>
      <c r="E406" t="s">
        <v>13</v>
      </c>
      <c r="F406" t="s">
        <v>14</v>
      </c>
      <c r="G406" s="4">
        <v>8</v>
      </c>
      <c r="H406" s="1">
        <v>51517</v>
      </c>
      <c r="I406" s="3" t="s">
        <v>15</v>
      </c>
      <c r="J406" s="4">
        <v>5</v>
      </c>
    </row>
    <row r="407" spans="1:10" x14ac:dyDescent="0.35">
      <c r="A407" s="2" t="s">
        <v>443</v>
      </c>
      <c r="B407" s="4">
        <v>32</v>
      </c>
      <c r="C407" t="s">
        <v>17</v>
      </c>
      <c r="D407" t="s">
        <v>33</v>
      </c>
      <c r="E407" t="s">
        <v>24</v>
      </c>
      <c r="F407" t="s">
        <v>30</v>
      </c>
      <c r="G407" s="4">
        <v>15</v>
      </c>
      <c r="H407" s="1">
        <v>48092</v>
      </c>
      <c r="I407" s="3" t="s">
        <v>15</v>
      </c>
      <c r="J407" s="4">
        <v>4</v>
      </c>
    </row>
    <row r="408" spans="1:10" x14ac:dyDescent="0.35">
      <c r="A408" s="2" t="s">
        <v>444</v>
      </c>
      <c r="B408" s="4">
        <v>71</v>
      </c>
      <c r="C408" t="s">
        <v>11</v>
      </c>
      <c r="D408" t="s">
        <v>33</v>
      </c>
      <c r="E408" t="s">
        <v>53</v>
      </c>
      <c r="F408" t="s">
        <v>30</v>
      </c>
      <c r="G408" s="4">
        <v>15</v>
      </c>
      <c r="H408" s="1">
        <v>19104</v>
      </c>
      <c r="I408" s="3" t="s">
        <v>15</v>
      </c>
      <c r="J408" s="4">
        <v>3</v>
      </c>
    </row>
    <row r="409" spans="1:10" x14ac:dyDescent="0.35">
      <c r="A409" s="2" t="s">
        <v>445</v>
      </c>
      <c r="B409" s="4">
        <v>41</v>
      </c>
      <c r="C409" t="s">
        <v>11</v>
      </c>
      <c r="D409" t="s">
        <v>36</v>
      </c>
      <c r="E409" t="s">
        <v>24</v>
      </c>
      <c r="F409" t="s">
        <v>20</v>
      </c>
      <c r="G409" s="4">
        <v>14</v>
      </c>
      <c r="H409" s="1">
        <v>55647</v>
      </c>
      <c r="I409" s="3" t="s">
        <v>21</v>
      </c>
      <c r="J409" s="4">
        <v>1</v>
      </c>
    </row>
    <row r="410" spans="1:10" x14ac:dyDescent="0.35">
      <c r="A410" s="2" t="s">
        <v>446</v>
      </c>
      <c r="B410" s="4">
        <v>76</v>
      </c>
      <c r="C410" t="s">
        <v>11</v>
      </c>
      <c r="D410" t="s">
        <v>26</v>
      </c>
      <c r="E410" t="s">
        <v>65</v>
      </c>
      <c r="F410" t="s">
        <v>14</v>
      </c>
      <c r="G410" s="4">
        <v>4</v>
      </c>
      <c r="H410" s="1">
        <v>87009</v>
      </c>
      <c r="I410" s="3" t="s">
        <v>21</v>
      </c>
      <c r="J410" s="4">
        <v>5</v>
      </c>
    </row>
    <row r="411" spans="1:10" x14ac:dyDescent="0.35">
      <c r="A411" s="2" t="s">
        <v>447</v>
      </c>
      <c r="B411" s="4">
        <v>28</v>
      </c>
      <c r="C411" t="s">
        <v>17</v>
      </c>
      <c r="D411" t="s">
        <v>28</v>
      </c>
      <c r="E411" t="s">
        <v>65</v>
      </c>
      <c r="F411" t="s">
        <v>30</v>
      </c>
      <c r="G411" s="4">
        <v>5</v>
      </c>
      <c r="H411" s="1">
        <v>91493</v>
      </c>
      <c r="I411" s="3" t="s">
        <v>15</v>
      </c>
      <c r="J411" s="4">
        <v>3</v>
      </c>
    </row>
    <row r="412" spans="1:10" x14ac:dyDescent="0.35">
      <c r="A412" s="2" t="s">
        <v>448</v>
      </c>
      <c r="B412" s="4">
        <v>37</v>
      </c>
      <c r="C412" t="s">
        <v>17</v>
      </c>
      <c r="D412" t="s">
        <v>18</v>
      </c>
      <c r="E412" t="s">
        <v>19</v>
      </c>
      <c r="F412" t="s">
        <v>14</v>
      </c>
      <c r="G412" s="4">
        <v>10</v>
      </c>
      <c r="H412" s="1">
        <v>99703</v>
      </c>
      <c r="I412" s="3" t="s">
        <v>15</v>
      </c>
      <c r="J412" s="4">
        <v>1</v>
      </c>
    </row>
    <row r="413" spans="1:10" x14ac:dyDescent="0.35">
      <c r="A413" s="2" t="s">
        <v>449</v>
      </c>
      <c r="B413" s="4">
        <v>32</v>
      </c>
      <c r="C413" t="s">
        <v>17</v>
      </c>
      <c r="D413" t="s">
        <v>41</v>
      </c>
      <c r="E413" t="s">
        <v>37</v>
      </c>
      <c r="F413" t="s">
        <v>20</v>
      </c>
      <c r="G413" s="4">
        <v>12</v>
      </c>
      <c r="H413" s="1">
        <v>85148</v>
      </c>
      <c r="I413" s="3" t="s">
        <v>21</v>
      </c>
      <c r="J413" s="4">
        <v>3</v>
      </c>
    </row>
    <row r="414" spans="1:10" x14ac:dyDescent="0.35">
      <c r="A414" s="2" t="s">
        <v>450</v>
      </c>
      <c r="B414" s="4">
        <v>43</v>
      </c>
      <c r="C414" t="s">
        <v>17</v>
      </c>
      <c r="D414" t="s">
        <v>41</v>
      </c>
      <c r="E414" t="s">
        <v>27</v>
      </c>
      <c r="F414" t="s">
        <v>14</v>
      </c>
      <c r="G414" s="4">
        <v>11</v>
      </c>
      <c r="H414" s="1">
        <v>45403</v>
      </c>
      <c r="I414" s="3" t="s">
        <v>15</v>
      </c>
      <c r="J414" s="4">
        <v>4</v>
      </c>
    </row>
    <row r="415" spans="1:10" x14ac:dyDescent="0.35">
      <c r="A415" s="2" t="s">
        <v>451</v>
      </c>
      <c r="B415" s="4">
        <v>73</v>
      </c>
      <c r="C415" t="s">
        <v>17</v>
      </c>
      <c r="D415" t="s">
        <v>26</v>
      </c>
      <c r="E415" t="s">
        <v>13</v>
      </c>
      <c r="F415" t="s">
        <v>30</v>
      </c>
      <c r="G415" s="4">
        <v>5</v>
      </c>
      <c r="H415" s="1">
        <v>42721</v>
      </c>
      <c r="I415" s="3" t="s">
        <v>21</v>
      </c>
      <c r="J415" s="4">
        <v>1</v>
      </c>
    </row>
    <row r="416" spans="1:10" x14ac:dyDescent="0.35">
      <c r="A416" s="2" t="s">
        <v>452</v>
      </c>
      <c r="B416" s="4">
        <v>64</v>
      </c>
      <c r="C416" t="s">
        <v>11</v>
      </c>
      <c r="D416" t="s">
        <v>33</v>
      </c>
      <c r="E416" t="s">
        <v>37</v>
      </c>
      <c r="F416" t="s">
        <v>20</v>
      </c>
      <c r="G416" s="4">
        <v>4</v>
      </c>
      <c r="H416" s="1">
        <v>26955</v>
      </c>
      <c r="I416" s="3" t="s">
        <v>21</v>
      </c>
      <c r="J416" s="4">
        <v>5</v>
      </c>
    </row>
    <row r="417" spans="1:10" x14ac:dyDescent="0.35">
      <c r="A417" s="2" t="s">
        <v>453</v>
      </c>
      <c r="B417" s="4">
        <v>8</v>
      </c>
      <c r="C417" t="s">
        <v>17</v>
      </c>
      <c r="D417" t="s">
        <v>23</v>
      </c>
      <c r="E417" t="s">
        <v>37</v>
      </c>
      <c r="F417" t="s">
        <v>30</v>
      </c>
      <c r="G417" s="4">
        <v>14</v>
      </c>
      <c r="H417" s="1">
        <v>19448</v>
      </c>
      <c r="I417" s="3" t="s">
        <v>15</v>
      </c>
      <c r="J417" s="4">
        <v>3</v>
      </c>
    </row>
    <row r="418" spans="1:10" x14ac:dyDescent="0.35">
      <c r="A418" s="2" t="s">
        <v>454</v>
      </c>
      <c r="B418" s="4">
        <v>84</v>
      </c>
      <c r="C418" t="s">
        <v>11</v>
      </c>
      <c r="D418" t="s">
        <v>26</v>
      </c>
      <c r="E418" t="s">
        <v>65</v>
      </c>
      <c r="F418" t="s">
        <v>30</v>
      </c>
      <c r="G418" s="4">
        <v>1</v>
      </c>
      <c r="H418" s="1">
        <v>91070</v>
      </c>
      <c r="I418" s="3" t="s">
        <v>21</v>
      </c>
      <c r="J418" s="4">
        <v>4</v>
      </c>
    </row>
    <row r="419" spans="1:10" x14ac:dyDescent="0.35">
      <c r="A419" s="2" t="s">
        <v>455</v>
      </c>
      <c r="B419" s="4">
        <v>78</v>
      </c>
      <c r="C419" t="s">
        <v>17</v>
      </c>
      <c r="D419" t="s">
        <v>49</v>
      </c>
      <c r="E419" t="s">
        <v>27</v>
      </c>
      <c r="F419" t="s">
        <v>14</v>
      </c>
      <c r="G419" s="4">
        <v>11</v>
      </c>
      <c r="H419" s="1">
        <v>62032</v>
      </c>
      <c r="I419" s="3" t="s">
        <v>15</v>
      </c>
      <c r="J419" s="4">
        <v>4</v>
      </c>
    </row>
    <row r="420" spans="1:10" x14ac:dyDescent="0.35">
      <c r="A420" s="2" t="s">
        <v>456</v>
      </c>
      <c r="B420" s="4">
        <v>58</v>
      </c>
      <c r="C420" t="s">
        <v>11</v>
      </c>
      <c r="D420" t="s">
        <v>36</v>
      </c>
      <c r="E420" t="s">
        <v>53</v>
      </c>
      <c r="F420" t="s">
        <v>14</v>
      </c>
      <c r="G420" s="4">
        <v>5</v>
      </c>
      <c r="H420" s="1">
        <v>78798</v>
      </c>
      <c r="I420" s="3" t="s">
        <v>21</v>
      </c>
      <c r="J420" s="4">
        <v>2</v>
      </c>
    </row>
    <row r="421" spans="1:10" x14ac:dyDescent="0.35">
      <c r="A421" s="2" t="s">
        <v>457</v>
      </c>
      <c r="B421" s="4">
        <v>64</v>
      </c>
      <c r="C421" t="s">
        <v>11</v>
      </c>
      <c r="D421" t="s">
        <v>23</v>
      </c>
      <c r="E421" t="s">
        <v>34</v>
      </c>
      <c r="F421" t="s">
        <v>30</v>
      </c>
      <c r="G421" s="4">
        <v>1</v>
      </c>
      <c r="H421" s="1">
        <v>23987</v>
      </c>
      <c r="I421" s="3" t="s">
        <v>21</v>
      </c>
      <c r="J421" s="4">
        <v>5</v>
      </c>
    </row>
    <row r="422" spans="1:10" x14ac:dyDescent="0.35">
      <c r="A422" s="2" t="s">
        <v>458</v>
      </c>
      <c r="B422" s="4">
        <v>33</v>
      </c>
      <c r="C422" t="s">
        <v>11</v>
      </c>
      <c r="D422" t="s">
        <v>23</v>
      </c>
      <c r="E422" t="s">
        <v>53</v>
      </c>
      <c r="F422" t="s">
        <v>30</v>
      </c>
      <c r="G422" s="4">
        <v>5</v>
      </c>
      <c r="H422" s="1">
        <v>32346</v>
      </c>
      <c r="I422" s="3" t="s">
        <v>21</v>
      </c>
      <c r="J422" s="4">
        <v>5</v>
      </c>
    </row>
    <row r="423" spans="1:10" x14ac:dyDescent="0.35">
      <c r="A423" s="2" t="s">
        <v>459</v>
      </c>
      <c r="B423" s="4">
        <v>71</v>
      </c>
      <c r="C423" t="s">
        <v>17</v>
      </c>
      <c r="D423" t="s">
        <v>26</v>
      </c>
      <c r="E423" t="s">
        <v>19</v>
      </c>
      <c r="F423" t="s">
        <v>14</v>
      </c>
      <c r="G423" s="4">
        <v>9</v>
      </c>
      <c r="H423" s="1">
        <v>28267</v>
      </c>
      <c r="I423" s="3" t="s">
        <v>21</v>
      </c>
      <c r="J423" s="4">
        <v>5</v>
      </c>
    </row>
    <row r="424" spans="1:10" x14ac:dyDescent="0.35">
      <c r="A424" s="2" t="s">
        <v>460</v>
      </c>
      <c r="B424" s="4">
        <v>60</v>
      </c>
      <c r="C424" t="s">
        <v>11</v>
      </c>
      <c r="D424" t="s">
        <v>39</v>
      </c>
      <c r="E424" t="s">
        <v>53</v>
      </c>
      <c r="F424" t="s">
        <v>20</v>
      </c>
      <c r="G424" s="4">
        <v>9</v>
      </c>
      <c r="H424" s="1">
        <v>92782</v>
      </c>
      <c r="I424" s="3" t="s">
        <v>15</v>
      </c>
      <c r="J424" s="4">
        <v>4</v>
      </c>
    </row>
    <row r="425" spans="1:10" x14ac:dyDescent="0.35">
      <c r="A425" s="2" t="s">
        <v>461</v>
      </c>
      <c r="B425" s="4">
        <v>57</v>
      </c>
      <c r="C425" t="s">
        <v>17</v>
      </c>
      <c r="D425" t="s">
        <v>28</v>
      </c>
      <c r="E425" t="s">
        <v>65</v>
      </c>
      <c r="F425" t="s">
        <v>30</v>
      </c>
      <c r="G425" s="4">
        <v>5</v>
      </c>
      <c r="H425" s="1">
        <v>68640</v>
      </c>
      <c r="I425" s="3" t="s">
        <v>21</v>
      </c>
      <c r="J425" s="4">
        <v>5</v>
      </c>
    </row>
    <row r="426" spans="1:10" x14ac:dyDescent="0.35">
      <c r="A426" s="2" t="s">
        <v>462</v>
      </c>
      <c r="B426" s="4">
        <v>73</v>
      </c>
      <c r="C426" t="s">
        <v>11</v>
      </c>
      <c r="D426" t="s">
        <v>41</v>
      </c>
      <c r="E426" t="s">
        <v>65</v>
      </c>
      <c r="F426" t="s">
        <v>14</v>
      </c>
      <c r="G426" s="4">
        <v>10</v>
      </c>
      <c r="H426" s="1">
        <v>47538</v>
      </c>
      <c r="I426" s="3" t="s">
        <v>15</v>
      </c>
      <c r="J426" s="4">
        <v>5</v>
      </c>
    </row>
    <row r="427" spans="1:10" x14ac:dyDescent="0.35">
      <c r="A427" s="2" t="s">
        <v>463</v>
      </c>
      <c r="B427" s="4">
        <v>10</v>
      </c>
      <c r="C427" t="s">
        <v>11</v>
      </c>
      <c r="D427" t="s">
        <v>28</v>
      </c>
      <c r="E427" t="s">
        <v>27</v>
      </c>
      <c r="F427" t="s">
        <v>30</v>
      </c>
      <c r="G427" s="4">
        <v>3</v>
      </c>
      <c r="H427" s="1">
        <v>9381</v>
      </c>
      <c r="I427" s="3" t="s">
        <v>15</v>
      </c>
      <c r="J427" s="4">
        <v>2</v>
      </c>
    </row>
    <row r="428" spans="1:10" x14ac:dyDescent="0.35">
      <c r="A428" s="2" t="s">
        <v>464</v>
      </c>
      <c r="B428" s="4">
        <v>37</v>
      </c>
      <c r="C428" t="s">
        <v>17</v>
      </c>
      <c r="D428" t="s">
        <v>41</v>
      </c>
      <c r="E428" t="s">
        <v>65</v>
      </c>
      <c r="F428" t="s">
        <v>20</v>
      </c>
      <c r="G428" s="4">
        <v>11</v>
      </c>
      <c r="H428" s="1">
        <v>59140</v>
      </c>
      <c r="I428" s="3" t="s">
        <v>15</v>
      </c>
      <c r="J428" s="4">
        <v>5</v>
      </c>
    </row>
    <row r="429" spans="1:10" x14ac:dyDescent="0.35">
      <c r="A429" s="2" t="s">
        <v>465</v>
      </c>
      <c r="B429" s="4">
        <v>57</v>
      </c>
      <c r="C429" t="s">
        <v>17</v>
      </c>
      <c r="D429" t="s">
        <v>23</v>
      </c>
      <c r="E429" t="s">
        <v>37</v>
      </c>
      <c r="F429" t="s">
        <v>14</v>
      </c>
      <c r="G429" s="4">
        <v>9</v>
      </c>
      <c r="H429" s="1">
        <v>30441</v>
      </c>
      <c r="I429" s="3" t="s">
        <v>21</v>
      </c>
      <c r="J429" s="4">
        <v>5</v>
      </c>
    </row>
    <row r="430" spans="1:10" x14ac:dyDescent="0.35">
      <c r="A430" s="2" t="s">
        <v>466</v>
      </c>
      <c r="B430" s="4">
        <v>81</v>
      </c>
      <c r="C430" t="s">
        <v>11</v>
      </c>
      <c r="D430" t="s">
        <v>41</v>
      </c>
      <c r="E430" t="s">
        <v>19</v>
      </c>
      <c r="F430" t="s">
        <v>30</v>
      </c>
      <c r="G430" s="4">
        <v>10</v>
      </c>
      <c r="H430" s="1">
        <v>50780</v>
      </c>
      <c r="I430" s="3" t="s">
        <v>21</v>
      </c>
      <c r="J430" s="4">
        <v>5</v>
      </c>
    </row>
    <row r="431" spans="1:10" x14ac:dyDescent="0.35">
      <c r="A431" s="2" t="s">
        <v>467</v>
      </c>
      <c r="B431" s="4">
        <v>15</v>
      </c>
      <c r="C431" t="s">
        <v>17</v>
      </c>
      <c r="D431" t="s">
        <v>49</v>
      </c>
      <c r="E431" t="s">
        <v>27</v>
      </c>
      <c r="F431" t="s">
        <v>30</v>
      </c>
      <c r="G431" s="4">
        <v>3</v>
      </c>
      <c r="H431" s="1">
        <v>36368</v>
      </c>
      <c r="I431" s="3" t="s">
        <v>21</v>
      </c>
      <c r="J431" s="4">
        <v>2</v>
      </c>
    </row>
    <row r="432" spans="1:10" x14ac:dyDescent="0.35">
      <c r="A432" s="2" t="s">
        <v>468</v>
      </c>
      <c r="B432" s="4">
        <v>68</v>
      </c>
      <c r="C432" t="s">
        <v>11</v>
      </c>
      <c r="D432" t="s">
        <v>12</v>
      </c>
      <c r="E432" t="s">
        <v>19</v>
      </c>
      <c r="F432" t="s">
        <v>30</v>
      </c>
      <c r="G432" s="4">
        <v>3</v>
      </c>
      <c r="H432" s="1">
        <v>17098</v>
      </c>
      <c r="I432" s="3" t="s">
        <v>21</v>
      </c>
      <c r="J432" s="4">
        <v>1</v>
      </c>
    </row>
    <row r="433" spans="1:10" x14ac:dyDescent="0.35">
      <c r="A433" s="2" t="s">
        <v>469</v>
      </c>
      <c r="B433" s="4">
        <v>29</v>
      </c>
      <c r="C433" t="s">
        <v>11</v>
      </c>
      <c r="D433" t="s">
        <v>28</v>
      </c>
      <c r="E433" t="s">
        <v>19</v>
      </c>
      <c r="F433" t="s">
        <v>30</v>
      </c>
      <c r="G433" s="4">
        <v>6</v>
      </c>
      <c r="H433" s="1">
        <v>14189</v>
      </c>
      <c r="I433" s="3" t="s">
        <v>15</v>
      </c>
      <c r="J433" s="4">
        <v>5</v>
      </c>
    </row>
    <row r="434" spans="1:10" x14ac:dyDescent="0.35">
      <c r="A434" s="2" t="s">
        <v>470</v>
      </c>
      <c r="B434" s="4">
        <v>22</v>
      </c>
      <c r="C434" t="s">
        <v>11</v>
      </c>
      <c r="D434" t="s">
        <v>41</v>
      </c>
      <c r="E434" t="s">
        <v>65</v>
      </c>
      <c r="F434" t="s">
        <v>14</v>
      </c>
      <c r="G434" s="4">
        <v>10</v>
      </c>
      <c r="H434" s="1">
        <v>68163</v>
      </c>
      <c r="I434" s="3" t="s">
        <v>21</v>
      </c>
      <c r="J434" s="4">
        <v>3</v>
      </c>
    </row>
    <row r="435" spans="1:10" x14ac:dyDescent="0.35">
      <c r="A435" s="2" t="s">
        <v>471</v>
      </c>
      <c r="B435" s="4">
        <v>34</v>
      </c>
      <c r="C435" t="s">
        <v>17</v>
      </c>
      <c r="D435" t="s">
        <v>36</v>
      </c>
      <c r="E435" t="s">
        <v>24</v>
      </c>
      <c r="F435" t="s">
        <v>14</v>
      </c>
      <c r="G435" s="4">
        <v>3</v>
      </c>
      <c r="H435" s="1">
        <v>77604</v>
      </c>
      <c r="I435" s="3" t="s">
        <v>15</v>
      </c>
      <c r="J435" s="4">
        <v>3</v>
      </c>
    </row>
    <row r="436" spans="1:10" x14ac:dyDescent="0.35">
      <c r="A436" s="2" t="s">
        <v>472</v>
      </c>
      <c r="B436" s="4">
        <v>69</v>
      </c>
      <c r="C436" t="s">
        <v>17</v>
      </c>
      <c r="D436" t="s">
        <v>23</v>
      </c>
      <c r="E436" t="s">
        <v>27</v>
      </c>
      <c r="F436" t="s">
        <v>14</v>
      </c>
      <c r="G436" s="4">
        <v>10</v>
      </c>
      <c r="H436" s="1">
        <v>85707</v>
      </c>
      <c r="I436" s="3" t="s">
        <v>21</v>
      </c>
      <c r="J436" s="4">
        <v>4</v>
      </c>
    </row>
    <row r="437" spans="1:10" x14ac:dyDescent="0.35">
      <c r="A437" s="2" t="s">
        <v>473</v>
      </c>
      <c r="B437" s="4">
        <v>13</v>
      </c>
      <c r="C437" t="s">
        <v>17</v>
      </c>
      <c r="D437" t="s">
        <v>28</v>
      </c>
      <c r="E437" t="s">
        <v>65</v>
      </c>
      <c r="F437" t="s">
        <v>20</v>
      </c>
      <c r="G437" s="4">
        <v>1</v>
      </c>
      <c r="H437" s="1">
        <v>94566</v>
      </c>
      <c r="I437" s="3" t="s">
        <v>15</v>
      </c>
      <c r="J437" s="4">
        <v>3</v>
      </c>
    </row>
    <row r="438" spans="1:10" x14ac:dyDescent="0.35">
      <c r="A438" s="2" t="s">
        <v>474</v>
      </c>
      <c r="B438" s="4">
        <v>75</v>
      </c>
      <c r="C438" t="s">
        <v>17</v>
      </c>
      <c r="D438" t="s">
        <v>39</v>
      </c>
      <c r="E438" t="s">
        <v>13</v>
      </c>
      <c r="F438" t="s">
        <v>14</v>
      </c>
      <c r="G438" s="4">
        <v>6</v>
      </c>
      <c r="H438" s="1">
        <v>38581</v>
      </c>
      <c r="I438" s="3" t="s">
        <v>15</v>
      </c>
      <c r="J438" s="4">
        <v>1</v>
      </c>
    </row>
    <row r="439" spans="1:10" x14ac:dyDescent="0.35">
      <c r="A439" s="2" t="s">
        <v>475</v>
      </c>
      <c r="B439" s="4">
        <v>53</v>
      </c>
      <c r="C439" t="s">
        <v>17</v>
      </c>
      <c r="D439" t="s">
        <v>39</v>
      </c>
      <c r="E439" t="s">
        <v>19</v>
      </c>
      <c r="F439" t="s">
        <v>20</v>
      </c>
      <c r="G439" s="4">
        <v>15</v>
      </c>
      <c r="H439" s="1">
        <v>62124</v>
      </c>
      <c r="I439" s="3" t="s">
        <v>21</v>
      </c>
      <c r="J439" s="4">
        <v>1</v>
      </c>
    </row>
    <row r="440" spans="1:10" x14ac:dyDescent="0.35">
      <c r="A440" s="2" t="s">
        <v>476</v>
      </c>
      <c r="B440" s="4">
        <v>32</v>
      </c>
      <c r="C440" t="s">
        <v>11</v>
      </c>
      <c r="D440" t="s">
        <v>49</v>
      </c>
      <c r="E440" t="s">
        <v>53</v>
      </c>
      <c r="F440" t="s">
        <v>20</v>
      </c>
      <c r="G440" s="4">
        <v>3</v>
      </c>
      <c r="H440" s="1">
        <v>61736</v>
      </c>
      <c r="I440" s="3" t="s">
        <v>21</v>
      </c>
      <c r="J440" s="4">
        <v>2</v>
      </c>
    </row>
    <row r="441" spans="1:10" x14ac:dyDescent="0.35">
      <c r="A441" s="2" t="s">
        <v>477</v>
      </c>
      <c r="B441" s="4">
        <v>82</v>
      </c>
      <c r="C441" t="s">
        <v>17</v>
      </c>
      <c r="D441" t="s">
        <v>49</v>
      </c>
      <c r="E441" t="s">
        <v>24</v>
      </c>
      <c r="F441" t="s">
        <v>30</v>
      </c>
      <c r="G441" s="4">
        <v>9</v>
      </c>
      <c r="H441" s="1">
        <v>13930</v>
      </c>
      <c r="I441" s="3" t="s">
        <v>21</v>
      </c>
      <c r="J441" s="4">
        <v>5</v>
      </c>
    </row>
    <row r="442" spans="1:10" x14ac:dyDescent="0.35">
      <c r="A442" s="2" t="s">
        <v>478</v>
      </c>
      <c r="B442" s="4">
        <v>42</v>
      </c>
      <c r="C442" t="s">
        <v>11</v>
      </c>
      <c r="D442" t="s">
        <v>39</v>
      </c>
      <c r="E442" t="s">
        <v>24</v>
      </c>
      <c r="F442" t="s">
        <v>30</v>
      </c>
      <c r="G442" s="4">
        <v>11</v>
      </c>
      <c r="H442" s="1">
        <v>21034</v>
      </c>
      <c r="I442" s="3" t="s">
        <v>21</v>
      </c>
      <c r="J442" s="4">
        <v>5</v>
      </c>
    </row>
    <row r="443" spans="1:10" x14ac:dyDescent="0.35">
      <c r="A443" s="2" t="s">
        <v>479</v>
      </c>
      <c r="B443" s="4">
        <v>32</v>
      </c>
      <c r="C443" t="s">
        <v>17</v>
      </c>
      <c r="D443" t="s">
        <v>41</v>
      </c>
      <c r="E443" t="s">
        <v>19</v>
      </c>
      <c r="F443" t="s">
        <v>30</v>
      </c>
      <c r="G443" s="4">
        <v>15</v>
      </c>
      <c r="H443" s="1">
        <v>88548</v>
      </c>
      <c r="I443" s="3" t="s">
        <v>15</v>
      </c>
      <c r="J443" s="4">
        <v>4</v>
      </c>
    </row>
    <row r="444" spans="1:10" x14ac:dyDescent="0.35">
      <c r="A444" s="2" t="s">
        <v>480</v>
      </c>
      <c r="B444" s="4">
        <v>44</v>
      </c>
      <c r="C444" t="s">
        <v>11</v>
      </c>
      <c r="D444" t="s">
        <v>18</v>
      </c>
      <c r="E444" t="s">
        <v>24</v>
      </c>
      <c r="F444" t="s">
        <v>30</v>
      </c>
      <c r="G444" s="4">
        <v>5</v>
      </c>
      <c r="H444" s="1">
        <v>61899</v>
      </c>
      <c r="I444" s="3" t="s">
        <v>15</v>
      </c>
      <c r="J444" s="4">
        <v>3</v>
      </c>
    </row>
    <row r="445" spans="1:10" x14ac:dyDescent="0.35">
      <c r="A445" s="2" t="s">
        <v>481</v>
      </c>
      <c r="B445" s="4">
        <v>56</v>
      </c>
      <c r="C445" t="s">
        <v>17</v>
      </c>
      <c r="D445" t="s">
        <v>41</v>
      </c>
      <c r="E445" t="s">
        <v>29</v>
      </c>
      <c r="F445" t="s">
        <v>20</v>
      </c>
      <c r="G445" s="4">
        <v>4</v>
      </c>
      <c r="H445" s="1">
        <v>33458</v>
      </c>
      <c r="I445" s="3" t="s">
        <v>15</v>
      </c>
      <c r="J445" s="4">
        <v>1</v>
      </c>
    </row>
    <row r="446" spans="1:10" x14ac:dyDescent="0.35">
      <c r="A446" s="2" t="s">
        <v>482</v>
      </c>
      <c r="B446" s="4">
        <v>16</v>
      </c>
      <c r="C446" t="s">
        <v>17</v>
      </c>
      <c r="D446" t="s">
        <v>28</v>
      </c>
      <c r="E446" t="s">
        <v>19</v>
      </c>
      <c r="F446" t="s">
        <v>30</v>
      </c>
      <c r="G446" s="4">
        <v>8</v>
      </c>
      <c r="H446" s="1">
        <v>16364</v>
      </c>
      <c r="I446" s="3" t="s">
        <v>21</v>
      </c>
      <c r="J446" s="4">
        <v>1</v>
      </c>
    </row>
    <row r="447" spans="1:10" x14ac:dyDescent="0.35">
      <c r="A447" s="2" t="s">
        <v>483</v>
      </c>
      <c r="B447" s="4">
        <v>60</v>
      </c>
      <c r="C447" t="s">
        <v>17</v>
      </c>
      <c r="D447" t="s">
        <v>26</v>
      </c>
      <c r="E447" t="s">
        <v>65</v>
      </c>
      <c r="F447" t="s">
        <v>20</v>
      </c>
      <c r="G447" s="4">
        <v>7</v>
      </c>
      <c r="H447" s="1">
        <v>77715</v>
      </c>
      <c r="I447" s="3" t="s">
        <v>15</v>
      </c>
      <c r="J447" s="4">
        <v>3</v>
      </c>
    </row>
    <row r="448" spans="1:10" x14ac:dyDescent="0.35">
      <c r="A448" s="2" t="s">
        <v>484</v>
      </c>
      <c r="B448" s="4">
        <v>81</v>
      </c>
      <c r="C448" t="s">
        <v>17</v>
      </c>
      <c r="D448" t="s">
        <v>49</v>
      </c>
      <c r="E448" t="s">
        <v>34</v>
      </c>
      <c r="F448" t="s">
        <v>20</v>
      </c>
      <c r="G448" s="4">
        <v>7</v>
      </c>
      <c r="H448" s="1">
        <v>25901</v>
      </c>
      <c r="I448" s="3" t="s">
        <v>21</v>
      </c>
      <c r="J448" s="4">
        <v>5</v>
      </c>
    </row>
    <row r="449" spans="1:10" x14ac:dyDescent="0.35">
      <c r="A449" s="2" t="s">
        <v>485</v>
      </c>
      <c r="B449" s="4">
        <v>74</v>
      </c>
      <c r="C449" t="s">
        <v>17</v>
      </c>
      <c r="D449" t="s">
        <v>39</v>
      </c>
      <c r="E449" t="s">
        <v>13</v>
      </c>
      <c r="F449" t="s">
        <v>30</v>
      </c>
      <c r="G449" s="4">
        <v>5</v>
      </c>
      <c r="H449" s="1">
        <v>82777</v>
      </c>
      <c r="I449" s="3" t="s">
        <v>15</v>
      </c>
      <c r="J449" s="4">
        <v>5</v>
      </c>
    </row>
    <row r="450" spans="1:10" x14ac:dyDescent="0.35">
      <c r="A450" s="2" t="s">
        <v>486</v>
      </c>
      <c r="B450" s="4">
        <v>13</v>
      </c>
      <c r="C450" t="s">
        <v>17</v>
      </c>
      <c r="D450" t="s">
        <v>33</v>
      </c>
      <c r="E450" t="s">
        <v>53</v>
      </c>
      <c r="F450" t="s">
        <v>30</v>
      </c>
      <c r="G450" s="4">
        <v>12</v>
      </c>
      <c r="H450" s="1">
        <v>12429</v>
      </c>
      <c r="I450" s="3" t="s">
        <v>21</v>
      </c>
      <c r="J450" s="4">
        <v>3</v>
      </c>
    </row>
    <row r="451" spans="1:10" x14ac:dyDescent="0.35">
      <c r="A451" s="2" t="s">
        <v>487</v>
      </c>
      <c r="B451" s="4">
        <v>31</v>
      </c>
      <c r="C451" t="s">
        <v>11</v>
      </c>
      <c r="D451" t="s">
        <v>12</v>
      </c>
      <c r="E451" t="s">
        <v>13</v>
      </c>
      <c r="F451" t="s">
        <v>14</v>
      </c>
      <c r="G451" s="4">
        <v>12</v>
      </c>
      <c r="H451" s="1">
        <v>49704</v>
      </c>
      <c r="I451" s="3" t="s">
        <v>21</v>
      </c>
      <c r="J451" s="4">
        <v>5</v>
      </c>
    </row>
    <row r="452" spans="1:10" x14ac:dyDescent="0.35">
      <c r="A452" s="2" t="s">
        <v>488</v>
      </c>
      <c r="B452" s="4">
        <v>62</v>
      </c>
      <c r="C452" t="s">
        <v>17</v>
      </c>
      <c r="D452" t="s">
        <v>28</v>
      </c>
      <c r="E452" t="s">
        <v>29</v>
      </c>
      <c r="F452" t="s">
        <v>14</v>
      </c>
      <c r="G452" s="4">
        <v>6</v>
      </c>
      <c r="H452" s="1">
        <v>84148</v>
      </c>
      <c r="I452" s="3" t="s">
        <v>21</v>
      </c>
      <c r="J452" s="4">
        <v>1</v>
      </c>
    </row>
    <row r="453" spans="1:10" x14ac:dyDescent="0.35">
      <c r="A453" s="2" t="s">
        <v>489</v>
      </c>
      <c r="B453" s="4">
        <v>18</v>
      </c>
      <c r="C453" t="s">
        <v>17</v>
      </c>
      <c r="D453" t="s">
        <v>26</v>
      </c>
      <c r="E453" t="s">
        <v>65</v>
      </c>
      <c r="F453" t="s">
        <v>30</v>
      </c>
      <c r="G453" s="4">
        <v>9</v>
      </c>
      <c r="H453" s="1">
        <v>80637</v>
      </c>
      <c r="I453" s="3" t="s">
        <v>21</v>
      </c>
      <c r="J453" s="4">
        <v>2</v>
      </c>
    </row>
    <row r="454" spans="1:10" x14ac:dyDescent="0.35">
      <c r="A454" s="2" t="s">
        <v>490</v>
      </c>
      <c r="B454" s="4">
        <v>74</v>
      </c>
      <c r="C454" t="s">
        <v>11</v>
      </c>
      <c r="D454" t="s">
        <v>18</v>
      </c>
      <c r="E454" t="s">
        <v>29</v>
      </c>
      <c r="F454" t="s">
        <v>20</v>
      </c>
      <c r="G454" s="4">
        <v>14</v>
      </c>
      <c r="H454" s="1">
        <v>21986</v>
      </c>
      <c r="I454" s="3" t="s">
        <v>15</v>
      </c>
      <c r="J454" s="4">
        <v>2</v>
      </c>
    </row>
    <row r="455" spans="1:10" x14ac:dyDescent="0.35">
      <c r="A455" s="2" t="s">
        <v>491</v>
      </c>
      <c r="B455" s="4">
        <v>11</v>
      </c>
      <c r="C455" t="s">
        <v>17</v>
      </c>
      <c r="D455" t="s">
        <v>33</v>
      </c>
      <c r="E455" t="s">
        <v>53</v>
      </c>
      <c r="F455" t="s">
        <v>14</v>
      </c>
      <c r="G455" s="4">
        <v>11</v>
      </c>
      <c r="H455" s="1">
        <v>41900</v>
      </c>
      <c r="I455" s="3" t="s">
        <v>21</v>
      </c>
      <c r="J455" s="4">
        <v>1</v>
      </c>
    </row>
    <row r="456" spans="1:10" x14ac:dyDescent="0.35">
      <c r="A456" s="2" t="s">
        <v>492</v>
      </c>
      <c r="B456" s="4">
        <v>56</v>
      </c>
      <c r="C456" t="s">
        <v>17</v>
      </c>
      <c r="D456" t="s">
        <v>12</v>
      </c>
      <c r="E456" t="s">
        <v>19</v>
      </c>
      <c r="F456" t="s">
        <v>30</v>
      </c>
      <c r="G456" s="4">
        <v>13</v>
      </c>
      <c r="H456" s="1">
        <v>73004</v>
      </c>
      <c r="I456" s="3" t="s">
        <v>21</v>
      </c>
      <c r="J456" s="4">
        <v>3</v>
      </c>
    </row>
    <row r="457" spans="1:10" x14ac:dyDescent="0.35">
      <c r="A457" s="2" t="s">
        <v>493</v>
      </c>
      <c r="B457" s="4">
        <v>1</v>
      </c>
      <c r="C457" t="s">
        <v>17</v>
      </c>
      <c r="D457" t="s">
        <v>33</v>
      </c>
      <c r="E457" t="s">
        <v>13</v>
      </c>
      <c r="F457" t="s">
        <v>30</v>
      </c>
      <c r="G457" s="4">
        <v>1</v>
      </c>
      <c r="H457" s="1">
        <v>41298</v>
      </c>
      <c r="I457" s="3" t="s">
        <v>21</v>
      </c>
      <c r="J457" s="4">
        <v>3</v>
      </c>
    </row>
    <row r="458" spans="1:10" x14ac:dyDescent="0.35">
      <c r="A458" s="2" t="s">
        <v>494</v>
      </c>
      <c r="B458" s="4">
        <v>85</v>
      </c>
      <c r="C458" t="s">
        <v>11</v>
      </c>
      <c r="D458" t="s">
        <v>36</v>
      </c>
      <c r="E458" t="s">
        <v>27</v>
      </c>
      <c r="F458" t="s">
        <v>20</v>
      </c>
      <c r="G458" s="4">
        <v>3</v>
      </c>
      <c r="H458" s="1">
        <v>86417</v>
      </c>
      <c r="I458" s="3" t="s">
        <v>15</v>
      </c>
      <c r="J458" s="4">
        <v>3</v>
      </c>
    </row>
    <row r="459" spans="1:10" x14ac:dyDescent="0.35">
      <c r="A459" s="2" t="s">
        <v>495</v>
      </c>
      <c r="B459" s="4">
        <v>26</v>
      </c>
      <c r="C459" t="s">
        <v>17</v>
      </c>
      <c r="D459" t="s">
        <v>41</v>
      </c>
      <c r="E459" t="s">
        <v>27</v>
      </c>
      <c r="F459" t="s">
        <v>14</v>
      </c>
      <c r="G459" s="4">
        <v>5</v>
      </c>
      <c r="H459" s="1">
        <v>50552</v>
      </c>
      <c r="I459" s="3" t="s">
        <v>15</v>
      </c>
      <c r="J459" s="4">
        <v>3</v>
      </c>
    </row>
    <row r="460" spans="1:10" x14ac:dyDescent="0.35">
      <c r="A460" s="2" t="s">
        <v>496</v>
      </c>
      <c r="B460" s="4">
        <v>81</v>
      </c>
      <c r="C460" t="s">
        <v>11</v>
      </c>
      <c r="D460" t="s">
        <v>12</v>
      </c>
      <c r="E460" t="s">
        <v>19</v>
      </c>
      <c r="F460" t="s">
        <v>14</v>
      </c>
      <c r="G460" s="4">
        <v>9</v>
      </c>
      <c r="H460" s="1">
        <v>23817</v>
      </c>
      <c r="I460" s="3" t="s">
        <v>21</v>
      </c>
      <c r="J460" s="4">
        <v>3</v>
      </c>
    </row>
    <row r="461" spans="1:10" x14ac:dyDescent="0.35">
      <c r="A461" s="2" t="s">
        <v>497</v>
      </c>
      <c r="B461" s="4">
        <v>20</v>
      </c>
      <c r="C461" t="s">
        <v>11</v>
      </c>
      <c r="D461" t="s">
        <v>18</v>
      </c>
      <c r="E461" t="s">
        <v>27</v>
      </c>
      <c r="F461" t="s">
        <v>14</v>
      </c>
      <c r="G461" s="4">
        <v>12</v>
      </c>
      <c r="H461" s="1">
        <v>82171</v>
      </c>
      <c r="I461" s="3" t="s">
        <v>21</v>
      </c>
      <c r="J461" s="4">
        <v>2</v>
      </c>
    </row>
    <row r="462" spans="1:10" x14ac:dyDescent="0.35">
      <c r="A462" s="2" t="s">
        <v>498</v>
      </c>
      <c r="B462" s="4">
        <v>78</v>
      </c>
      <c r="C462" t="s">
        <v>17</v>
      </c>
      <c r="D462" t="s">
        <v>28</v>
      </c>
      <c r="E462" t="s">
        <v>19</v>
      </c>
      <c r="F462" t="s">
        <v>14</v>
      </c>
      <c r="G462" s="4">
        <v>6</v>
      </c>
      <c r="H462" s="1">
        <v>13188</v>
      </c>
      <c r="I462" s="3" t="s">
        <v>15</v>
      </c>
      <c r="J462" s="4">
        <v>1</v>
      </c>
    </row>
    <row r="463" spans="1:10" x14ac:dyDescent="0.35">
      <c r="A463" s="2" t="s">
        <v>499</v>
      </c>
      <c r="B463" s="4">
        <v>75</v>
      </c>
      <c r="C463" t="s">
        <v>17</v>
      </c>
      <c r="D463" t="s">
        <v>41</v>
      </c>
      <c r="E463" t="s">
        <v>53</v>
      </c>
      <c r="F463" t="s">
        <v>20</v>
      </c>
      <c r="G463" s="4">
        <v>11</v>
      </c>
      <c r="H463" s="1">
        <v>54546</v>
      </c>
      <c r="I463" s="3" t="s">
        <v>21</v>
      </c>
      <c r="J463" s="4">
        <v>3</v>
      </c>
    </row>
    <row r="464" spans="1:10" x14ac:dyDescent="0.35">
      <c r="A464" s="2" t="s">
        <v>500</v>
      </c>
      <c r="B464" s="4">
        <v>49</v>
      </c>
      <c r="C464" t="s">
        <v>17</v>
      </c>
      <c r="D464" t="s">
        <v>23</v>
      </c>
      <c r="E464" t="s">
        <v>65</v>
      </c>
      <c r="F464" t="s">
        <v>14</v>
      </c>
      <c r="G464" s="4">
        <v>12</v>
      </c>
      <c r="H464" s="1">
        <v>69606</v>
      </c>
      <c r="I464" s="3" t="s">
        <v>21</v>
      </c>
      <c r="J464" s="4">
        <v>5</v>
      </c>
    </row>
    <row r="465" spans="1:10" x14ac:dyDescent="0.35">
      <c r="A465" s="2" t="s">
        <v>501</v>
      </c>
      <c r="B465" s="4">
        <v>88</v>
      </c>
      <c r="C465" t="s">
        <v>11</v>
      </c>
      <c r="D465" t="s">
        <v>49</v>
      </c>
      <c r="E465" t="s">
        <v>53</v>
      </c>
      <c r="F465" t="s">
        <v>14</v>
      </c>
      <c r="G465" s="4">
        <v>9</v>
      </c>
      <c r="H465" s="1">
        <v>32880</v>
      </c>
      <c r="I465" s="3" t="s">
        <v>15</v>
      </c>
      <c r="J465" s="4">
        <v>2</v>
      </c>
    </row>
    <row r="466" spans="1:10" x14ac:dyDescent="0.35">
      <c r="A466" s="2" t="s">
        <v>502</v>
      </c>
      <c r="B466" s="4">
        <v>36</v>
      </c>
      <c r="C466" t="s">
        <v>17</v>
      </c>
      <c r="D466" t="s">
        <v>39</v>
      </c>
      <c r="E466" t="s">
        <v>37</v>
      </c>
      <c r="F466" t="s">
        <v>14</v>
      </c>
      <c r="G466" s="4">
        <v>3</v>
      </c>
      <c r="H466" s="1">
        <v>89985</v>
      </c>
      <c r="I466" s="3" t="s">
        <v>15</v>
      </c>
      <c r="J466" s="4">
        <v>5</v>
      </c>
    </row>
    <row r="467" spans="1:10" x14ac:dyDescent="0.35">
      <c r="A467" s="2" t="s">
        <v>503</v>
      </c>
      <c r="B467" s="4">
        <v>32</v>
      </c>
      <c r="C467" t="s">
        <v>11</v>
      </c>
      <c r="D467" t="s">
        <v>18</v>
      </c>
      <c r="E467" t="s">
        <v>37</v>
      </c>
      <c r="F467" t="s">
        <v>30</v>
      </c>
      <c r="G467" s="4">
        <v>12</v>
      </c>
      <c r="H467" s="1">
        <v>32019</v>
      </c>
      <c r="I467" s="3" t="s">
        <v>15</v>
      </c>
      <c r="J467" s="4">
        <v>1</v>
      </c>
    </row>
    <row r="468" spans="1:10" x14ac:dyDescent="0.35">
      <c r="A468" s="2" t="s">
        <v>504</v>
      </c>
      <c r="B468" s="4">
        <v>9</v>
      </c>
      <c r="C468" t="s">
        <v>17</v>
      </c>
      <c r="D468" t="s">
        <v>26</v>
      </c>
      <c r="E468" t="s">
        <v>34</v>
      </c>
      <c r="F468" t="s">
        <v>14</v>
      </c>
      <c r="G468" s="4">
        <v>6</v>
      </c>
      <c r="H468" s="1">
        <v>35488</v>
      </c>
      <c r="I468" s="3" t="s">
        <v>15</v>
      </c>
      <c r="J468" s="4">
        <v>3</v>
      </c>
    </row>
    <row r="469" spans="1:10" x14ac:dyDescent="0.35">
      <c r="A469" s="2" t="s">
        <v>505</v>
      </c>
      <c r="B469" s="4">
        <v>30</v>
      </c>
      <c r="C469" t="s">
        <v>11</v>
      </c>
      <c r="D469" t="s">
        <v>41</v>
      </c>
      <c r="E469" t="s">
        <v>37</v>
      </c>
      <c r="F469" t="s">
        <v>14</v>
      </c>
      <c r="G469" s="4">
        <v>4</v>
      </c>
      <c r="H469" s="1">
        <v>15890</v>
      </c>
      <c r="I469" s="3" t="s">
        <v>21</v>
      </c>
      <c r="J469" s="4">
        <v>2</v>
      </c>
    </row>
    <row r="470" spans="1:10" x14ac:dyDescent="0.35">
      <c r="A470" s="2" t="s">
        <v>506</v>
      </c>
      <c r="B470" s="4">
        <v>36</v>
      </c>
      <c r="C470" t="s">
        <v>11</v>
      </c>
      <c r="D470" t="s">
        <v>18</v>
      </c>
      <c r="E470" t="s">
        <v>29</v>
      </c>
      <c r="F470" t="s">
        <v>30</v>
      </c>
      <c r="G470" s="4">
        <v>13</v>
      </c>
      <c r="H470" s="1">
        <v>36792</v>
      </c>
      <c r="I470" s="3" t="s">
        <v>15</v>
      </c>
      <c r="J470" s="4">
        <v>2</v>
      </c>
    </row>
    <row r="471" spans="1:10" x14ac:dyDescent="0.35">
      <c r="A471" s="2" t="s">
        <v>507</v>
      </c>
      <c r="B471" s="4">
        <v>37</v>
      </c>
      <c r="C471" t="s">
        <v>17</v>
      </c>
      <c r="D471" t="s">
        <v>39</v>
      </c>
      <c r="E471" t="s">
        <v>19</v>
      </c>
      <c r="F471" t="s">
        <v>20</v>
      </c>
      <c r="G471" s="4">
        <v>10</v>
      </c>
      <c r="H471" s="1">
        <v>11652</v>
      </c>
      <c r="I471" s="3" t="s">
        <v>21</v>
      </c>
      <c r="J471" s="4">
        <v>2</v>
      </c>
    </row>
    <row r="472" spans="1:10" x14ac:dyDescent="0.35">
      <c r="A472" s="2" t="s">
        <v>508</v>
      </c>
      <c r="B472" s="4">
        <v>70</v>
      </c>
      <c r="C472" t="s">
        <v>17</v>
      </c>
      <c r="D472" t="s">
        <v>33</v>
      </c>
      <c r="E472" t="s">
        <v>42</v>
      </c>
      <c r="F472" t="s">
        <v>30</v>
      </c>
      <c r="G472" s="4">
        <v>11</v>
      </c>
      <c r="H472" s="1">
        <v>76190</v>
      </c>
      <c r="I472" s="3" t="s">
        <v>21</v>
      </c>
      <c r="J472" s="4">
        <v>1</v>
      </c>
    </row>
    <row r="473" spans="1:10" x14ac:dyDescent="0.35">
      <c r="A473" s="2" t="s">
        <v>509</v>
      </c>
      <c r="B473" s="4">
        <v>18</v>
      </c>
      <c r="C473" t="s">
        <v>11</v>
      </c>
      <c r="D473" t="s">
        <v>49</v>
      </c>
      <c r="E473" t="s">
        <v>13</v>
      </c>
      <c r="F473" t="s">
        <v>30</v>
      </c>
      <c r="G473" s="4">
        <v>11</v>
      </c>
      <c r="H473" s="1">
        <v>33820</v>
      </c>
      <c r="I473" s="3" t="s">
        <v>15</v>
      </c>
      <c r="J473" s="4">
        <v>5</v>
      </c>
    </row>
    <row r="474" spans="1:10" x14ac:dyDescent="0.35">
      <c r="A474" s="2" t="s">
        <v>510</v>
      </c>
      <c r="B474" s="4">
        <v>73</v>
      </c>
      <c r="C474" t="s">
        <v>11</v>
      </c>
      <c r="D474" t="s">
        <v>36</v>
      </c>
      <c r="E474" t="s">
        <v>65</v>
      </c>
      <c r="F474" t="s">
        <v>14</v>
      </c>
      <c r="G474" s="4">
        <v>15</v>
      </c>
      <c r="H474" s="1">
        <v>6735</v>
      </c>
      <c r="I474" s="3" t="s">
        <v>15</v>
      </c>
      <c r="J474" s="4">
        <v>5</v>
      </c>
    </row>
    <row r="475" spans="1:10" x14ac:dyDescent="0.35">
      <c r="A475" s="2" t="s">
        <v>511</v>
      </c>
      <c r="B475" s="4">
        <v>29</v>
      </c>
      <c r="C475" t="s">
        <v>11</v>
      </c>
      <c r="D475" t="s">
        <v>41</v>
      </c>
      <c r="E475" t="s">
        <v>34</v>
      </c>
      <c r="F475" t="s">
        <v>14</v>
      </c>
      <c r="G475" s="4">
        <v>13</v>
      </c>
      <c r="H475" s="1">
        <v>22132</v>
      </c>
      <c r="I475" s="3" t="s">
        <v>15</v>
      </c>
      <c r="J475" s="4">
        <v>5</v>
      </c>
    </row>
    <row r="476" spans="1:10" x14ac:dyDescent="0.35">
      <c r="A476" s="2" t="s">
        <v>512</v>
      </c>
      <c r="B476" s="4">
        <v>13</v>
      </c>
      <c r="C476" t="s">
        <v>11</v>
      </c>
      <c r="D476" t="s">
        <v>12</v>
      </c>
      <c r="E476" t="s">
        <v>53</v>
      </c>
      <c r="F476" t="s">
        <v>20</v>
      </c>
      <c r="G476" s="4">
        <v>8</v>
      </c>
      <c r="H476" s="1">
        <v>53737</v>
      </c>
      <c r="I476" s="3" t="s">
        <v>15</v>
      </c>
      <c r="J476" s="4">
        <v>5</v>
      </c>
    </row>
    <row r="477" spans="1:10" x14ac:dyDescent="0.35">
      <c r="A477" s="2" t="s">
        <v>513</v>
      </c>
      <c r="B477" s="4">
        <v>88</v>
      </c>
      <c r="C477" t="s">
        <v>11</v>
      </c>
      <c r="D477" t="s">
        <v>41</v>
      </c>
      <c r="E477" t="s">
        <v>37</v>
      </c>
      <c r="F477" t="s">
        <v>20</v>
      </c>
      <c r="G477" s="4">
        <v>12</v>
      </c>
      <c r="H477" s="1">
        <v>72206</v>
      </c>
      <c r="I477" s="3" t="s">
        <v>21</v>
      </c>
      <c r="J477" s="4">
        <v>3</v>
      </c>
    </row>
    <row r="478" spans="1:10" x14ac:dyDescent="0.35">
      <c r="A478" s="2" t="s">
        <v>514</v>
      </c>
      <c r="B478" s="4">
        <v>64</v>
      </c>
      <c r="C478" t="s">
        <v>17</v>
      </c>
      <c r="D478" t="s">
        <v>28</v>
      </c>
      <c r="E478" t="s">
        <v>34</v>
      </c>
      <c r="F478" t="s">
        <v>30</v>
      </c>
      <c r="G478" s="4">
        <v>14</v>
      </c>
      <c r="H478" s="1">
        <v>86500</v>
      </c>
      <c r="I478" s="3" t="s">
        <v>21</v>
      </c>
      <c r="J478" s="4">
        <v>5</v>
      </c>
    </row>
    <row r="479" spans="1:10" x14ac:dyDescent="0.35">
      <c r="A479" s="2" t="s">
        <v>515</v>
      </c>
      <c r="B479" s="4">
        <v>64</v>
      </c>
      <c r="C479" t="s">
        <v>11</v>
      </c>
      <c r="D479" t="s">
        <v>49</v>
      </c>
      <c r="E479" t="s">
        <v>37</v>
      </c>
      <c r="F479" t="s">
        <v>14</v>
      </c>
      <c r="G479" s="4">
        <v>4</v>
      </c>
      <c r="H479" s="1">
        <v>33123</v>
      </c>
      <c r="I479" s="3" t="s">
        <v>21</v>
      </c>
      <c r="J479" s="4">
        <v>4</v>
      </c>
    </row>
    <row r="480" spans="1:10" x14ac:dyDescent="0.35">
      <c r="A480" s="2" t="s">
        <v>516</v>
      </c>
      <c r="B480" s="4">
        <v>76</v>
      </c>
      <c r="C480" t="s">
        <v>17</v>
      </c>
      <c r="D480" t="s">
        <v>49</v>
      </c>
      <c r="E480" t="s">
        <v>27</v>
      </c>
      <c r="F480" t="s">
        <v>30</v>
      </c>
      <c r="G480" s="4">
        <v>13</v>
      </c>
      <c r="H480" s="1">
        <v>71605</v>
      </c>
      <c r="I480" s="3" t="s">
        <v>15</v>
      </c>
      <c r="J480" s="4">
        <v>1</v>
      </c>
    </row>
    <row r="481" spans="1:10" x14ac:dyDescent="0.35">
      <c r="A481" s="2" t="s">
        <v>517</v>
      </c>
      <c r="B481" s="4">
        <v>77</v>
      </c>
      <c r="C481" t="s">
        <v>17</v>
      </c>
      <c r="D481" t="s">
        <v>18</v>
      </c>
      <c r="E481" t="s">
        <v>42</v>
      </c>
      <c r="F481" t="s">
        <v>30</v>
      </c>
      <c r="G481" s="4">
        <v>9</v>
      </c>
      <c r="H481" s="1">
        <v>70928</v>
      </c>
      <c r="I481" s="3" t="s">
        <v>15</v>
      </c>
      <c r="J481" s="4">
        <v>4</v>
      </c>
    </row>
    <row r="482" spans="1:10" x14ac:dyDescent="0.35">
      <c r="A482" s="2" t="s">
        <v>518</v>
      </c>
      <c r="B482" s="4">
        <v>47</v>
      </c>
      <c r="C482" t="s">
        <v>17</v>
      </c>
      <c r="D482" t="s">
        <v>26</v>
      </c>
      <c r="E482" t="s">
        <v>19</v>
      </c>
      <c r="F482" t="s">
        <v>14</v>
      </c>
      <c r="G482" s="4">
        <v>5</v>
      </c>
      <c r="H482" s="1">
        <v>26122</v>
      </c>
      <c r="I482" s="3" t="s">
        <v>21</v>
      </c>
      <c r="J482" s="4">
        <v>1</v>
      </c>
    </row>
    <row r="483" spans="1:10" x14ac:dyDescent="0.35">
      <c r="A483" s="2" t="s">
        <v>519</v>
      </c>
      <c r="B483" s="4">
        <v>56</v>
      </c>
      <c r="C483" t="s">
        <v>11</v>
      </c>
      <c r="D483" t="s">
        <v>12</v>
      </c>
      <c r="E483" t="s">
        <v>13</v>
      </c>
      <c r="F483" t="s">
        <v>30</v>
      </c>
      <c r="G483" s="4">
        <v>6</v>
      </c>
      <c r="H483" s="1">
        <v>69341</v>
      </c>
      <c r="I483" s="3" t="s">
        <v>21</v>
      </c>
      <c r="J483" s="4">
        <v>4</v>
      </c>
    </row>
    <row r="484" spans="1:10" x14ac:dyDescent="0.35">
      <c r="A484" s="2" t="s">
        <v>520</v>
      </c>
      <c r="B484" s="4">
        <v>7</v>
      </c>
      <c r="C484" t="s">
        <v>11</v>
      </c>
      <c r="D484" t="s">
        <v>23</v>
      </c>
      <c r="E484" t="s">
        <v>65</v>
      </c>
      <c r="F484" t="s">
        <v>14</v>
      </c>
      <c r="G484" s="4">
        <v>13</v>
      </c>
      <c r="H484" s="1">
        <v>89430</v>
      </c>
      <c r="I484" s="3" t="s">
        <v>15</v>
      </c>
      <c r="J484" s="4">
        <v>1</v>
      </c>
    </row>
    <row r="485" spans="1:10" x14ac:dyDescent="0.35">
      <c r="A485" s="2" t="s">
        <v>521</v>
      </c>
      <c r="B485" s="4">
        <v>66</v>
      </c>
      <c r="C485" t="s">
        <v>17</v>
      </c>
      <c r="D485" t="s">
        <v>23</v>
      </c>
      <c r="E485" t="s">
        <v>27</v>
      </c>
      <c r="F485" t="s">
        <v>20</v>
      </c>
      <c r="G485" s="4">
        <v>12</v>
      </c>
      <c r="H485" s="1">
        <v>68088</v>
      </c>
      <c r="I485" s="3" t="s">
        <v>15</v>
      </c>
      <c r="J485" s="4">
        <v>4</v>
      </c>
    </row>
    <row r="486" spans="1:10" x14ac:dyDescent="0.35">
      <c r="A486" s="2" t="s">
        <v>522</v>
      </c>
      <c r="B486" s="4">
        <v>9</v>
      </c>
      <c r="C486" t="s">
        <v>17</v>
      </c>
      <c r="D486" t="s">
        <v>28</v>
      </c>
      <c r="E486" t="s">
        <v>42</v>
      </c>
      <c r="F486" t="s">
        <v>14</v>
      </c>
      <c r="G486" s="4">
        <v>4</v>
      </c>
      <c r="H486" s="1">
        <v>96158</v>
      </c>
      <c r="I486" s="3" t="s">
        <v>15</v>
      </c>
      <c r="J486" s="4">
        <v>3</v>
      </c>
    </row>
    <row r="487" spans="1:10" x14ac:dyDescent="0.35">
      <c r="A487" s="2" t="s">
        <v>523</v>
      </c>
      <c r="B487" s="4">
        <v>26</v>
      </c>
      <c r="C487" t="s">
        <v>11</v>
      </c>
      <c r="D487" t="s">
        <v>39</v>
      </c>
      <c r="E487" t="s">
        <v>27</v>
      </c>
      <c r="F487" t="s">
        <v>30</v>
      </c>
      <c r="G487" s="4">
        <v>8</v>
      </c>
      <c r="H487" s="1">
        <v>18123</v>
      </c>
      <c r="I487" s="3" t="s">
        <v>15</v>
      </c>
      <c r="J487" s="4">
        <v>5</v>
      </c>
    </row>
    <row r="488" spans="1:10" x14ac:dyDescent="0.35">
      <c r="A488" s="2" t="s">
        <v>524</v>
      </c>
      <c r="B488" s="4">
        <v>10</v>
      </c>
      <c r="C488" t="s">
        <v>17</v>
      </c>
      <c r="D488" t="s">
        <v>18</v>
      </c>
      <c r="E488" t="s">
        <v>19</v>
      </c>
      <c r="F488" t="s">
        <v>14</v>
      </c>
      <c r="G488" s="4">
        <v>5</v>
      </c>
      <c r="H488" s="1">
        <v>10581</v>
      </c>
      <c r="I488" s="3" t="s">
        <v>21</v>
      </c>
      <c r="J488" s="4">
        <v>4</v>
      </c>
    </row>
    <row r="489" spans="1:10" x14ac:dyDescent="0.35">
      <c r="A489" s="2" t="s">
        <v>525</v>
      </c>
      <c r="B489" s="4">
        <v>29</v>
      </c>
      <c r="C489" t="s">
        <v>17</v>
      </c>
      <c r="D489" t="s">
        <v>36</v>
      </c>
      <c r="E489" t="s">
        <v>34</v>
      </c>
      <c r="F489" t="s">
        <v>30</v>
      </c>
      <c r="G489" s="4">
        <v>4</v>
      </c>
      <c r="H489" s="1">
        <v>14861</v>
      </c>
      <c r="I489" s="3" t="s">
        <v>21</v>
      </c>
      <c r="J489" s="4">
        <v>2</v>
      </c>
    </row>
    <row r="490" spans="1:10" x14ac:dyDescent="0.35">
      <c r="A490" s="2" t="s">
        <v>526</v>
      </c>
      <c r="B490" s="4">
        <v>78</v>
      </c>
      <c r="C490" t="s">
        <v>17</v>
      </c>
      <c r="D490" t="s">
        <v>18</v>
      </c>
      <c r="E490" t="s">
        <v>53</v>
      </c>
      <c r="F490" t="s">
        <v>30</v>
      </c>
      <c r="G490" s="4">
        <v>9</v>
      </c>
      <c r="H490" s="1">
        <v>33324</v>
      </c>
      <c r="I490" s="3" t="s">
        <v>21</v>
      </c>
      <c r="J490" s="4">
        <v>4</v>
      </c>
    </row>
    <row r="491" spans="1:10" x14ac:dyDescent="0.35">
      <c r="A491" s="2" t="s">
        <v>527</v>
      </c>
      <c r="B491" s="4">
        <v>35</v>
      </c>
      <c r="C491" t="s">
        <v>11</v>
      </c>
      <c r="D491" t="s">
        <v>49</v>
      </c>
      <c r="E491" t="s">
        <v>53</v>
      </c>
      <c r="F491" t="s">
        <v>14</v>
      </c>
      <c r="G491" s="4">
        <v>5</v>
      </c>
      <c r="H491" s="1">
        <v>24108</v>
      </c>
      <c r="I491" s="3" t="s">
        <v>15</v>
      </c>
      <c r="J491" s="4">
        <v>2</v>
      </c>
    </row>
    <row r="492" spans="1:10" x14ac:dyDescent="0.35">
      <c r="A492" s="2" t="s">
        <v>528</v>
      </c>
      <c r="B492" s="4">
        <v>86</v>
      </c>
      <c r="C492" t="s">
        <v>11</v>
      </c>
      <c r="D492" t="s">
        <v>12</v>
      </c>
      <c r="E492" t="s">
        <v>37</v>
      </c>
      <c r="F492" t="s">
        <v>20</v>
      </c>
      <c r="G492" s="4">
        <v>9</v>
      </c>
      <c r="H492" s="1">
        <v>32302</v>
      </c>
      <c r="I492" s="3" t="s">
        <v>15</v>
      </c>
      <c r="J492" s="4">
        <v>4</v>
      </c>
    </row>
    <row r="493" spans="1:10" x14ac:dyDescent="0.35">
      <c r="A493" s="2" t="s">
        <v>529</v>
      </c>
      <c r="B493" s="4">
        <v>12</v>
      </c>
      <c r="C493" t="s">
        <v>17</v>
      </c>
      <c r="D493" t="s">
        <v>41</v>
      </c>
      <c r="E493" t="s">
        <v>34</v>
      </c>
      <c r="F493" t="s">
        <v>30</v>
      </c>
      <c r="G493" s="4">
        <v>9</v>
      </c>
      <c r="H493" s="1">
        <v>66826</v>
      </c>
      <c r="I493" s="3" t="s">
        <v>21</v>
      </c>
      <c r="J493" s="4">
        <v>2</v>
      </c>
    </row>
    <row r="494" spans="1:10" x14ac:dyDescent="0.35">
      <c r="A494" s="2" t="s">
        <v>530</v>
      </c>
      <c r="B494" s="4">
        <v>29</v>
      </c>
      <c r="C494" t="s">
        <v>11</v>
      </c>
      <c r="D494" t="s">
        <v>39</v>
      </c>
      <c r="E494" t="s">
        <v>34</v>
      </c>
      <c r="F494" t="s">
        <v>20</v>
      </c>
      <c r="G494" s="4">
        <v>13</v>
      </c>
      <c r="H494" s="1">
        <v>34003</v>
      </c>
      <c r="I494" s="3" t="s">
        <v>15</v>
      </c>
      <c r="J494" s="4">
        <v>3</v>
      </c>
    </row>
    <row r="495" spans="1:10" x14ac:dyDescent="0.35">
      <c r="A495" s="2" t="s">
        <v>531</v>
      </c>
      <c r="B495" s="4">
        <v>73</v>
      </c>
      <c r="C495" t="s">
        <v>17</v>
      </c>
      <c r="D495" t="s">
        <v>23</v>
      </c>
      <c r="E495" t="s">
        <v>13</v>
      </c>
      <c r="F495" t="s">
        <v>14</v>
      </c>
      <c r="G495" s="4">
        <v>3</v>
      </c>
      <c r="H495" s="1">
        <v>82238</v>
      </c>
      <c r="I495" s="3" t="s">
        <v>15</v>
      </c>
      <c r="J495" s="4">
        <v>4</v>
      </c>
    </row>
    <row r="496" spans="1:10" x14ac:dyDescent="0.35">
      <c r="A496" s="2" t="s">
        <v>532</v>
      </c>
      <c r="B496" s="4">
        <v>42</v>
      </c>
      <c r="C496" t="s">
        <v>11</v>
      </c>
      <c r="D496" t="s">
        <v>23</v>
      </c>
      <c r="E496" t="s">
        <v>34</v>
      </c>
      <c r="F496" t="s">
        <v>30</v>
      </c>
      <c r="G496" s="4">
        <v>8</v>
      </c>
      <c r="H496" s="1">
        <v>42431</v>
      </c>
      <c r="I496" s="3" t="s">
        <v>15</v>
      </c>
      <c r="J496" s="4">
        <v>4</v>
      </c>
    </row>
    <row r="497" spans="1:10" x14ac:dyDescent="0.35">
      <c r="A497" s="2" t="s">
        <v>533</v>
      </c>
      <c r="B497" s="4">
        <v>11</v>
      </c>
      <c r="C497" t="s">
        <v>11</v>
      </c>
      <c r="D497" t="s">
        <v>36</v>
      </c>
      <c r="E497" t="s">
        <v>24</v>
      </c>
      <c r="F497" t="s">
        <v>20</v>
      </c>
      <c r="G497" s="4">
        <v>15</v>
      </c>
      <c r="H497" s="1">
        <v>77558</v>
      </c>
      <c r="I497" s="3" t="s">
        <v>15</v>
      </c>
      <c r="J497" s="4">
        <v>4</v>
      </c>
    </row>
    <row r="498" spans="1:10" x14ac:dyDescent="0.35">
      <c r="A498" s="2" t="s">
        <v>534</v>
      </c>
      <c r="B498" s="4">
        <v>66</v>
      </c>
      <c r="C498" t="s">
        <v>17</v>
      </c>
      <c r="D498" t="s">
        <v>12</v>
      </c>
      <c r="E498" t="s">
        <v>29</v>
      </c>
      <c r="F498" t="s">
        <v>20</v>
      </c>
      <c r="G498" s="4">
        <v>6</v>
      </c>
      <c r="H498" s="1">
        <v>6606</v>
      </c>
      <c r="I498" s="3" t="s">
        <v>21</v>
      </c>
      <c r="J498" s="4">
        <v>2</v>
      </c>
    </row>
    <row r="499" spans="1:10" x14ac:dyDescent="0.35">
      <c r="A499" s="2" t="s">
        <v>535</v>
      </c>
      <c r="B499" s="4">
        <v>67</v>
      </c>
      <c r="C499" t="s">
        <v>17</v>
      </c>
      <c r="D499" t="s">
        <v>36</v>
      </c>
      <c r="E499" t="s">
        <v>53</v>
      </c>
      <c r="F499" t="s">
        <v>20</v>
      </c>
      <c r="G499" s="4">
        <v>8</v>
      </c>
      <c r="H499" s="1">
        <v>74794</v>
      </c>
      <c r="I499" s="3" t="s">
        <v>21</v>
      </c>
      <c r="J499" s="4">
        <v>4</v>
      </c>
    </row>
    <row r="500" spans="1:10" x14ac:dyDescent="0.35">
      <c r="A500" s="2" t="s">
        <v>536</v>
      </c>
      <c r="B500" s="4">
        <v>42</v>
      </c>
      <c r="C500" t="s">
        <v>11</v>
      </c>
      <c r="D500" t="s">
        <v>36</v>
      </c>
      <c r="E500" t="s">
        <v>34</v>
      </c>
      <c r="F500" t="s">
        <v>20</v>
      </c>
      <c r="G500" s="4">
        <v>15</v>
      </c>
      <c r="H500" s="1">
        <v>42369</v>
      </c>
      <c r="I500" s="3" t="s">
        <v>15</v>
      </c>
      <c r="J500" s="4">
        <v>1</v>
      </c>
    </row>
    <row r="501" spans="1:10" x14ac:dyDescent="0.35">
      <c r="A501" s="2" t="s">
        <v>537</v>
      </c>
      <c r="B501" s="4">
        <v>43</v>
      </c>
      <c r="C501" t="s">
        <v>11</v>
      </c>
      <c r="D501" t="s">
        <v>49</v>
      </c>
      <c r="E501" t="s">
        <v>24</v>
      </c>
      <c r="F501" t="s">
        <v>30</v>
      </c>
      <c r="G501" s="4">
        <v>8</v>
      </c>
      <c r="H501" s="1">
        <v>19166</v>
      </c>
      <c r="I501" s="3" t="s">
        <v>15</v>
      </c>
      <c r="J501" s="4">
        <v>3</v>
      </c>
    </row>
    <row r="502" spans="1:10" x14ac:dyDescent="0.35">
      <c r="A502" s="2" t="s">
        <v>538</v>
      </c>
      <c r="B502" s="4">
        <v>2</v>
      </c>
      <c r="C502" t="s">
        <v>11</v>
      </c>
      <c r="D502" t="s">
        <v>33</v>
      </c>
      <c r="E502" t="s">
        <v>27</v>
      </c>
      <c r="F502" t="s">
        <v>20</v>
      </c>
      <c r="G502" s="4">
        <v>12</v>
      </c>
      <c r="H502" s="1">
        <v>64796</v>
      </c>
      <c r="I502" s="3" t="s">
        <v>21</v>
      </c>
      <c r="J502" s="4">
        <v>4</v>
      </c>
    </row>
    <row r="503" spans="1:10" x14ac:dyDescent="0.35">
      <c r="A503" s="2" t="s">
        <v>539</v>
      </c>
      <c r="B503" s="4">
        <v>72</v>
      </c>
      <c r="C503" t="s">
        <v>11</v>
      </c>
      <c r="D503" t="s">
        <v>41</v>
      </c>
      <c r="E503" t="s">
        <v>24</v>
      </c>
      <c r="F503" t="s">
        <v>30</v>
      </c>
      <c r="G503" s="4">
        <v>10</v>
      </c>
      <c r="H503" s="1">
        <v>10231</v>
      </c>
      <c r="I503" s="3" t="s">
        <v>15</v>
      </c>
      <c r="J503" s="4">
        <v>1</v>
      </c>
    </row>
    <row r="504" spans="1:10" x14ac:dyDescent="0.35">
      <c r="A504" s="2" t="s">
        <v>540</v>
      </c>
      <c r="B504" s="4">
        <v>52</v>
      </c>
      <c r="C504" t="s">
        <v>11</v>
      </c>
      <c r="D504" t="s">
        <v>28</v>
      </c>
      <c r="E504" t="s">
        <v>24</v>
      </c>
      <c r="F504" t="s">
        <v>20</v>
      </c>
      <c r="G504" s="4">
        <v>1</v>
      </c>
      <c r="H504" s="1">
        <v>86656</v>
      </c>
      <c r="I504" s="3" t="s">
        <v>21</v>
      </c>
      <c r="J504" s="4">
        <v>4</v>
      </c>
    </row>
    <row r="505" spans="1:10" x14ac:dyDescent="0.35">
      <c r="A505" s="2" t="s">
        <v>541</v>
      </c>
      <c r="B505" s="4">
        <v>12</v>
      </c>
      <c r="C505" t="s">
        <v>11</v>
      </c>
      <c r="D505" t="s">
        <v>39</v>
      </c>
      <c r="E505" t="s">
        <v>42</v>
      </c>
      <c r="F505" t="s">
        <v>14</v>
      </c>
      <c r="G505" s="4">
        <v>4</v>
      </c>
      <c r="H505" s="1">
        <v>98080</v>
      </c>
      <c r="I505" s="3" t="s">
        <v>15</v>
      </c>
      <c r="J505" s="4">
        <v>3</v>
      </c>
    </row>
    <row r="506" spans="1:10" x14ac:dyDescent="0.35">
      <c r="A506" s="2" t="s">
        <v>542</v>
      </c>
      <c r="B506" s="4">
        <v>5</v>
      </c>
      <c r="C506" t="s">
        <v>11</v>
      </c>
      <c r="D506" t="s">
        <v>12</v>
      </c>
      <c r="E506" t="s">
        <v>19</v>
      </c>
      <c r="F506" t="s">
        <v>14</v>
      </c>
      <c r="G506" s="4">
        <v>14</v>
      </c>
      <c r="H506" s="1">
        <v>45373</v>
      </c>
      <c r="I506" s="3" t="s">
        <v>21</v>
      </c>
      <c r="J506" s="4">
        <v>1</v>
      </c>
    </row>
    <row r="507" spans="1:10" x14ac:dyDescent="0.35">
      <c r="A507" s="2" t="s">
        <v>543</v>
      </c>
      <c r="B507" s="4">
        <v>18</v>
      </c>
      <c r="C507" t="s">
        <v>11</v>
      </c>
      <c r="D507" t="s">
        <v>39</v>
      </c>
      <c r="E507" t="s">
        <v>13</v>
      </c>
      <c r="F507" t="s">
        <v>20</v>
      </c>
      <c r="G507" s="4">
        <v>5</v>
      </c>
      <c r="H507" s="1">
        <v>72741</v>
      </c>
      <c r="I507" s="3" t="s">
        <v>21</v>
      </c>
      <c r="J507" s="4">
        <v>1</v>
      </c>
    </row>
    <row r="508" spans="1:10" x14ac:dyDescent="0.35">
      <c r="A508" s="2" t="s">
        <v>544</v>
      </c>
      <c r="B508" s="4">
        <v>18</v>
      </c>
      <c r="C508" t="s">
        <v>11</v>
      </c>
      <c r="D508" t="s">
        <v>12</v>
      </c>
      <c r="E508" t="s">
        <v>19</v>
      </c>
      <c r="F508" t="s">
        <v>14</v>
      </c>
      <c r="G508" s="4">
        <v>2</v>
      </c>
      <c r="H508" s="1">
        <v>58611</v>
      </c>
      <c r="I508" s="3" t="s">
        <v>21</v>
      </c>
      <c r="J508" s="4">
        <v>4</v>
      </c>
    </row>
    <row r="509" spans="1:10" x14ac:dyDescent="0.35">
      <c r="A509" s="2" t="s">
        <v>545</v>
      </c>
      <c r="B509" s="4">
        <v>80</v>
      </c>
      <c r="C509" t="s">
        <v>17</v>
      </c>
      <c r="D509" t="s">
        <v>28</v>
      </c>
      <c r="E509" t="s">
        <v>13</v>
      </c>
      <c r="F509" t="s">
        <v>14</v>
      </c>
      <c r="G509" s="4">
        <v>12</v>
      </c>
      <c r="H509" s="1">
        <v>99644</v>
      </c>
      <c r="I509" s="3" t="s">
        <v>21</v>
      </c>
      <c r="J509" s="4">
        <v>4</v>
      </c>
    </row>
    <row r="510" spans="1:10" x14ac:dyDescent="0.35">
      <c r="A510" s="2" t="s">
        <v>546</v>
      </c>
      <c r="B510" s="4">
        <v>31</v>
      </c>
      <c r="C510" t="s">
        <v>11</v>
      </c>
      <c r="D510" t="s">
        <v>12</v>
      </c>
      <c r="E510" t="s">
        <v>53</v>
      </c>
      <c r="F510" t="s">
        <v>30</v>
      </c>
      <c r="G510" s="4">
        <v>4</v>
      </c>
      <c r="H510" s="1">
        <v>28604</v>
      </c>
      <c r="I510" s="3" t="s">
        <v>15</v>
      </c>
      <c r="J510" s="4">
        <v>4</v>
      </c>
    </row>
    <row r="511" spans="1:10" x14ac:dyDescent="0.35">
      <c r="A511" s="2" t="s">
        <v>547</v>
      </c>
      <c r="B511" s="4">
        <v>17</v>
      </c>
      <c r="C511" t="s">
        <v>17</v>
      </c>
      <c r="D511" t="s">
        <v>12</v>
      </c>
      <c r="E511" t="s">
        <v>29</v>
      </c>
      <c r="F511" t="s">
        <v>20</v>
      </c>
      <c r="G511" s="4">
        <v>10</v>
      </c>
      <c r="H511" s="1">
        <v>95003</v>
      </c>
      <c r="I511" s="3" t="s">
        <v>21</v>
      </c>
      <c r="J511" s="4">
        <v>5</v>
      </c>
    </row>
    <row r="512" spans="1:10" x14ac:dyDescent="0.35">
      <c r="A512" s="2" t="s">
        <v>548</v>
      </c>
      <c r="B512" s="4">
        <v>69</v>
      </c>
      <c r="C512" t="s">
        <v>17</v>
      </c>
      <c r="D512" t="s">
        <v>36</v>
      </c>
      <c r="E512" t="s">
        <v>13</v>
      </c>
      <c r="F512" t="s">
        <v>20</v>
      </c>
      <c r="G512" s="4">
        <v>4</v>
      </c>
      <c r="H512" s="1">
        <v>91914</v>
      </c>
      <c r="I512" s="3" t="s">
        <v>15</v>
      </c>
      <c r="J512" s="4">
        <v>4</v>
      </c>
    </row>
    <row r="513" spans="1:10" x14ac:dyDescent="0.35">
      <c r="A513" s="2" t="s">
        <v>549</v>
      </c>
      <c r="B513" s="4">
        <v>69</v>
      </c>
      <c r="C513" t="s">
        <v>17</v>
      </c>
      <c r="D513" t="s">
        <v>28</v>
      </c>
      <c r="E513" t="s">
        <v>29</v>
      </c>
      <c r="F513" t="s">
        <v>20</v>
      </c>
      <c r="G513" s="4">
        <v>8</v>
      </c>
      <c r="H513" s="1">
        <v>75223</v>
      </c>
      <c r="I513" s="3" t="s">
        <v>15</v>
      </c>
      <c r="J513" s="4">
        <v>2</v>
      </c>
    </row>
    <row r="514" spans="1:10" x14ac:dyDescent="0.35">
      <c r="A514" s="2" t="s">
        <v>550</v>
      </c>
      <c r="B514" s="4">
        <v>7</v>
      </c>
      <c r="C514" t="s">
        <v>17</v>
      </c>
      <c r="D514" t="s">
        <v>23</v>
      </c>
      <c r="E514" t="s">
        <v>65</v>
      </c>
      <c r="F514" t="s">
        <v>30</v>
      </c>
      <c r="G514" s="4">
        <v>13</v>
      </c>
      <c r="H514" s="1">
        <v>46551</v>
      </c>
      <c r="I514" s="3" t="s">
        <v>21</v>
      </c>
      <c r="J514" s="4">
        <v>5</v>
      </c>
    </row>
    <row r="515" spans="1:10" x14ac:dyDescent="0.35">
      <c r="A515" s="2" t="s">
        <v>551</v>
      </c>
      <c r="B515" s="4">
        <v>74</v>
      </c>
      <c r="C515" t="s">
        <v>17</v>
      </c>
      <c r="D515" t="s">
        <v>28</v>
      </c>
      <c r="E515" t="s">
        <v>37</v>
      </c>
      <c r="F515" t="s">
        <v>20</v>
      </c>
      <c r="G515" s="4">
        <v>15</v>
      </c>
      <c r="H515" s="1">
        <v>31017</v>
      </c>
      <c r="I515" s="3" t="s">
        <v>15</v>
      </c>
      <c r="J515" s="4">
        <v>3</v>
      </c>
    </row>
    <row r="516" spans="1:10" x14ac:dyDescent="0.35">
      <c r="A516" s="2" t="s">
        <v>552</v>
      </c>
      <c r="B516" s="4">
        <v>4</v>
      </c>
      <c r="C516" t="s">
        <v>17</v>
      </c>
      <c r="D516" t="s">
        <v>33</v>
      </c>
      <c r="E516" t="s">
        <v>19</v>
      </c>
      <c r="F516" t="s">
        <v>14</v>
      </c>
      <c r="G516" s="4">
        <v>12</v>
      </c>
      <c r="H516" s="1">
        <v>39606</v>
      </c>
      <c r="I516" s="3" t="s">
        <v>15</v>
      </c>
      <c r="J516" s="4">
        <v>5</v>
      </c>
    </row>
    <row r="517" spans="1:10" x14ac:dyDescent="0.35">
      <c r="A517" s="2" t="s">
        <v>553</v>
      </c>
      <c r="B517" s="4">
        <v>58</v>
      </c>
      <c r="C517" t="s">
        <v>17</v>
      </c>
      <c r="D517" t="s">
        <v>26</v>
      </c>
      <c r="E517" t="s">
        <v>37</v>
      </c>
      <c r="F517" t="s">
        <v>14</v>
      </c>
      <c r="G517" s="4">
        <v>8</v>
      </c>
      <c r="H517" s="1">
        <v>18033</v>
      </c>
      <c r="I517" s="3" t="s">
        <v>15</v>
      </c>
      <c r="J517" s="4">
        <v>4</v>
      </c>
    </row>
    <row r="518" spans="1:10" x14ac:dyDescent="0.35">
      <c r="A518" s="2" t="s">
        <v>554</v>
      </c>
      <c r="B518" s="4">
        <v>54</v>
      </c>
      <c r="C518" t="s">
        <v>11</v>
      </c>
      <c r="D518" t="s">
        <v>12</v>
      </c>
      <c r="E518" t="s">
        <v>37</v>
      </c>
      <c r="F518" t="s">
        <v>14</v>
      </c>
      <c r="G518" s="4">
        <v>6</v>
      </c>
      <c r="H518" s="1">
        <v>63420</v>
      </c>
      <c r="I518" s="3" t="s">
        <v>15</v>
      </c>
      <c r="J518" s="4">
        <v>2</v>
      </c>
    </row>
    <row r="519" spans="1:10" x14ac:dyDescent="0.35">
      <c r="A519" s="2" t="s">
        <v>555</v>
      </c>
      <c r="B519" s="4">
        <v>22</v>
      </c>
      <c r="C519" t="s">
        <v>17</v>
      </c>
      <c r="D519" t="s">
        <v>23</v>
      </c>
      <c r="E519" t="s">
        <v>37</v>
      </c>
      <c r="F519" t="s">
        <v>14</v>
      </c>
      <c r="G519" s="4">
        <v>3</v>
      </c>
      <c r="H519" s="1">
        <v>17969</v>
      </c>
      <c r="I519" s="3" t="s">
        <v>21</v>
      </c>
      <c r="J519" s="4">
        <v>3</v>
      </c>
    </row>
    <row r="520" spans="1:10" x14ac:dyDescent="0.35">
      <c r="A520" s="2" t="s">
        <v>556</v>
      </c>
      <c r="B520" s="4">
        <v>78</v>
      </c>
      <c r="C520" t="s">
        <v>17</v>
      </c>
      <c r="D520" t="s">
        <v>26</v>
      </c>
      <c r="E520" t="s">
        <v>29</v>
      </c>
      <c r="F520" t="s">
        <v>14</v>
      </c>
      <c r="G520" s="4">
        <v>6</v>
      </c>
      <c r="H520" s="1">
        <v>80583</v>
      </c>
      <c r="I520" s="3" t="s">
        <v>21</v>
      </c>
      <c r="J520" s="4">
        <v>1</v>
      </c>
    </row>
    <row r="521" spans="1:10" x14ac:dyDescent="0.35">
      <c r="A521" s="2" t="s">
        <v>557</v>
      </c>
      <c r="B521" s="4">
        <v>26</v>
      </c>
      <c r="C521" t="s">
        <v>11</v>
      </c>
      <c r="D521" t="s">
        <v>26</v>
      </c>
      <c r="E521" t="s">
        <v>29</v>
      </c>
      <c r="F521" t="s">
        <v>30</v>
      </c>
      <c r="G521" s="4">
        <v>9</v>
      </c>
      <c r="H521" s="1">
        <v>70874</v>
      </c>
      <c r="I521" s="3" t="s">
        <v>21</v>
      </c>
      <c r="J521" s="4">
        <v>3</v>
      </c>
    </row>
    <row r="522" spans="1:10" x14ac:dyDescent="0.35">
      <c r="A522" s="2" t="s">
        <v>558</v>
      </c>
      <c r="B522" s="4">
        <v>67</v>
      </c>
      <c r="C522" t="s">
        <v>11</v>
      </c>
      <c r="D522" t="s">
        <v>28</v>
      </c>
      <c r="E522" t="s">
        <v>13</v>
      </c>
      <c r="F522" t="s">
        <v>20</v>
      </c>
      <c r="G522" s="4">
        <v>14</v>
      </c>
      <c r="H522" s="1">
        <v>72383</v>
      </c>
      <c r="I522" s="3" t="s">
        <v>21</v>
      </c>
      <c r="J522" s="4">
        <v>4</v>
      </c>
    </row>
    <row r="523" spans="1:10" x14ac:dyDescent="0.35">
      <c r="A523" s="2" t="s">
        <v>559</v>
      </c>
      <c r="B523" s="4">
        <v>18</v>
      </c>
      <c r="C523" t="s">
        <v>17</v>
      </c>
      <c r="D523" t="s">
        <v>28</v>
      </c>
      <c r="E523" t="s">
        <v>29</v>
      </c>
      <c r="F523" t="s">
        <v>14</v>
      </c>
      <c r="G523" s="4">
        <v>13</v>
      </c>
      <c r="H523" s="1">
        <v>80794</v>
      </c>
      <c r="I523" s="3" t="s">
        <v>15</v>
      </c>
      <c r="J523" s="4">
        <v>5</v>
      </c>
    </row>
    <row r="524" spans="1:10" x14ac:dyDescent="0.35">
      <c r="A524" s="2" t="s">
        <v>560</v>
      </c>
      <c r="B524" s="4">
        <v>7</v>
      </c>
      <c r="C524" t="s">
        <v>17</v>
      </c>
      <c r="D524" t="s">
        <v>18</v>
      </c>
      <c r="E524" t="s">
        <v>27</v>
      </c>
      <c r="F524" t="s">
        <v>14</v>
      </c>
      <c r="G524" s="4">
        <v>13</v>
      </c>
      <c r="H524" s="1">
        <v>66824</v>
      </c>
      <c r="I524" s="3" t="s">
        <v>15</v>
      </c>
      <c r="J524" s="4">
        <v>4</v>
      </c>
    </row>
    <row r="525" spans="1:10" x14ac:dyDescent="0.35">
      <c r="A525" s="2" t="s">
        <v>561</v>
      </c>
      <c r="B525" s="4">
        <v>53</v>
      </c>
      <c r="C525" t="s">
        <v>11</v>
      </c>
      <c r="D525" t="s">
        <v>49</v>
      </c>
      <c r="E525" t="s">
        <v>29</v>
      </c>
      <c r="F525" t="s">
        <v>14</v>
      </c>
      <c r="G525" s="4">
        <v>15</v>
      </c>
      <c r="H525" s="1">
        <v>30208</v>
      </c>
      <c r="I525" s="3" t="s">
        <v>15</v>
      </c>
      <c r="J525" s="4">
        <v>4</v>
      </c>
    </row>
    <row r="526" spans="1:10" x14ac:dyDescent="0.35">
      <c r="A526" s="2" t="s">
        <v>562</v>
      </c>
      <c r="B526" s="4">
        <v>56</v>
      </c>
      <c r="C526" t="s">
        <v>17</v>
      </c>
      <c r="D526" t="s">
        <v>36</v>
      </c>
      <c r="E526" t="s">
        <v>34</v>
      </c>
      <c r="F526" t="s">
        <v>20</v>
      </c>
      <c r="G526" s="4">
        <v>9</v>
      </c>
      <c r="H526" s="1">
        <v>88029</v>
      </c>
      <c r="I526" s="3" t="s">
        <v>15</v>
      </c>
      <c r="J526" s="4">
        <v>5</v>
      </c>
    </row>
    <row r="527" spans="1:10" x14ac:dyDescent="0.35">
      <c r="A527" s="2" t="s">
        <v>563</v>
      </c>
      <c r="B527" s="4">
        <v>90</v>
      </c>
      <c r="C527" t="s">
        <v>11</v>
      </c>
      <c r="D527" t="s">
        <v>41</v>
      </c>
      <c r="E527" t="s">
        <v>29</v>
      </c>
      <c r="F527" t="s">
        <v>30</v>
      </c>
      <c r="G527" s="4">
        <v>4</v>
      </c>
      <c r="H527" s="1">
        <v>63504</v>
      </c>
      <c r="I527" s="3" t="s">
        <v>21</v>
      </c>
      <c r="J527" s="4">
        <v>5</v>
      </c>
    </row>
    <row r="528" spans="1:10" x14ac:dyDescent="0.35">
      <c r="A528" s="2" t="s">
        <v>564</v>
      </c>
      <c r="B528" s="4">
        <v>69</v>
      </c>
      <c r="C528" t="s">
        <v>17</v>
      </c>
      <c r="D528" t="s">
        <v>26</v>
      </c>
      <c r="E528" t="s">
        <v>42</v>
      </c>
      <c r="F528" t="s">
        <v>14</v>
      </c>
      <c r="G528" s="4">
        <v>14</v>
      </c>
      <c r="H528" s="1">
        <v>20061</v>
      </c>
      <c r="I528" s="3" t="s">
        <v>21</v>
      </c>
      <c r="J528" s="4">
        <v>2</v>
      </c>
    </row>
    <row r="529" spans="1:10" x14ac:dyDescent="0.35">
      <c r="A529" s="2" t="s">
        <v>565</v>
      </c>
      <c r="B529" s="4">
        <v>25</v>
      </c>
      <c r="C529" t="s">
        <v>17</v>
      </c>
      <c r="D529" t="s">
        <v>18</v>
      </c>
      <c r="E529" t="s">
        <v>19</v>
      </c>
      <c r="F529" t="s">
        <v>30</v>
      </c>
      <c r="G529" s="4">
        <v>11</v>
      </c>
      <c r="H529" s="1">
        <v>67840</v>
      </c>
      <c r="I529" s="3" t="s">
        <v>15</v>
      </c>
      <c r="J529" s="4">
        <v>5</v>
      </c>
    </row>
    <row r="530" spans="1:10" x14ac:dyDescent="0.35">
      <c r="A530" s="2" t="s">
        <v>566</v>
      </c>
      <c r="B530" s="4">
        <v>81</v>
      </c>
      <c r="C530" t="s">
        <v>11</v>
      </c>
      <c r="D530" t="s">
        <v>33</v>
      </c>
      <c r="E530" t="s">
        <v>13</v>
      </c>
      <c r="F530" t="s">
        <v>14</v>
      </c>
      <c r="G530" s="4">
        <v>15</v>
      </c>
      <c r="H530" s="1">
        <v>86259</v>
      </c>
      <c r="I530" s="3" t="s">
        <v>15</v>
      </c>
      <c r="J530" s="4">
        <v>1</v>
      </c>
    </row>
    <row r="531" spans="1:10" x14ac:dyDescent="0.35">
      <c r="A531" s="2" t="s">
        <v>567</v>
      </c>
      <c r="B531" s="4">
        <v>33</v>
      </c>
      <c r="C531" t="s">
        <v>11</v>
      </c>
      <c r="D531" t="s">
        <v>12</v>
      </c>
      <c r="E531" t="s">
        <v>65</v>
      </c>
      <c r="F531" t="s">
        <v>20</v>
      </c>
      <c r="G531" s="4">
        <v>10</v>
      </c>
      <c r="H531" s="1">
        <v>95455</v>
      </c>
      <c r="I531" s="3" t="s">
        <v>15</v>
      </c>
      <c r="J531" s="4">
        <v>1</v>
      </c>
    </row>
    <row r="532" spans="1:10" x14ac:dyDescent="0.35">
      <c r="A532" s="2" t="s">
        <v>568</v>
      </c>
      <c r="B532" s="4">
        <v>88</v>
      </c>
      <c r="C532" t="s">
        <v>11</v>
      </c>
      <c r="D532" t="s">
        <v>49</v>
      </c>
      <c r="E532" t="s">
        <v>29</v>
      </c>
      <c r="F532" t="s">
        <v>30</v>
      </c>
      <c r="G532" s="4">
        <v>2</v>
      </c>
      <c r="H532" s="1">
        <v>54874</v>
      </c>
      <c r="I532" s="3" t="s">
        <v>21</v>
      </c>
      <c r="J532" s="4">
        <v>1</v>
      </c>
    </row>
    <row r="533" spans="1:10" x14ac:dyDescent="0.35">
      <c r="A533" s="2" t="s">
        <v>569</v>
      </c>
      <c r="B533" s="4">
        <v>4</v>
      </c>
      <c r="C533" t="s">
        <v>11</v>
      </c>
      <c r="D533" t="s">
        <v>23</v>
      </c>
      <c r="E533" t="s">
        <v>19</v>
      </c>
      <c r="F533" t="s">
        <v>30</v>
      </c>
      <c r="G533" s="4">
        <v>12</v>
      </c>
      <c r="H533" s="1">
        <v>28004</v>
      </c>
      <c r="I533" s="3" t="s">
        <v>15</v>
      </c>
      <c r="J533" s="4">
        <v>1</v>
      </c>
    </row>
    <row r="534" spans="1:10" x14ac:dyDescent="0.35">
      <c r="A534" s="2" t="s">
        <v>570</v>
      </c>
      <c r="B534" s="4">
        <v>47</v>
      </c>
      <c r="C534" t="s">
        <v>17</v>
      </c>
      <c r="D534" t="s">
        <v>39</v>
      </c>
      <c r="E534" t="s">
        <v>24</v>
      </c>
      <c r="F534" t="s">
        <v>30</v>
      </c>
      <c r="G534" s="4">
        <v>10</v>
      </c>
      <c r="H534" s="1">
        <v>56706</v>
      </c>
      <c r="I534" s="3" t="s">
        <v>15</v>
      </c>
      <c r="J534" s="4">
        <v>1</v>
      </c>
    </row>
    <row r="535" spans="1:10" x14ac:dyDescent="0.35">
      <c r="A535" s="2" t="s">
        <v>571</v>
      </c>
      <c r="B535" s="4">
        <v>65</v>
      </c>
      <c r="C535" t="s">
        <v>11</v>
      </c>
      <c r="D535" t="s">
        <v>36</v>
      </c>
      <c r="E535" t="s">
        <v>29</v>
      </c>
      <c r="F535" t="s">
        <v>20</v>
      </c>
      <c r="G535" s="4">
        <v>1</v>
      </c>
      <c r="H535" s="1">
        <v>70997</v>
      </c>
      <c r="I535" s="3" t="s">
        <v>21</v>
      </c>
      <c r="J535" s="4">
        <v>2</v>
      </c>
    </row>
    <row r="536" spans="1:10" x14ac:dyDescent="0.35">
      <c r="A536" s="2" t="s">
        <v>572</v>
      </c>
      <c r="B536" s="4">
        <v>85</v>
      </c>
      <c r="C536" t="s">
        <v>11</v>
      </c>
      <c r="D536" t="s">
        <v>28</v>
      </c>
      <c r="E536" t="s">
        <v>37</v>
      </c>
      <c r="F536" t="s">
        <v>30</v>
      </c>
      <c r="G536" s="4">
        <v>9</v>
      </c>
      <c r="H536" s="1">
        <v>8745</v>
      </c>
      <c r="I536" s="3" t="s">
        <v>15</v>
      </c>
      <c r="J536" s="4">
        <v>1</v>
      </c>
    </row>
    <row r="537" spans="1:10" x14ac:dyDescent="0.35">
      <c r="A537" s="2" t="s">
        <v>573</v>
      </c>
      <c r="B537" s="4">
        <v>26</v>
      </c>
      <c r="C537" t="s">
        <v>11</v>
      </c>
      <c r="D537" t="s">
        <v>12</v>
      </c>
      <c r="E537" t="s">
        <v>34</v>
      </c>
      <c r="F537" t="s">
        <v>14</v>
      </c>
      <c r="G537" s="4">
        <v>13</v>
      </c>
      <c r="H537" s="1">
        <v>64048</v>
      </c>
      <c r="I537" s="3" t="s">
        <v>21</v>
      </c>
      <c r="J537" s="4">
        <v>2</v>
      </c>
    </row>
    <row r="538" spans="1:10" x14ac:dyDescent="0.35">
      <c r="A538" s="2" t="s">
        <v>574</v>
      </c>
      <c r="B538" s="4">
        <v>70</v>
      </c>
      <c r="C538" t="s">
        <v>11</v>
      </c>
      <c r="D538" t="s">
        <v>41</v>
      </c>
      <c r="E538" t="s">
        <v>24</v>
      </c>
      <c r="F538" t="s">
        <v>20</v>
      </c>
      <c r="G538" s="4">
        <v>5</v>
      </c>
      <c r="H538" s="1">
        <v>84473</v>
      </c>
      <c r="I538" s="3" t="s">
        <v>15</v>
      </c>
      <c r="J538" s="4">
        <v>2</v>
      </c>
    </row>
    <row r="539" spans="1:10" x14ac:dyDescent="0.35">
      <c r="A539" s="2" t="s">
        <v>575</v>
      </c>
      <c r="B539" s="4">
        <v>58</v>
      </c>
      <c r="C539" t="s">
        <v>11</v>
      </c>
      <c r="D539" t="s">
        <v>41</v>
      </c>
      <c r="E539" t="s">
        <v>19</v>
      </c>
      <c r="F539" t="s">
        <v>20</v>
      </c>
      <c r="G539" s="4">
        <v>8</v>
      </c>
      <c r="H539" s="1">
        <v>79297</v>
      </c>
      <c r="I539" s="3" t="s">
        <v>21</v>
      </c>
      <c r="J539" s="4">
        <v>3</v>
      </c>
    </row>
    <row r="540" spans="1:10" x14ac:dyDescent="0.35">
      <c r="A540" s="2" t="s">
        <v>576</v>
      </c>
      <c r="B540" s="4">
        <v>25</v>
      </c>
      <c r="C540" t="s">
        <v>11</v>
      </c>
      <c r="D540" t="s">
        <v>26</v>
      </c>
      <c r="E540" t="s">
        <v>24</v>
      </c>
      <c r="F540" t="s">
        <v>20</v>
      </c>
      <c r="G540" s="4">
        <v>10</v>
      </c>
      <c r="H540" s="1">
        <v>81922</v>
      </c>
      <c r="I540" s="3" t="s">
        <v>15</v>
      </c>
      <c r="J540" s="4">
        <v>2</v>
      </c>
    </row>
    <row r="541" spans="1:10" x14ac:dyDescent="0.35">
      <c r="A541" s="2" t="s">
        <v>577</v>
      </c>
      <c r="B541" s="4">
        <v>60</v>
      </c>
      <c r="C541" t="s">
        <v>11</v>
      </c>
      <c r="D541" t="s">
        <v>39</v>
      </c>
      <c r="E541" t="s">
        <v>53</v>
      </c>
      <c r="F541" t="s">
        <v>20</v>
      </c>
      <c r="G541" s="4">
        <v>14</v>
      </c>
      <c r="H541" s="1">
        <v>82330</v>
      </c>
      <c r="I541" s="3" t="s">
        <v>15</v>
      </c>
      <c r="J541" s="4">
        <v>1</v>
      </c>
    </row>
    <row r="542" spans="1:10" x14ac:dyDescent="0.35">
      <c r="A542" s="2" t="s">
        <v>578</v>
      </c>
      <c r="B542" s="4">
        <v>68</v>
      </c>
      <c r="C542" t="s">
        <v>17</v>
      </c>
      <c r="D542" t="s">
        <v>36</v>
      </c>
      <c r="E542" t="s">
        <v>13</v>
      </c>
      <c r="F542" t="s">
        <v>20</v>
      </c>
      <c r="G542" s="4">
        <v>6</v>
      </c>
      <c r="H542" s="1">
        <v>96255</v>
      </c>
      <c r="I542" s="3" t="s">
        <v>21</v>
      </c>
      <c r="J542" s="4">
        <v>1</v>
      </c>
    </row>
    <row r="543" spans="1:10" x14ac:dyDescent="0.35">
      <c r="A543" s="2" t="s">
        <v>579</v>
      </c>
      <c r="B543" s="4">
        <v>67</v>
      </c>
      <c r="C543" t="s">
        <v>11</v>
      </c>
      <c r="D543" t="s">
        <v>26</v>
      </c>
      <c r="E543" t="s">
        <v>13</v>
      </c>
      <c r="F543" t="s">
        <v>20</v>
      </c>
      <c r="G543" s="4">
        <v>8</v>
      </c>
      <c r="H543" s="1">
        <v>88166</v>
      </c>
      <c r="I543" s="3" t="s">
        <v>15</v>
      </c>
      <c r="J543" s="4">
        <v>4</v>
      </c>
    </row>
    <row r="544" spans="1:10" x14ac:dyDescent="0.35">
      <c r="A544" s="2" t="s">
        <v>580</v>
      </c>
      <c r="B544" s="4">
        <v>53</v>
      </c>
      <c r="C544" t="s">
        <v>11</v>
      </c>
      <c r="D544" t="s">
        <v>33</v>
      </c>
      <c r="E544" t="s">
        <v>19</v>
      </c>
      <c r="F544" t="s">
        <v>20</v>
      </c>
      <c r="G544" s="4">
        <v>11</v>
      </c>
      <c r="H544" s="1">
        <v>84129</v>
      </c>
      <c r="I544" s="3" t="s">
        <v>15</v>
      </c>
      <c r="J544" s="4">
        <v>1</v>
      </c>
    </row>
    <row r="545" spans="1:10" x14ac:dyDescent="0.35">
      <c r="A545" s="2" t="s">
        <v>581</v>
      </c>
      <c r="B545" s="4">
        <v>25</v>
      </c>
      <c r="C545" t="s">
        <v>17</v>
      </c>
      <c r="D545" t="s">
        <v>28</v>
      </c>
      <c r="E545" t="s">
        <v>19</v>
      </c>
      <c r="F545" t="s">
        <v>14</v>
      </c>
      <c r="G545" s="4">
        <v>4</v>
      </c>
      <c r="H545" s="1">
        <v>97167</v>
      </c>
      <c r="I545" s="3" t="s">
        <v>15</v>
      </c>
      <c r="J545" s="4">
        <v>1</v>
      </c>
    </row>
    <row r="546" spans="1:10" x14ac:dyDescent="0.35">
      <c r="A546" s="2" t="s">
        <v>582</v>
      </c>
      <c r="B546" s="4">
        <v>24</v>
      </c>
      <c r="C546" t="s">
        <v>17</v>
      </c>
      <c r="D546" t="s">
        <v>39</v>
      </c>
      <c r="E546" t="s">
        <v>13</v>
      </c>
      <c r="F546" t="s">
        <v>14</v>
      </c>
      <c r="G546" s="4">
        <v>1</v>
      </c>
      <c r="H546" s="1">
        <v>34005</v>
      </c>
      <c r="I546" s="3" t="s">
        <v>15</v>
      </c>
      <c r="J546" s="4">
        <v>1</v>
      </c>
    </row>
    <row r="547" spans="1:10" x14ac:dyDescent="0.35">
      <c r="A547" s="2" t="s">
        <v>583</v>
      </c>
      <c r="B547" s="4">
        <v>90</v>
      </c>
      <c r="C547" t="s">
        <v>17</v>
      </c>
      <c r="D547" t="s">
        <v>33</v>
      </c>
      <c r="E547" t="s">
        <v>53</v>
      </c>
      <c r="F547" t="s">
        <v>14</v>
      </c>
      <c r="G547" s="4">
        <v>6</v>
      </c>
      <c r="H547" s="1">
        <v>14524</v>
      </c>
      <c r="I547" s="3" t="s">
        <v>15</v>
      </c>
      <c r="J547" s="4">
        <v>3</v>
      </c>
    </row>
    <row r="548" spans="1:10" x14ac:dyDescent="0.35">
      <c r="A548" s="2" t="s">
        <v>584</v>
      </c>
      <c r="B548" s="4">
        <v>5</v>
      </c>
      <c r="C548" t="s">
        <v>17</v>
      </c>
      <c r="D548" t="s">
        <v>39</v>
      </c>
      <c r="E548" t="s">
        <v>37</v>
      </c>
      <c r="F548" t="s">
        <v>14</v>
      </c>
      <c r="G548" s="4">
        <v>13</v>
      </c>
      <c r="H548" s="1">
        <v>65916</v>
      </c>
      <c r="I548" s="3" t="s">
        <v>21</v>
      </c>
      <c r="J548" s="4">
        <v>4</v>
      </c>
    </row>
    <row r="549" spans="1:10" x14ac:dyDescent="0.35">
      <c r="A549" s="2" t="s">
        <v>585</v>
      </c>
      <c r="B549" s="4">
        <v>48</v>
      </c>
      <c r="C549" t="s">
        <v>11</v>
      </c>
      <c r="D549" t="s">
        <v>18</v>
      </c>
      <c r="E549" t="s">
        <v>13</v>
      </c>
      <c r="F549" t="s">
        <v>20</v>
      </c>
      <c r="G549" s="4">
        <v>14</v>
      </c>
      <c r="H549" s="1">
        <v>12516</v>
      </c>
      <c r="I549" s="3" t="s">
        <v>15</v>
      </c>
      <c r="J549" s="4">
        <v>2</v>
      </c>
    </row>
    <row r="550" spans="1:10" x14ac:dyDescent="0.35">
      <c r="A550" s="2" t="s">
        <v>586</v>
      </c>
      <c r="B550" s="4">
        <v>35</v>
      </c>
      <c r="C550" t="s">
        <v>11</v>
      </c>
      <c r="D550" t="s">
        <v>36</v>
      </c>
      <c r="E550" t="s">
        <v>37</v>
      </c>
      <c r="F550" t="s">
        <v>20</v>
      </c>
      <c r="G550" s="4">
        <v>11</v>
      </c>
      <c r="H550" s="1">
        <v>30411</v>
      </c>
      <c r="I550" s="3" t="s">
        <v>15</v>
      </c>
      <c r="J550" s="4">
        <v>3</v>
      </c>
    </row>
    <row r="551" spans="1:10" x14ac:dyDescent="0.35">
      <c r="A551" s="2" t="s">
        <v>587</v>
      </c>
      <c r="B551" s="4">
        <v>45</v>
      </c>
      <c r="C551" t="s">
        <v>11</v>
      </c>
      <c r="D551" t="s">
        <v>28</v>
      </c>
      <c r="E551" t="s">
        <v>42</v>
      </c>
      <c r="F551" t="s">
        <v>20</v>
      </c>
      <c r="G551" s="4">
        <v>5</v>
      </c>
      <c r="H551" s="1">
        <v>99135</v>
      </c>
      <c r="I551" s="3" t="s">
        <v>15</v>
      </c>
      <c r="J551" s="4">
        <v>4</v>
      </c>
    </row>
    <row r="552" spans="1:10" x14ac:dyDescent="0.35">
      <c r="A552" s="2" t="s">
        <v>588</v>
      </c>
      <c r="B552" s="4">
        <v>42</v>
      </c>
      <c r="C552" t="s">
        <v>11</v>
      </c>
      <c r="D552" t="s">
        <v>18</v>
      </c>
      <c r="E552" t="s">
        <v>42</v>
      </c>
      <c r="F552" t="s">
        <v>14</v>
      </c>
      <c r="G552" s="4">
        <v>2</v>
      </c>
      <c r="H552" s="1">
        <v>74543</v>
      </c>
      <c r="I552" s="3" t="s">
        <v>15</v>
      </c>
      <c r="J552" s="4">
        <v>1</v>
      </c>
    </row>
    <row r="553" spans="1:10" x14ac:dyDescent="0.35">
      <c r="A553" s="2" t="s">
        <v>589</v>
      </c>
      <c r="B553" s="4">
        <v>14</v>
      </c>
      <c r="C553" t="s">
        <v>11</v>
      </c>
      <c r="D553" t="s">
        <v>12</v>
      </c>
      <c r="E553" t="s">
        <v>27</v>
      </c>
      <c r="F553" t="s">
        <v>30</v>
      </c>
      <c r="G553" s="4">
        <v>6</v>
      </c>
      <c r="H553" s="1">
        <v>42527</v>
      </c>
      <c r="I553" s="3" t="s">
        <v>15</v>
      </c>
      <c r="J553" s="4">
        <v>1</v>
      </c>
    </row>
    <row r="554" spans="1:10" x14ac:dyDescent="0.35">
      <c r="A554" s="2" t="s">
        <v>590</v>
      </c>
      <c r="B554" s="4">
        <v>43</v>
      </c>
      <c r="C554" t="s">
        <v>11</v>
      </c>
      <c r="D554" t="s">
        <v>23</v>
      </c>
      <c r="E554" t="s">
        <v>13</v>
      </c>
      <c r="F554" t="s">
        <v>30</v>
      </c>
      <c r="G554" s="4">
        <v>12</v>
      </c>
      <c r="H554" s="1">
        <v>12786</v>
      </c>
      <c r="I554" s="3" t="s">
        <v>21</v>
      </c>
      <c r="J554" s="4">
        <v>4</v>
      </c>
    </row>
    <row r="555" spans="1:10" x14ac:dyDescent="0.35">
      <c r="A555" s="2" t="s">
        <v>591</v>
      </c>
      <c r="B555" s="4">
        <v>38</v>
      </c>
      <c r="C555" t="s">
        <v>11</v>
      </c>
      <c r="D555" t="s">
        <v>23</v>
      </c>
      <c r="E555" t="s">
        <v>24</v>
      </c>
      <c r="F555" t="s">
        <v>30</v>
      </c>
      <c r="G555" s="4">
        <v>1</v>
      </c>
      <c r="H555" s="1">
        <v>27197</v>
      </c>
      <c r="I555" s="3" t="s">
        <v>21</v>
      </c>
      <c r="J555" s="4">
        <v>5</v>
      </c>
    </row>
    <row r="556" spans="1:10" x14ac:dyDescent="0.35">
      <c r="A556" s="2" t="s">
        <v>592</v>
      </c>
      <c r="B556" s="4">
        <v>31</v>
      </c>
      <c r="C556" t="s">
        <v>17</v>
      </c>
      <c r="D556" t="s">
        <v>33</v>
      </c>
      <c r="E556" t="s">
        <v>29</v>
      </c>
      <c r="F556" t="s">
        <v>20</v>
      </c>
      <c r="G556" s="4">
        <v>6</v>
      </c>
      <c r="H556" s="1">
        <v>75194</v>
      </c>
      <c r="I556" s="3" t="s">
        <v>21</v>
      </c>
      <c r="J556" s="4">
        <v>1</v>
      </c>
    </row>
    <row r="557" spans="1:10" x14ac:dyDescent="0.35">
      <c r="A557" s="2" t="s">
        <v>593</v>
      </c>
      <c r="B557" s="4">
        <v>43</v>
      </c>
      <c r="C557" t="s">
        <v>11</v>
      </c>
      <c r="D557" t="s">
        <v>41</v>
      </c>
      <c r="E557" t="s">
        <v>53</v>
      </c>
      <c r="F557" t="s">
        <v>14</v>
      </c>
      <c r="G557" s="4">
        <v>1</v>
      </c>
      <c r="H557" s="1">
        <v>6642</v>
      </c>
      <c r="I557" s="3" t="s">
        <v>21</v>
      </c>
      <c r="J557" s="4">
        <v>3</v>
      </c>
    </row>
    <row r="558" spans="1:10" x14ac:dyDescent="0.35">
      <c r="A558" s="2" t="s">
        <v>594</v>
      </c>
      <c r="B558" s="4">
        <v>88</v>
      </c>
      <c r="C558" t="s">
        <v>17</v>
      </c>
      <c r="D558" t="s">
        <v>39</v>
      </c>
      <c r="E558" t="s">
        <v>42</v>
      </c>
      <c r="F558" t="s">
        <v>30</v>
      </c>
      <c r="G558" s="4">
        <v>13</v>
      </c>
      <c r="H558" s="1">
        <v>43038</v>
      </c>
      <c r="I558" s="3" t="s">
        <v>15</v>
      </c>
      <c r="J558" s="4">
        <v>5</v>
      </c>
    </row>
    <row r="559" spans="1:10" x14ac:dyDescent="0.35">
      <c r="A559" s="2" t="s">
        <v>595</v>
      </c>
      <c r="B559" s="4">
        <v>7</v>
      </c>
      <c r="C559" t="s">
        <v>11</v>
      </c>
      <c r="D559" t="s">
        <v>23</v>
      </c>
      <c r="E559" t="s">
        <v>19</v>
      </c>
      <c r="F559" t="s">
        <v>14</v>
      </c>
      <c r="G559" s="4">
        <v>3</v>
      </c>
      <c r="H559" s="1">
        <v>37232</v>
      </c>
      <c r="I559" s="3" t="s">
        <v>21</v>
      </c>
      <c r="J559" s="4">
        <v>2</v>
      </c>
    </row>
    <row r="560" spans="1:10" x14ac:dyDescent="0.35">
      <c r="A560" s="2" t="s">
        <v>596</v>
      </c>
      <c r="B560" s="4">
        <v>4</v>
      </c>
      <c r="C560" t="s">
        <v>11</v>
      </c>
      <c r="D560" t="s">
        <v>33</v>
      </c>
      <c r="E560" t="s">
        <v>24</v>
      </c>
      <c r="F560" t="s">
        <v>30</v>
      </c>
      <c r="G560" s="4">
        <v>3</v>
      </c>
      <c r="H560" s="1">
        <v>79512</v>
      </c>
      <c r="I560" s="3" t="s">
        <v>21</v>
      </c>
      <c r="J560" s="4">
        <v>4</v>
      </c>
    </row>
    <row r="561" spans="1:10" x14ac:dyDescent="0.35">
      <c r="A561" s="2" t="s">
        <v>597</v>
      </c>
      <c r="B561" s="4">
        <v>86</v>
      </c>
      <c r="C561" t="s">
        <v>17</v>
      </c>
      <c r="D561" t="s">
        <v>18</v>
      </c>
      <c r="E561" t="s">
        <v>29</v>
      </c>
      <c r="F561" t="s">
        <v>14</v>
      </c>
      <c r="G561" s="4">
        <v>7</v>
      </c>
      <c r="H561" s="1">
        <v>45751</v>
      </c>
      <c r="I561" s="3" t="s">
        <v>15</v>
      </c>
      <c r="J561" s="4">
        <v>4</v>
      </c>
    </row>
    <row r="562" spans="1:10" x14ac:dyDescent="0.35">
      <c r="A562" s="2" t="s">
        <v>598</v>
      </c>
      <c r="B562" s="4">
        <v>44</v>
      </c>
      <c r="C562" t="s">
        <v>11</v>
      </c>
      <c r="D562" t="s">
        <v>33</v>
      </c>
      <c r="E562" t="s">
        <v>53</v>
      </c>
      <c r="F562" t="s">
        <v>14</v>
      </c>
      <c r="G562" s="4">
        <v>10</v>
      </c>
      <c r="H562" s="1">
        <v>33371</v>
      </c>
      <c r="I562" s="3" t="s">
        <v>21</v>
      </c>
      <c r="J562" s="4">
        <v>2</v>
      </c>
    </row>
    <row r="563" spans="1:10" x14ac:dyDescent="0.35">
      <c r="A563" s="2" t="s">
        <v>599</v>
      </c>
      <c r="B563" s="4">
        <v>2</v>
      </c>
      <c r="C563" t="s">
        <v>11</v>
      </c>
      <c r="D563" t="s">
        <v>33</v>
      </c>
      <c r="E563" t="s">
        <v>37</v>
      </c>
      <c r="F563" t="s">
        <v>30</v>
      </c>
      <c r="G563" s="4">
        <v>6</v>
      </c>
      <c r="H563" s="1">
        <v>78187</v>
      </c>
      <c r="I563" s="3" t="s">
        <v>15</v>
      </c>
      <c r="J563" s="4">
        <v>1</v>
      </c>
    </row>
    <row r="564" spans="1:10" x14ac:dyDescent="0.35">
      <c r="A564" s="2" t="s">
        <v>600</v>
      </c>
      <c r="B564" s="4">
        <v>4</v>
      </c>
      <c r="C564" t="s">
        <v>11</v>
      </c>
      <c r="D564" t="s">
        <v>41</v>
      </c>
      <c r="E564" t="s">
        <v>13</v>
      </c>
      <c r="F564" t="s">
        <v>14</v>
      </c>
      <c r="G564" s="4">
        <v>6</v>
      </c>
      <c r="H564" s="1">
        <v>7400</v>
      </c>
      <c r="I564" s="3" t="s">
        <v>21</v>
      </c>
      <c r="J564" s="4">
        <v>5</v>
      </c>
    </row>
    <row r="565" spans="1:10" x14ac:dyDescent="0.35">
      <c r="A565" s="2" t="s">
        <v>601</v>
      </c>
      <c r="B565" s="4">
        <v>69</v>
      </c>
      <c r="C565" t="s">
        <v>17</v>
      </c>
      <c r="D565" t="s">
        <v>23</v>
      </c>
      <c r="E565" t="s">
        <v>34</v>
      </c>
      <c r="F565" t="s">
        <v>14</v>
      </c>
      <c r="G565" s="4">
        <v>15</v>
      </c>
      <c r="H565" s="1">
        <v>99218</v>
      </c>
      <c r="I565" s="3" t="s">
        <v>15</v>
      </c>
      <c r="J565" s="4">
        <v>1</v>
      </c>
    </row>
    <row r="566" spans="1:10" x14ac:dyDescent="0.35">
      <c r="A566" s="2" t="s">
        <v>602</v>
      </c>
      <c r="B566" s="4">
        <v>4</v>
      </c>
      <c r="C566" t="s">
        <v>11</v>
      </c>
      <c r="D566" t="s">
        <v>41</v>
      </c>
      <c r="E566" t="s">
        <v>37</v>
      </c>
      <c r="F566" t="s">
        <v>30</v>
      </c>
      <c r="G566" s="4">
        <v>3</v>
      </c>
      <c r="H566" s="1">
        <v>28231</v>
      </c>
      <c r="I566" s="3" t="s">
        <v>21</v>
      </c>
      <c r="J566" s="4">
        <v>2</v>
      </c>
    </row>
    <row r="567" spans="1:10" x14ac:dyDescent="0.35">
      <c r="A567" s="2" t="s">
        <v>603</v>
      </c>
      <c r="B567" s="4">
        <v>14</v>
      </c>
      <c r="C567" t="s">
        <v>17</v>
      </c>
      <c r="D567" t="s">
        <v>18</v>
      </c>
      <c r="E567" t="s">
        <v>29</v>
      </c>
      <c r="F567" t="s">
        <v>14</v>
      </c>
      <c r="G567" s="4">
        <v>7</v>
      </c>
      <c r="H567" s="1">
        <v>51994</v>
      </c>
      <c r="I567" s="3" t="s">
        <v>21</v>
      </c>
      <c r="J567" s="4">
        <v>3</v>
      </c>
    </row>
    <row r="568" spans="1:10" x14ac:dyDescent="0.35">
      <c r="A568" s="2" t="s">
        <v>604</v>
      </c>
      <c r="B568" s="4">
        <v>60</v>
      </c>
      <c r="C568" t="s">
        <v>17</v>
      </c>
      <c r="D568" t="s">
        <v>49</v>
      </c>
      <c r="E568" t="s">
        <v>13</v>
      </c>
      <c r="F568" t="s">
        <v>14</v>
      </c>
      <c r="G568" s="4">
        <v>13</v>
      </c>
      <c r="H568" s="1">
        <v>69924</v>
      </c>
      <c r="I568" s="3" t="s">
        <v>21</v>
      </c>
      <c r="J568" s="4">
        <v>4</v>
      </c>
    </row>
    <row r="569" spans="1:10" x14ac:dyDescent="0.35">
      <c r="A569" s="2" t="s">
        <v>605</v>
      </c>
      <c r="B569" s="4">
        <v>68</v>
      </c>
      <c r="C569" t="s">
        <v>17</v>
      </c>
      <c r="D569" t="s">
        <v>23</v>
      </c>
      <c r="E569" t="s">
        <v>29</v>
      </c>
      <c r="F569" t="s">
        <v>14</v>
      </c>
      <c r="G569" s="4">
        <v>4</v>
      </c>
      <c r="H569" s="1">
        <v>74906</v>
      </c>
      <c r="I569" s="3" t="s">
        <v>21</v>
      </c>
      <c r="J569" s="4">
        <v>4</v>
      </c>
    </row>
    <row r="570" spans="1:10" x14ac:dyDescent="0.35">
      <c r="A570" s="2" t="s">
        <v>606</v>
      </c>
      <c r="B570" s="4">
        <v>63</v>
      </c>
      <c r="C570" t="s">
        <v>11</v>
      </c>
      <c r="D570" t="s">
        <v>41</v>
      </c>
      <c r="E570" t="s">
        <v>13</v>
      </c>
      <c r="F570" t="s">
        <v>30</v>
      </c>
      <c r="G570" s="4">
        <v>10</v>
      </c>
      <c r="H570" s="1">
        <v>11158</v>
      </c>
      <c r="I570" s="3" t="s">
        <v>21</v>
      </c>
      <c r="J570" s="4">
        <v>4</v>
      </c>
    </row>
    <row r="571" spans="1:10" x14ac:dyDescent="0.35">
      <c r="A571" s="2" t="s">
        <v>607</v>
      </c>
      <c r="B571" s="4">
        <v>62</v>
      </c>
      <c r="C571" t="s">
        <v>11</v>
      </c>
      <c r="D571" t="s">
        <v>33</v>
      </c>
      <c r="E571" t="s">
        <v>65</v>
      </c>
      <c r="F571" t="s">
        <v>30</v>
      </c>
      <c r="G571" s="4">
        <v>3</v>
      </c>
      <c r="H571" s="1">
        <v>71441</v>
      </c>
      <c r="I571" s="3" t="s">
        <v>15</v>
      </c>
      <c r="J571" s="4">
        <v>1</v>
      </c>
    </row>
    <row r="572" spans="1:10" x14ac:dyDescent="0.35">
      <c r="A572" s="2" t="s">
        <v>608</v>
      </c>
      <c r="B572" s="4">
        <v>81</v>
      </c>
      <c r="C572" t="s">
        <v>17</v>
      </c>
      <c r="D572" t="s">
        <v>39</v>
      </c>
      <c r="E572" t="s">
        <v>24</v>
      </c>
      <c r="F572" t="s">
        <v>20</v>
      </c>
      <c r="G572" s="4">
        <v>10</v>
      </c>
      <c r="H572" s="1">
        <v>33592</v>
      </c>
      <c r="I572" s="3" t="s">
        <v>21</v>
      </c>
      <c r="J572" s="4">
        <v>5</v>
      </c>
    </row>
    <row r="573" spans="1:10" x14ac:dyDescent="0.35">
      <c r="A573" s="2" t="s">
        <v>609</v>
      </c>
      <c r="B573" s="4">
        <v>62</v>
      </c>
      <c r="C573" t="s">
        <v>11</v>
      </c>
      <c r="D573" t="s">
        <v>39</v>
      </c>
      <c r="E573" t="s">
        <v>65</v>
      </c>
      <c r="F573" t="s">
        <v>14</v>
      </c>
      <c r="G573" s="4">
        <v>4</v>
      </c>
      <c r="H573" s="1">
        <v>11958</v>
      </c>
      <c r="I573" s="3" t="s">
        <v>21</v>
      </c>
      <c r="J573" s="4">
        <v>4</v>
      </c>
    </row>
    <row r="574" spans="1:10" x14ac:dyDescent="0.35">
      <c r="A574" s="2" t="s">
        <v>610</v>
      </c>
      <c r="B574" s="4">
        <v>51</v>
      </c>
      <c r="C574" t="s">
        <v>11</v>
      </c>
      <c r="D574" t="s">
        <v>49</v>
      </c>
      <c r="E574" t="s">
        <v>65</v>
      </c>
      <c r="F574" t="s">
        <v>20</v>
      </c>
      <c r="G574" s="4">
        <v>3</v>
      </c>
      <c r="H574" s="1">
        <v>40989</v>
      </c>
      <c r="I574" s="3" t="s">
        <v>15</v>
      </c>
      <c r="J574" s="4">
        <v>4</v>
      </c>
    </row>
    <row r="575" spans="1:10" x14ac:dyDescent="0.35">
      <c r="A575" s="2" t="s">
        <v>611</v>
      </c>
      <c r="B575" s="4">
        <v>8</v>
      </c>
      <c r="C575" t="s">
        <v>11</v>
      </c>
      <c r="D575" t="s">
        <v>18</v>
      </c>
      <c r="E575" t="s">
        <v>27</v>
      </c>
      <c r="F575" t="s">
        <v>20</v>
      </c>
      <c r="G575" s="4">
        <v>12</v>
      </c>
      <c r="H575" s="1">
        <v>90585</v>
      </c>
      <c r="I575" s="3" t="s">
        <v>21</v>
      </c>
      <c r="J575" s="4">
        <v>1</v>
      </c>
    </row>
    <row r="576" spans="1:10" x14ac:dyDescent="0.35">
      <c r="A576" s="2" t="s">
        <v>612</v>
      </c>
      <c r="B576" s="4">
        <v>7</v>
      </c>
      <c r="C576" t="s">
        <v>17</v>
      </c>
      <c r="D576" t="s">
        <v>23</v>
      </c>
      <c r="E576" t="s">
        <v>37</v>
      </c>
      <c r="F576" t="s">
        <v>20</v>
      </c>
      <c r="G576" s="4">
        <v>10</v>
      </c>
      <c r="H576" s="1">
        <v>32738</v>
      </c>
      <c r="I576" s="3" t="s">
        <v>15</v>
      </c>
      <c r="J576" s="4">
        <v>4</v>
      </c>
    </row>
    <row r="577" spans="1:10" x14ac:dyDescent="0.35">
      <c r="A577" s="2" t="s">
        <v>613</v>
      </c>
      <c r="B577" s="4">
        <v>18</v>
      </c>
      <c r="C577" t="s">
        <v>17</v>
      </c>
      <c r="D577" t="s">
        <v>39</v>
      </c>
      <c r="E577" t="s">
        <v>19</v>
      </c>
      <c r="F577" t="s">
        <v>30</v>
      </c>
      <c r="G577" s="4">
        <v>5</v>
      </c>
      <c r="H577" s="1">
        <v>93713</v>
      </c>
      <c r="I577" s="3" t="s">
        <v>21</v>
      </c>
      <c r="J577" s="4">
        <v>1</v>
      </c>
    </row>
    <row r="578" spans="1:10" x14ac:dyDescent="0.35">
      <c r="A578" s="2" t="s">
        <v>614</v>
      </c>
      <c r="B578" s="4">
        <v>64</v>
      </c>
      <c r="C578" t="s">
        <v>17</v>
      </c>
      <c r="D578" t="s">
        <v>28</v>
      </c>
      <c r="E578" t="s">
        <v>24</v>
      </c>
      <c r="F578" t="s">
        <v>30</v>
      </c>
      <c r="G578" s="4">
        <v>2</v>
      </c>
      <c r="H578" s="1">
        <v>29191</v>
      </c>
      <c r="I578" s="3" t="s">
        <v>15</v>
      </c>
      <c r="J578" s="4">
        <v>2</v>
      </c>
    </row>
    <row r="579" spans="1:10" x14ac:dyDescent="0.35">
      <c r="A579" s="2" t="s">
        <v>615</v>
      </c>
      <c r="B579" s="4">
        <v>7</v>
      </c>
      <c r="C579" t="s">
        <v>17</v>
      </c>
      <c r="D579" t="s">
        <v>36</v>
      </c>
      <c r="E579" t="s">
        <v>13</v>
      </c>
      <c r="F579" t="s">
        <v>20</v>
      </c>
      <c r="G579" s="4">
        <v>5</v>
      </c>
      <c r="H579" s="1">
        <v>66882</v>
      </c>
      <c r="I579" s="3" t="s">
        <v>21</v>
      </c>
      <c r="J579" s="4">
        <v>2</v>
      </c>
    </row>
    <row r="580" spans="1:10" x14ac:dyDescent="0.35">
      <c r="A580" s="2" t="s">
        <v>616</v>
      </c>
      <c r="B580" s="4">
        <v>67</v>
      </c>
      <c r="C580" t="s">
        <v>17</v>
      </c>
      <c r="D580" t="s">
        <v>41</v>
      </c>
      <c r="E580" t="s">
        <v>19</v>
      </c>
      <c r="F580" t="s">
        <v>20</v>
      </c>
      <c r="G580" s="4">
        <v>12</v>
      </c>
      <c r="H580" s="1">
        <v>23091</v>
      </c>
      <c r="I580" s="3" t="s">
        <v>15</v>
      </c>
      <c r="J580" s="4">
        <v>3</v>
      </c>
    </row>
    <row r="581" spans="1:10" x14ac:dyDescent="0.35">
      <c r="A581" s="2" t="s">
        <v>617</v>
      </c>
      <c r="B581" s="4">
        <v>57</v>
      </c>
      <c r="C581" t="s">
        <v>11</v>
      </c>
      <c r="D581" t="s">
        <v>28</v>
      </c>
      <c r="E581" t="s">
        <v>65</v>
      </c>
      <c r="F581" t="s">
        <v>30</v>
      </c>
      <c r="G581" s="4">
        <v>13</v>
      </c>
      <c r="H581" s="1">
        <v>69513</v>
      </c>
      <c r="I581" s="3" t="s">
        <v>21</v>
      </c>
      <c r="J581" s="4">
        <v>5</v>
      </c>
    </row>
    <row r="582" spans="1:10" x14ac:dyDescent="0.35">
      <c r="A582" s="2" t="s">
        <v>618</v>
      </c>
      <c r="B582" s="4">
        <v>5</v>
      </c>
      <c r="C582" t="s">
        <v>11</v>
      </c>
      <c r="D582" t="s">
        <v>12</v>
      </c>
      <c r="E582" t="s">
        <v>29</v>
      </c>
      <c r="F582" t="s">
        <v>30</v>
      </c>
      <c r="G582" s="4">
        <v>9</v>
      </c>
      <c r="H582" s="1">
        <v>94910</v>
      </c>
      <c r="I582" s="3" t="s">
        <v>21</v>
      </c>
      <c r="J582" s="4">
        <v>4</v>
      </c>
    </row>
    <row r="583" spans="1:10" x14ac:dyDescent="0.35">
      <c r="A583" s="2" t="s">
        <v>619</v>
      </c>
      <c r="B583" s="4">
        <v>70</v>
      </c>
      <c r="C583" t="s">
        <v>11</v>
      </c>
      <c r="D583" t="s">
        <v>18</v>
      </c>
      <c r="E583" t="s">
        <v>29</v>
      </c>
      <c r="F583" t="s">
        <v>14</v>
      </c>
      <c r="G583" s="4">
        <v>9</v>
      </c>
      <c r="H583" s="1">
        <v>28662</v>
      </c>
      <c r="I583" s="3" t="s">
        <v>15</v>
      </c>
      <c r="J583" s="4">
        <v>5</v>
      </c>
    </row>
    <row r="584" spans="1:10" x14ac:dyDescent="0.35">
      <c r="A584" s="2" t="s">
        <v>620</v>
      </c>
      <c r="B584" s="4">
        <v>28</v>
      </c>
      <c r="C584" t="s">
        <v>11</v>
      </c>
      <c r="D584" t="s">
        <v>28</v>
      </c>
      <c r="E584" t="s">
        <v>65</v>
      </c>
      <c r="F584" t="s">
        <v>14</v>
      </c>
      <c r="G584" s="4">
        <v>14</v>
      </c>
      <c r="H584" s="1">
        <v>90346</v>
      </c>
      <c r="I584" s="3" t="s">
        <v>21</v>
      </c>
      <c r="J584" s="4">
        <v>3</v>
      </c>
    </row>
    <row r="585" spans="1:10" x14ac:dyDescent="0.35">
      <c r="A585" s="2" t="s">
        <v>621</v>
      </c>
      <c r="B585" s="4">
        <v>34</v>
      </c>
      <c r="C585" t="s">
        <v>11</v>
      </c>
      <c r="D585" t="s">
        <v>39</v>
      </c>
      <c r="E585" t="s">
        <v>13</v>
      </c>
      <c r="F585" t="s">
        <v>20</v>
      </c>
      <c r="G585" s="4">
        <v>15</v>
      </c>
      <c r="H585" s="1">
        <v>26442</v>
      </c>
      <c r="I585" s="3" t="s">
        <v>15</v>
      </c>
      <c r="J585" s="4">
        <v>1</v>
      </c>
    </row>
    <row r="586" spans="1:10" x14ac:dyDescent="0.35">
      <c r="A586" s="2" t="s">
        <v>622</v>
      </c>
      <c r="B586" s="4">
        <v>76</v>
      </c>
      <c r="C586" t="s">
        <v>17</v>
      </c>
      <c r="D586" t="s">
        <v>23</v>
      </c>
      <c r="E586" t="s">
        <v>42</v>
      </c>
      <c r="F586" t="s">
        <v>20</v>
      </c>
      <c r="G586" s="4">
        <v>8</v>
      </c>
      <c r="H586" s="1">
        <v>29539</v>
      </c>
      <c r="I586" s="3" t="s">
        <v>15</v>
      </c>
      <c r="J586" s="4">
        <v>2</v>
      </c>
    </row>
    <row r="587" spans="1:10" x14ac:dyDescent="0.35">
      <c r="A587" s="2" t="s">
        <v>623</v>
      </c>
      <c r="B587" s="4">
        <v>83</v>
      </c>
      <c r="C587" t="s">
        <v>17</v>
      </c>
      <c r="D587" t="s">
        <v>41</v>
      </c>
      <c r="E587" t="s">
        <v>19</v>
      </c>
      <c r="F587" t="s">
        <v>30</v>
      </c>
      <c r="G587" s="4">
        <v>8</v>
      </c>
      <c r="H587" s="1">
        <v>97408</v>
      </c>
      <c r="I587" s="3" t="s">
        <v>15</v>
      </c>
      <c r="J587" s="4">
        <v>5</v>
      </c>
    </row>
    <row r="588" spans="1:10" x14ac:dyDescent="0.35">
      <c r="A588" s="2" t="s">
        <v>624</v>
      </c>
      <c r="B588" s="4">
        <v>43</v>
      </c>
      <c r="C588" t="s">
        <v>17</v>
      </c>
      <c r="D588" t="s">
        <v>36</v>
      </c>
      <c r="E588" t="s">
        <v>53</v>
      </c>
      <c r="F588" t="s">
        <v>14</v>
      </c>
      <c r="G588" s="4">
        <v>1</v>
      </c>
      <c r="H588" s="1">
        <v>85554</v>
      </c>
      <c r="I588" s="3" t="s">
        <v>21</v>
      </c>
      <c r="J588" s="4">
        <v>2</v>
      </c>
    </row>
    <row r="589" spans="1:10" x14ac:dyDescent="0.35">
      <c r="A589" s="2" t="s">
        <v>625</v>
      </c>
      <c r="B589" s="4">
        <v>89</v>
      </c>
      <c r="C589" t="s">
        <v>11</v>
      </c>
      <c r="D589" t="s">
        <v>33</v>
      </c>
      <c r="E589" t="s">
        <v>37</v>
      </c>
      <c r="F589" t="s">
        <v>14</v>
      </c>
      <c r="G589" s="4">
        <v>4</v>
      </c>
      <c r="H589" s="1">
        <v>95064</v>
      </c>
      <c r="I589" s="3" t="s">
        <v>21</v>
      </c>
      <c r="J589" s="4">
        <v>4</v>
      </c>
    </row>
    <row r="590" spans="1:10" x14ac:dyDescent="0.35">
      <c r="A590" s="2" t="s">
        <v>626</v>
      </c>
      <c r="B590" s="4">
        <v>73</v>
      </c>
      <c r="C590" t="s">
        <v>11</v>
      </c>
      <c r="D590" t="s">
        <v>49</v>
      </c>
      <c r="E590" t="s">
        <v>42</v>
      </c>
      <c r="F590" t="s">
        <v>30</v>
      </c>
      <c r="G590" s="4">
        <v>7</v>
      </c>
      <c r="H590" s="1">
        <v>87789</v>
      </c>
      <c r="I590" s="3" t="s">
        <v>15</v>
      </c>
      <c r="J590" s="4">
        <v>1</v>
      </c>
    </row>
    <row r="591" spans="1:10" x14ac:dyDescent="0.35">
      <c r="A591" s="2" t="s">
        <v>627</v>
      </c>
      <c r="B591" s="4">
        <v>3</v>
      </c>
      <c r="C591" t="s">
        <v>11</v>
      </c>
      <c r="D591" t="s">
        <v>23</v>
      </c>
      <c r="E591" t="s">
        <v>19</v>
      </c>
      <c r="F591" t="s">
        <v>14</v>
      </c>
      <c r="G591" s="4">
        <v>15</v>
      </c>
      <c r="H591" s="1">
        <v>53442</v>
      </c>
      <c r="I591" s="3" t="s">
        <v>15</v>
      </c>
      <c r="J591" s="4">
        <v>3</v>
      </c>
    </row>
    <row r="592" spans="1:10" x14ac:dyDescent="0.35">
      <c r="A592" s="2" t="s">
        <v>628</v>
      </c>
      <c r="B592" s="4">
        <v>1</v>
      </c>
      <c r="C592" t="s">
        <v>17</v>
      </c>
      <c r="D592" t="s">
        <v>39</v>
      </c>
      <c r="E592" t="s">
        <v>29</v>
      </c>
      <c r="F592" t="s">
        <v>14</v>
      </c>
      <c r="G592" s="4">
        <v>5</v>
      </c>
      <c r="H592" s="1">
        <v>63780</v>
      </c>
      <c r="I592" s="3" t="s">
        <v>15</v>
      </c>
      <c r="J592" s="4">
        <v>1</v>
      </c>
    </row>
    <row r="593" spans="1:10" x14ac:dyDescent="0.35">
      <c r="A593" s="2" t="s">
        <v>629</v>
      </c>
      <c r="B593" s="4">
        <v>67</v>
      </c>
      <c r="C593" t="s">
        <v>11</v>
      </c>
      <c r="D593" t="s">
        <v>23</v>
      </c>
      <c r="E593" t="s">
        <v>19</v>
      </c>
      <c r="F593" t="s">
        <v>14</v>
      </c>
      <c r="G593" s="4">
        <v>12</v>
      </c>
      <c r="H593" s="1">
        <v>47148</v>
      </c>
      <c r="I593" s="3" t="s">
        <v>15</v>
      </c>
      <c r="J593" s="4">
        <v>3</v>
      </c>
    </row>
    <row r="594" spans="1:10" x14ac:dyDescent="0.35">
      <c r="A594" s="2" t="s">
        <v>630</v>
      </c>
      <c r="B594" s="4">
        <v>80</v>
      </c>
      <c r="C594" t="s">
        <v>11</v>
      </c>
      <c r="D594" t="s">
        <v>39</v>
      </c>
      <c r="E594" t="s">
        <v>13</v>
      </c>
      <c r="F594" t="s">
        <v>14</v>
      </c>
      <c r="G594" s="4">
        <v>8</v>
      </c>
      <c r="H594" s="1">
        <v>45638</v>
      </c>
      <c r="I594" s="3" t="s">
        <v>15</v>
      </c>
      <c r="J594" s="4">
        <v>2</v>
      </c>
    </row>
    <row r="595" spans="1:10" x14ac:dyDescent="0.35">
      <c r="A595" s="2" t="s">
        <v>631</v>
      </c>
      <c r="B595" s="4">
        <v>70</v>
      </c>
      <c r="C595" t="s">
        <v>11</v>
      </c>
      <c r="D595" t="s">
        <v>18</v>
      </c>
      <c r="E595" t="s">
        <v>37</v>
      </c>
      <c r="F595" t="s">
        <v>30</v>
      </c>
      <c r="G595" s="4">
        <v>4</v>
      </c>
      <c r="H595" s="1">
        <v>43735</v>
      </c>
      <c r="I595" s="3" t="s">
        <v>21</v>
      </c>
      <c r="J595" s="4">
        <v>1</v>
      </c>
    </row>
    <row r="596" spans="1:10" x14ac:dyDescent="0.35">
      <c r="A596" s="2" t="s">
        <v>632</v>
      </c>
      <c r="B596" s="4">
        <v>42</v>
      </c>
      <c r="C596" t="s">
        <v>17</v>
      </c>
      <c r="D596" t="s">
        <v>26</v>
      </c>
      <c r="E596" t="s">
        <v>65</v>
      </c>
      <c r="F596" t="s">
        <v>20</v>
      </c>
      <c r="G596" s="4">
        <v>14</v>
      </c>
      <c r="H596" s="1">
        <v>41723</v>
      </c>
      <c r="I596" s="3" t="s">
        <v>21</v>
      </c>
      <c r="J596" s="4">
        <v>4</v>
      </c>
    </row>
    <row r="597" spans="1:10" x14ac:dyDescent="0.35">
      <c r="A597" s="2" t="s">
        <v>633</v>
      </c>
      <c r="B597" s="4">
        <v>33</v>
      </c>
      <c r="C597" t="s">
        <v>11</v>
      </c>
      <c r="D597" t="s">
        <v>28</v>
      </c>
      <c r="E597" t="s">
        <v>29</v>
      </c>
      <c r="F597" t="s">
        <v>14</v>
      </c>
      <c r="G597" s="4">
        <v>8</v>
      </c>
      <c r="H597" s="1">
        <v>36199</v>
      </c>
      <c r="I597" s="3" t="s">
        <v>21</v>
      </c>
      <c r="J597" s="4">
        <v>5</v>
      </c>
    </row>
    <row r="598" spans="1:10" x14ac:dyDescent="0.35">
      <c r="A598" s="2" t="s">
        <v>634</v>
      </c>
      <c r="B598" s="4">
        <v>25</v>
      </c>
      <c r="C598" t="s">
        <v>11</v>
      </c>
      <c r="D598" t="s">
        <v>23</v>
      </c>
      <c r="E598" t="s">
        <v>24</v>
      </c>
      <c r="F598" t="s">
        <v>14</v>
      </c>
      <c r="G598" s="4">
        <v>3</v>
      </c>
      <c r="H598" s="1">
        <v>99359</v>
      </c>
      <c r="I598" s="3" t="s">
        <v>21</v>
      </c>
      <c r="J598" s="4">
        <v>4</v>
      </c>
    </row>
    <row r="599" spans="1:10" x14ac:dyDescent="0.35">
      <c r="A599" s="2" t="s">
        <v>635</v>
      </c>
      <c r="B599" s="4">
        <v>30</v>
      </c>
      <c r="C599" t="s">
        <v>17</v>
      </c>
      <c r="D599" t="s">
        <v>26</v>
      </c>
      <c r="E599" t="s">
        <v>24</v>
      </c>
      <c r="F599" t="s">
        <v>14</v>
      </c>
      <c r="G599" s="4">
        <v>6</v>
      </c>
      <c r="H599" s="1">
        <v>6676</v>
      </c>
      <c r="I599" s="3" t="s">
        <v>21</v>
      </c>
      <c r="J599" s="4">
        <v>2</v>
      </c>
    </row>
    <row r="600" spans="1:10" x14ac:dyDescent="0.35">
      <c r="A600" s="2" t="s">
        <v>636</v>
      </c>
      <c r="B600" s="4">
        <v>43</v>
      </c>
      <c r="C600" t="s">
        <v>11</v>
      </c>
      <c r="D600" t="s">
        <v>41</v>
      </c>
      <c r="E600" t="s">
        <v>24</v>
      </c>
      <c r="F600" t="s">
        <v>14</v>
      </c>
      <c r="G600" s="4">
        <v>12</v>
      </c>
      <c r="H600" s="1">
        <v>72610</v>
      </c>
      <c r="I600" s="3" t="s">
        <v>15</v>
      </c>
      <c r="J600" s="4">
        <v>4</v>
      </c>
    </row>
    <row r="601" spans="1:10" x14ac:dyDescent="0.35">
      <c r="A601" s="2" t="s">
        <v>637</v>
      </c>
      <c r="B601" s="4">
        <v>55</v>
      </c>
      <c r="C601" t="s">
        <v>17</v>
      </c>
      <c r="D601" t="s">
        <v>18</v>
      </c>
      <c r="E601" t="s">
        <v>27</v>
      </c>
      <c r="F601" t="s">
        <v>20</v>
      </c>
      <c r="G601" s="4">
        <v>12</v>
      </c>
      <c r="H601" s="1">
        <v>18934</v>
      </c>
      <c r="I601" s="3" t="s">
        <v>21</v>
      </c>
      <c r="J601" s="4">
        <v>2</v>
      </c>
    </row>
    <row r="602" spans="1:10" x14ac:dyDescent="0.35">
      <c r="A602" s="2" t="s">
        <v>638</v>
      </c>
      <c r="B602" s="4">
        <v>67</v>
      </c>
      <c r="C602" t="s">
        <v>11</v>
      </c>
      <c r="D602" t="s">
        <v>39</v>
      </c>
      <c r="E602" t="s">
        <v>13</v>
      </c>
      <c r="F602" t="s">
        <v>30</v>
      </c>
      <c r="G602" s="4">
        <v>11</v>
      </c>
      <c r="H602" s="1">
        <v>16128</v>
      </c>
      <c r="I602" s="3" t="s">
        <v>15</v>
      </c>
      <c r="J602" s="4">
        <v>3</v>
      </c>
    </row>
    <row r="603" spans="1:10" x14ac:dyDescent="0.35">
      <c r="A603" s="2" t="s">
        <v>639</v>
      </c>
      <c r="B603" s="4">
        <v>44</v>
      </c>
      <c r="C603" t="s">
        <v>17</v>
      </c>
      <c r="D603" t="s">
        <v>33</v>
      </c>
      <c r="E603" t="s">
        <v>65</v>
      </c>
      <c r="F603" t="s">
        <v>30</v>
      </c>
      <c r="G603" s="4">
        <v>12</v>
      </c>
      <c r="H603" s="1">
        <v>31144</v>
      </c>
      <c r="I603" s="3" t="s">
        <v>21</v>
      </c>
      <c r="J603" s="4">
        <v>3</v>
      </c>
    </row>
    <row r="604" spans="1:10" x14ac:dyDescent="0.35">
      <c r="A604" s="2" t="s">
        <v>640</v>
      </c>
      <c r="B604" s="4">
        <v>49</v>
      </c>
      <c r="C604" t="s">
        <v>11</v>
      </c>
      <c r="D604" t="s">
        <v>36</v>
      </c>
      <c r="E604" t="s">
        <v>13</v>
      </c>
      <c r="F604" t="s">
        <v>20</v>
      </c>
      <c r="G604" s="4">
        <v>4</v>
      </c>
      <c r="H604" s="1">
        <v>63688</v>
      </c>
      <c r="I604" s="3" t="s">
        <v>21</v>
      </c>
      <c r="J604" s="4">
        <v>2</v>
      </c>
    </row>
    <row r="605" spans="1:10" x14ac:dyDescent="0.35">
      <c r="A605" s="2" t="s">
        <v>641</v>
      </c>
      <c r="B605" s="4">
        <v>43</v>
      </c>
      <c r="C605" t="s">
        <v>17</v>
      </c>
      <c r="D605" t="s">
        <v>41</v>
      </c>
      <c r="E605" t="s">
        <v>13</v>
      </c>
      <c r="F605" t="s">
        <v>14</v>
      </c>
      <c r="G605" s="4">
        <v>14</v>
      </c>
      <c r="H605" s="1">
        <v>12423</v>
      </c>
      <c r="I605" s="3" t="s">
        <v>15</v>
      </c>
      <c r="J605" s="4">
        <v>5</v>
      </c>
    </row>
    <row r="606" spans="1:10" x14ac:dyDescent="0.35">
      <c r="A606" s="2" t="s">
        <v>642</v>
      </c>
      <c r="B606" s="4">
        <v>36</v>
      </c>
      <c r="C606" t="s">
        <v>17</v>
      </c>
      <c r="D606" t="s">
        <v>12</v>
      </c>
      <c r="E606" t="s">
        <v>37</v>
      </c>
      <c r="F606" t="s">
        <v>14</v>
      </c>
      <c r="G606" s="4">
        <v>9</v>
      </c>
      <c r="H606" s="1">
        <v>37855</v>
      </c>
      <c r="I606" s="3" t="s">
        <v>21</v>
      </c>
      <c r="J606" s="4">
        <v>5</v>
      </c>
    </row>
    <row r="607" spans="1:10" x14ac:dyDescent="0.35">
      <c r="A607" s="2" t="s">
        <v>643</v>
      </c>
      <c r="B607" s="4">
        <v>16</v>
      </c>
      <c r="C607" t="s">
        <v>11</v>
      </c>
      <c r="D607" t="s">
        <v>39</v>
      </c>
      <c r="E607" t="s">
        <v>42</v>
      </c>
      <c r="F607" t="s">
        <v>20</v>
      </c>
      <c r="G607" s="4">
        <v>9</v>
      </c>
      <c r="H607" s="1">
        <v>60221</v>
      </c>
      <c r="I607" s="3" t="s">
        <v>15</v>
      </c>
      <c r="J607" s="4">
        <v>2</v>
      </c>
    </row>
    <row r="608" spans="1:10" x14ac:dyDescent="0.35">
      <c r="A608" s="2" t="s">
        <v>644</v>
      </c>
      <c r="B608" s="4">
        <v>90</v>
      </c>
      <c r="C608" t="s">
        <v>17</v>
      </c>
      <c r="D608" t="s">
        <v>36</v>
      </c>
      <c r="E608" t="s">
        <v>24</v>
      </c>
      <c r="F608" t="s">
        <v>14</v>
      </c>
      <c r="G608" s="4">
        <v>13</v>
      </c>
      <c r="H608" s="1">
        <v>26815</v>
      </c>
      <c r="I608" s="3" t="s">
        <v>15</v>
      </c>
      <c r="J608" s="4">
        <v>1</v>
      </c>
    </row>
    <row r="609" spans="1:10" x14ac:dyDescent="0.35">
      <c r="A609" s="2" t="s">
        <v>645</v>
      </c>
      <c r="B609" s="4">
        <v>47</v>
      </c>
      <c r="C609" t="s">
        <v>17</v>
      </c>
      <c r="D609" t="s">
        <v>12</v>
      </c>
      <c r="E609" t="s">
        <v>13</v>
      </c>
      <c r="F609" t="s">
        <v>30</v>
      </c>
      <c r="G609" s="4">
        <v>4</v>
      </c>
      <c r="H609" s="1">
        <v>72777</v>
      </c>
      <c r="I609" s="3" t="s">
        <v>21</v>
      </c>
      <c r="J609" s="4">
        <v>4</v>
      </c>
    </row>
    <row r="610" spans="1:10" x14ac:dyDescent="0.35">
      <c r="A610" s="2" t="s">
        <v>646</v>
      </c>
      <c r="B610" s="4">
        <v>12</v>
      </c>
      <c r="C610" t="s">
        <v>11</v>
      </c>
      <c r="D610" t="s">
        <v>49</v>
      </c>
      <c r="E610" t="s">
        <v>27</v>
      </c>
      <c r="F610" t="s">
        <v>20</v>
      </c>
      <c r="G610" s="4">
        <v>13</v>
      </c>
      <c r="H610" s="1">
        <v>58210</v>
      </c>
      <c r="I610" s="3" t="s">
        <v>15</v>
      </c>
      <c r="J610" s="4">
        <v>4</v>
      </c>
    </row>
    <row r="611" spans="1:10" x14ac:dyDescent="0.35">
      <c r="A611" s="2" t="s">
        <v>647</v>
      </c>
      <c r="B611" s="4">
        <v>13</v>
      </c>
      <c r="C611" t="s">
        <v>11</v>
      </c>
      <c r="D611" t="s">
        <v>49</v>
      </c>
      <c r="E611" t="s">
        <v>24</v>
      </c>
      <c r="F611" t="s">
        <v>30</v>
      </c>
      <c r="G611" s="4">
        <v>5</v>
      </c>
      <c r="H611" s="1">
        <v>70356</v>
      </c>
      <c r="I611" s="3" t="s">
        <v>15</v>
      </c>
      <c r="J611" s="4">
        <v>3</v>
      </c>
    </row>
    <row r="612" spans="1:10" x14ac:dyDescent="0.35">
      <c r="A612" s="2" t="s">
        <v>648</v>
      </c>
      <c r="B612" s="4">
        <v>45</v>
      </c>
      <c r="C612" t="s">
        <v>11</v>
      </c>
      <c r="D612" t="s">
        <v>18</v>
      </c>
      <c r="E612" t="s">
        <v>34</v>
      </c>
      <c r="F612" t="s">
        <v>14</v>
      </c>
      <c r="G612" s="4">
        <v>14</v>
      </c>
      <c r="H612" s="1">
        <v>58091</v>
      </c>
      <c r="I612" s="3" t="s">
        <v>15</v>
      </c>
      <c r="J612" s="4">
        <v>4</v>
      </c>
    </row>
    <row r="613" spans="1:10" x14ac:dyDescent="0.35">
      <c r="A613" s="2" t="s">
        <v>649</v>
      </c>
      <c r="B613" s="4">
        <v>5</v>
      </c>
      <c r="C613" t="s">
        <v>11</v>
      </c>
      <c r="D613" t="s">
        <v>28</v>
      </c>
      <c r="E613" t="s">
        <v>27</v>
      </c>
      <c r="F613" t="s">
        <v>30</v>
      </c>
      <c r="G613" s="4">
        <v>6</v>
      </c>
      <c r="H613" s="1">
        <v>28998</v>
      </c>
      <c r="I613" s="3" t="s">
        <v>15</v>
      </c>
      <c r="J613" s="4">
        <v>1</v>
      </c>
    </row>
    <row r="614" spans="1:10" x14ac:dyDescent="0.35">
      <c r="A614" s="2" t="s">
        <v>650</v>
      </c>
      <c r="B614" s="4">
        <v>46</v>
      </c>
      <c r="C614" t="s">
        <v>17</v>
      </c>
      <c r="D614" t="s">
        <v>39</v>
      </c>
      <c r="E614" t="s">
        <v>34</v>
      </c>
      <c r="F614" t="s">
        <v>14</v>
      </c>
      <c r="G614" s="4">
        <v>1</v>
      </c>
      <c r="H614" s="1">
        <v>19603</v>
      </c>
      <c r="I614" s="3" t="s">
        <v>21</v>
      </c>
      <c r="J614" s="4">
        <v>5</v>
      </c>
    </row>
    <row r="615" spans="1:10" x14ac:dyDescent="0.35">
      <c r="A615" s="2" t="s">
        <v>651</v>
      </c>
      <c r="B615" s="4">
        <v>89</v>
      </c>
      <c r="C615" t="s">
        <v>17</v>
      </c>
      <c r="D615" t="s">
        <v>39</v>
      </c>
      <c r="E615" t="s">
        <v>42</v>
      </c>
      <c r="F615" t="s">
        <v>30</v>
      </c>
      <c r="G615" s="4">
        <v>3</v>
      </c>
      <c r="H615" s="1">
        <v>50540</v>
      </c>
      <c r="I615" s="3" t="s">
        <v>21</v>
      </c>
      <c r="J615" s="4">
        <v>5</v>
      </c>
    </row>
    <row r="616" spans="1:10" x14ac:dyDescent="0.35">
      <c r="A616" s="2" t="s">
        <v>652</v>
      </c>
      <c r="B616" s="4">
        <v>11</v>
      </c>
      <c r="C616" t="s">
        <v>17</v>
      </c>
      <c r="D616" t="s">
        <v>12</v>
      </c>
      <c r="E616" t="s">
        <v>27</v>
      </c>
      <c r="F616" t="s">
        <v>20</v>
      </c>
      <c r="G616" s="4">
        <v>2</v>
      </c>
      <c r="H616" s="1">
        <v>15975</v>
      </c>
      <c r="I616" s="3" t="s">
        <v>15</v>
      </c>
      <c r="J616" s="4">
        <v>4</v>
      </c>
    </row>
    <row r="617" spans="1:10" x14ac:dyDescent="0.35">
      <c r="A617" s="2" t="s">
        <v>653</v>
      </c>
      <c r="B617" s="4">
        <v>47</v>
      </c>
      <c r="C617" t="s">
        <v>11</v>
      </c>
      <c r="D617" t="s">
        <v>26</v>
      </c>
      <c r="E617" t="s">
        <v>13</v>
      </c>
      <c r="F617" t="s">
        <v>20</v>
      </c>
      <c r="G617" s="4">
        <v>6</v>
      </c>
      <c r="H617" s="1">
        <v>30732</v>
      </c>
      <c r="I617" s="3" t="s">
        <v>21</v>
      </c>
      <c r="J617" s="4">
        <v>5</v>
      </c>
    </row>
    <row r="618" spans="1:10" x14ac:dyDescent="0.35">
      <c r="A618" s="2" t="s">
        <v>654</v>
      </c>
      <c r="B618" s="4">
        <v>47</v>
      </c>
      <c r="C618" t="s">
        <v>11</v>
      </c>
      <c r="D618" t="s">
        <v>36</v>
      </c>
      <c r="E618" t="s">
        <v>24</v>
      </c>
      <c r="F618" t="s">
        <v>20</v>
      </c>
      <c r="G618" s="4">
        <v>14</v>
      </c>
      <c r="H618" s="1">
        <v>10087</v>
      </c>
      <c r="I618" s="3" t="s">
        <v>15</v>
      </c>
      <c r="J618" s="4">
        <v>5</v>
      </c>
    </row>
    <row r="619" spans="1:10" x14ac:dyDescent="0.35">
      <c r="A619" s="2" t="s">
        <v>655</v>
      </c>
      <c r="B619" s="4">
        <v>16</v>
      </c>
      <c r="C619" t="s">
        <v>11</v>
      </c>
      <c r="D619" t="s">
        <v>28</v>
      </c>
      <c r="E619" t="s">
        <v>34</v>
      </c>
      <c r="F619" t="s">
        <v>14</v>
      </c>
      <c r="G619" s="4">
        <v>11</v>
      </c>
      <c r="H619" s="1">
        <v>18430</v>
      </c>
      <c r="I619" s="3" t="s">
        <v>15</v>
      </c>
      <c r="J619" s="4">
        <v>2</v>
      </c>
    </row>
    <row r="620" spans="1:10" x14ac:dyDescent="0.35">
      <c r="A620" s="2" t="s">
        <v>656</v>
      </c>
      <c r="B620" s="4">
        <v>84</v>
      </c>
      <c r="C620" t="s">
        <v>17</v>
      </c>
      <c r="D620" t="s">
        <v>33</v>
      </c>
      <c r="E620" t="s">
        <v>29</v>
      </c>
      <c r="F620" t="s">
        <v>20</v>
      </c>
      <c r="G620" s="4">
        <v>9</v>
      </c>
      <c r="H620" s="1">
        <v>65768</v>
      </c>
      <c r="I620" s="3" t="s">
        <v>21</v>
      </c>
      <c r="J620" s="4">
        <v>4</v>
      </c>
    </row>
    <row r="621" spans="1:10" x14ac:dyDescent="0.35">
      <c r="A621" s="2" t="s">
        <v>657</v>
      </c>
      <c r="B621" s="4">
        <v>29</v>
      </c>
      <c r="C621" t="s">
        <v>11</v>
      </c>
      <c r="D621" t="s">
        <v>41</v>
      </c>
      <c r="E621" t="s">
        <v>53</v>
      </c>
      <c r="F621" t="s">
        <v>14</v>
      </c>
      <c r="G621" s="4">
        <v>7</v>
      </c>
      <c r="H621" s="1">
        <v>66150</v>
      </c>
      <c r="I621" s="3" t="s">
        <v>21</v>
      </c>
      <c r="J621" s="4">
        <v>3</v>
      </c>
    </row>
    <row r="622" spans="1:10" x14ac:dyDescent="0.35">
      <c r="A622" s="2" t="s">
        <v>658</v>
      </c>
      <c r="B622" s="4">
        <v>18</v>
      </c>
      <c r="C622" t="s">
        <v>17</v>
      </c>
      <c r="D622" t="s">
        <v>39</v>
      </c>
      <c r="E622" t="s">
        <v>24</v>
      </c>
      <c r="F622" t="s">
        <v>30</v>
      </c>
      <c r="G622" s="4">
        <v>7</v>
      </c>
      <c r="H622" s="1">
        <v>37686</v>
      </c>
      <c r="I622" s="3" t="s">
        <v>21</v>
      </c>
      <c r="J622" s="4">
        <v>2</v>
      </c>
    </row>
    <row r="623" spans="1:10" x14ac:dyDescent="0.35">
      <c r="A623" s="2" t="s">
        <v>659</v>
      </c>
      <c r="B623" s="4">
        <v>33</v>
      </c>
      <c r="C623" t="s">
        <v>17</v>
      </c>
      <c r="D623" t="s">
        <v>26</v>
      </c>
      <c r="E623" t="s">
        <v>24</v>
      </c>
      <c r="F623" t="s">
        <v>14</v>
      </c>
      <c r="G623" s="4">
        <v>13</v>
      </c>
      <c r="H623" s="1">
        <v>11050</v>
      </c>
      <c r="I623" s="3" t="s">
        <v>15</v>
      </c>
      <c r="J623" s="4">
        <v>5</v>
      </c>
    </row>
    <row r="624" spans="1:10" x14ac:dyDescent="0.35">
      <c r="A624" s="2" t="s">
        <v>660</v>
      </c>
      <c r="B624" s="4">
        <v>14</v>
      </c>
      <c r="C624" t="s">
        <v>11</v>
      </c>
      <c r="D624" t="s">
        <v>49</v>
      </c>
      <c r="E624" t="s">
        <v>34</v>
      </c>
      <c r="F624" t="s">
        <v>14</v>
      </c>
      <c r="G624" s="4">
        <v>10</v>
      </c>
      <c r="H624" s="1">
        <v>94871</v>
      </c>
      <c r="I624" s="3" t="s">
        <v>15</v>
      </c>
      <c r="J624" s="4">
        <v>3</v>
      </c>
    </row>
    <row r="625" spans="1:10" x14ac:dyDescent="0.35">
      <c r="A625" s="2" t="s">
        <v>661</v>
      </c>
      <c r="B625" s="4">
        <v>55</v>
      </c>
      <c r="C625" t="s">
        <v>11</v>
      </c>
      <c r="D625" t="s">
        <v>26</v>
      </c>
      <c r="E625" t="s">
        <v>13</v>
      </c>
      <c r="F625" t="s">
        <v>30</v>
      </c>
      <c r="G625" s="4">
        <v>12</v>
      </c>
      <c r="H625" s="1">
        <v>5264</v>
      </c>
      <c r="I625" s="3" t="s">
        <v>21</v>
      </c>
      <c r="J625" s="4">
        <v>3</v>
      </c>
    </row>
    <row r="626" spans="1:10" x14ac:dyDescent="0.35">
      <c r="A626" s="2" t="s">
        <v>662</v>
      </c>
      <c r="B626" s="4">
        <v>88</v>
      </c>
      <c r="C626" t="s">
        <v>11</v>
      </c>
      <c r="D626" t="s">
        <v>41</v>
      </c>
      <c r="E626" t="s">
        <v>34</v>
      </c>
      <c r="F626" t="s">
        <v>20</v>
      </c>
      <c r="G626" s="4">
        <v>11</v>
      </c>
      <c r="H626" s="1">
        <v>59874</v>
      </c>
      <c r="I626" s="3" t="s">
        <v>21</v>
      </c>
      <c r="J626" s="4">
        <v>5</v>
      </c>
    </row>
    <row r="627" spans="1:10" x14ac:dyDescent="0.35">
      <c r="A627" s="2" t="s">
        <v>663</v>
      </c>
      <c r="B627" s="4">
        <v>24</v>
      </c>
      <c r="C627" t="s">
        <v>17</v>
      </c>
      <c r="D627" t="s">
        <v>12</v>
      </c>
      <c r="E627" t="s">
        <v>27</v>
      </c>
      <c r="F627" t="s">
        <v>30</v>
      </c>
      <c r="G627" s="4">
        <v>11</v>
      </c>
      <c r="H627" s="1">
        <v>36510</v>
      </c>
      <c r="I627" s="3" t="s">
        <v>21</v>
      </c>
      <c r="J627" s="4">
        <v>4</v>
      </c>
    </row>
    <row r="628" spans="1:10" x14ac:dyDescent="0.35">
      <c r="A628" s="2" t="s">
        <v>664</v>
      </c>
      <c r="B628" s="4">
        <v>10</v>
      </c>
      <c r="C628" t="s">
        <v>11</v>
      </c>
      <c r="D628" t="s">
        <v>18</v>
      </c>
      <c r="E628" t="s">
        <v>19</v>
      </c>
      <c r="F628" t="s">
        <v>30</v>
      </c>
      <c r="G628" s="4">
        <v>2</v>
      </c>
      <c r="H628" s="1">
        <v>86139</v>
      </c>
      <c r="I628" s="3" t="s">
        <v>15</v>
      </c>
      <c r="J628" s="4">
        <v>2</v>
      </c>
    </row>
    <row r="629" spans="1:10" x14ac:dyDescent="0.35">
      <c r="A629" s="2" t="s">
        <v>665</v>
      </c>
      <c r="B629" s="4">
        <v>34</v>
      </c>
      <c r="C629" t="s">
        <v>17</v>
      </c>
      <c r="D629" t="s">
        <v>18</v>
      </c>
      <c r="E629" t="s">
        <v>65</v>
      </c>
      <c r="F629" t="s">
        <v>14</v>
      </c>
      <c r="G629" s="4">
        <v>3</v>
      </c>
      <c r="H629" s="1">
        <v>74292</v>
      </c>
      <c r="I629" s="3" t="s">
        <v>15</v>
      </c>
      <c r="J629" s="4">
        <v>4</v>
      </c>
    </row>
    <row r="630" spans="1:10" x14ac:dyDescent="0.35">
      <c r="A630" s="2" t="s">
        <v>666</v>
      </c>
      <c r="B630" s="4">
        <v>49</v>
      </c>
      <c r="C630" t="s">
        <v>17</v>
      </c>
      <c r="D630" t="s">
        <v>28</v>
      </c>
      <c r="E630" t="s">
        <v>29</v>
      </c>
      <c r="F630" t="s">
        <v>14</v>
      </c>
      <c r="G630" s="4">
        <v>8</v>
      </c>
      <c r="H630" s="1">
        <v>73953</v>
      </c>
      <c r="I630" s="3" t="s">
        <v>21</v>
      </c>
      <c r="J630" s="4">
        <v>1</v>
      </c>
    </row>
    <row r="631" spans="1:10" x14ac:dyDescent="0.35">
      <c r="A631" s="2" t="s">
        <v>667</v>
      </c>
      <c r="B631" s="4">
        <v>11</v>
      </c>
      <c r="C631" t="s">
        <v>17</v>
      </c>
      <c r="D631" t="s">
        <v>12</v>
      </c>
      <c r="E631" t="s">
        <v>34</v>
      </c>
      <c r="F631" t="s">
        <v>20</v>
      </c>
      <c r="G631" s="4">
        <v>6</v>
      </c>
      <c r="H631" s="1">
        <v>27569</v>
      </c>
      <c r="I631" s="3" t="s">
        <v>21</v>
      </c>
      <c r="J631" s="4">
        <v>4</v>
      </c>
    </row>
    <row r="632" spans="1:10" x14ac:dyDescent="0.35">
      <c r="A632" s="2" t="s">
        <v>668</v>
      </c>
      <c r="B632" s="4">
        <v>70</v>
      </c>
      <c r="C632" t="s">
        <v>17</v>
      </c>
      <c r="D632" t="s">
        <v>12</v>
      </c>
      <c r="E632" t="s">
        <v>13</v>
      </c>
      <c r="F632" t="s">
        <v>14</v>
      </c>
      <c r="G632" s="4">
        <v>11</v>
      </c>
      <c r="H632" s="1">
        <v>65751</v>
      </c>
      <c r="I632" s="3" t="s">
        <v>21</v>
      </c>
      <c r="J632" s="4">
        <v>5</v>
      </c>
    </row>
    <row r="633" spans="1:10" x14ac:dyDescent="0.35">
      <c r="A633" s="2" t="s">
        <v>669</v>
      </c>
      <c r="B633" s="4">
        <v>74</v>
      </c>
      <c r="C633" t="s">
        <v>17</v>
      </c>
      <c r="D633" t="s">
        <v>33</v>
      </c>
      <c r="E633" t="s">
        <v>65</v>
      </c>
      <c r="F633" t="s">
        <v>20</v>
      </c>
      <c r="G633" s="4">
        <v>4</v>
      </c>
      <c r="H633" s="1">
        <v>93582</v>
      </c>
      <c r="I633" s="3" t="s">
        <v>15</v>
      </c>
      <c r="J633" s="4">
        <v>2</v>
      </c>
    </row>
    <row r="634" spans="1:10" x14ac:dyDescent="0.35">
      <c r="A634" s="2" t="s">
        <v>670</v>
      </c>
      <c r="B634" s="4">
        <v>60</v>
      </c>
      <c r="C634" t="s">
        <v>17</v>
      </c>
      <c r="D634" t="s">
        <v>12</v>
      </c>
      <c r="E634" t="s">
        <v>13</v>
      </c>
      <c r="F634" t="s">
        <v>30</v>
      </c>
      <c r="G634" s="4">
        <v>10</v>
      </c>
      <c r="H634" s="1">
        <v>54921</v>
      </c>
      <c r="I634" s="3" t="s">
        <v>21</v>
      </c>
      <c r="J634" s="4">
        <v>2</v>
      </c>
    </row>
    <row r="635" spans="1:10" x14ac:dyDescent="0.35">
      <c r="A635" s="2" t="s">
        <v>671</v>
      </c>
      <c r="B635" s="4">
        <v>40</v>
      </c>
      <c r="C635" t="s">
        <v>17</v>
      </c>
      <c r="D635" t="s">
        <v>23</v>
      </c>
      <c r="E635" t="s">
        <v>53</v>
      </c>
      <c r="F635" t="s">
        <v>14</v>
      </c>
      <c r="G635" s="4">
        <v>5</v>
      </c>
      <c r="H635" s="1">
        <v>44513</v>
      </c>
      <c r="I635" s="3" t="s">
        <v>21</v>
      </c>
      <c r="J635" s="4">
        <v>2</v>
      </c>
    </row>
    <row r="636" spans="1:10" x14ac:dyDescent="0.35">
      <c r="A636" s="2" t="s">
        <v>672</v>
      </c>
      <c r="B636" s="4">
        <v>16</v>
      </c>
      <c r="C636" t="s">
        <v>11</v>
      </c>
      <c r="D636" t="s">
        <v>49</v>
      </c>
      <c r="E636" t="s">
        <v>19</v>
      </c>
      <c r="F636" t="s">
        <v>14</v>
      </c>
      <c r="G636" s="4">
        <v>15</v>
      </c>
      <c r="H636" s="1">
        <v>58501</v>
      </c>
      <c r="I636" s="3" t="s">
        <v>15</v>
      </c>
      <c r="J636" s="4">
        <v>2</v>
      </c>
    </row>
    <row r="637" spans="1:10" x14ac:dyDescent="0.35">
      <c r="A637" s="2" t="s">
        <v>673</v>
      </c>
      <c r="B637" s="4">
        <v>44</v>
      </c>
      <c r="C637" t="s">
        <v>11</v>
      </c>
      <c r="D637" t="s">
        <v>41</v>
      </c>
      <c r="E637" t="s">
        <v>29</v>
      </c>
      <c r="F637" t="s">
        <v>20</v>
      </c>
      <c r="G637" s="4">
        <v>9</v>
      </c>
      <c r="H637" s="1">
        <v>6301</v>
      </c>
      <c r="I637" s="3" t="s">
        <v>15</v>
      </c>
      <c r="J637" s="4">
        <v>1</v>
      </c>
    </row>
    <row r="638" spans="1:10" x14ac:dyDescent="0.35">
      <c r="A638" s="2" t="s">
        <v>674</v>
      </c>
      <c r="B638" s="4">
        <v>26</v>
      </c>
      <c r="C638" t="s">
        <v>11</v>
      </c>
      <c r="D638" t="s">
        <v>26</v>
      </c>
      <c r="E638" t="s">
        <v>34</v>
      </c>
      <c r="F638" t="s">
        <v>14</v>
      </c>
      <c r="G638" s="4">
        <v>6</v>
      </c>
      <c r="H638" s="1">
        <v>48712</v>
      </c>
      <c r="I638" s="3" t="s">
        <v>21</v>
      </c>
      <c r="J638" s="4">
        <v>1</v>
      </c>
    </row>
    <row r="639" spans="1:10" x14ac:dyDescent="0.35">
      <c r="A639" s="2" t="s">
        <v>675</v>
      </c>
      <c r="B639" s="4">
        <v>31</v>
      </c>
      <c r="C639" t="s">
        <v>17</v>
      </c>
      <c r="D639" t="s">
        <v>33</v>
      </c>
      <c r="E639" t="s">
        <v>65</v>
      </c>
      <c r="F639" t="s">
        <v>14</v>
      </c>
      <c r="G639" s="4">
        <v>2</v>
      </c>
      <c r="H639" s="1">
        <v>49031</v>
      </c>
      <c r="I639" s="3" t="s">
        <v>15</v>
      </c>
      <c r="J639" s="4">
        <v>2</v>
      </c>
    </row>
    <row r="640" spans="1:10" x14ac:dyDescent="0.35">
      <c r="A640" s="2" t="s">
        <v>676</v>
      </c>
      <c r="B640" s="4">
        <v>86</v>
      </c>
      <c r="C640" t="s">
        <v>17</v>
      </c>
      <c r="D640" t="s">
        <v>41</v>
      </c>
      <c r="E640" t="s">
        <v>19</v>
      </c>
      <c r="F640" t="s">
        <v>30</v>
      </c>
      <c r="G640" s="4">
        <v>9</v>
      </c>
      <c r="H640" s="1">
        <v>34308</v>
      </c>
      <c r="I640" s="3" t="s">
        <v>15</v>
      </c>
      <c r="J640" s="4">
        <v>4</v>
      </c>
    </row>
    <row r="641" spans="1:10" x14ac:dyDescent="0.35">
      <c r="A641" s="2" t="s">
        <v>677</v>
      </c>
      <c r="B641" s="4">
        <v>54</v>
      </c>
      <c r="C641" t="s">
        <v>17</v>
      </c>
      <c r="D641" t="s">
        <v>36</v>
      </c>
      <c r="E641" t="s">
        <v>19</v>
      </c>
      <c r="F641" t="s">
        <v>30</v>
      </c>
      <c r="G641" s="4">
        <v>9</v>
      </c>
      <c r="H641" s="1">
        <v>97395</v>
      </c>
      <c r="I641" s="3" t="s">
        <v>15</v>
      </c>
      <c r="J641" s="4">
        <v>2</v>
      </c>
    </row>
    <row r="642" spans="1:10" x14ac:dyDescent="0.35">
      <c r="A642" s="2" t="s">
        <v>678</v>
      </c>
      <c r="B642" s="4">
        <v>77</v>
      </c>
      <c r="C642" t="s">
        <v>17</v>
      </c>
      <c r="D642" t="s">
        <v>33</v>
      </c>
      <c r="E642" t="s">
        <v>65</v>
      </c>
      <c r="F642" t="s">
        <v>14</v>
      </c>
      <c r="G642" s="4">
        <v>3</v>
      </c>
      <c r="H642" s="1">
        <v>93691</v>
      </c>
      <c r="I642" s="3" t="s">
        <v>21</v>
      </c>
      <c r="J642" s="4">
        <v>1</v>
      </c>
    </row>
    <row r="643" spans="1:10" x14ac:dyDescent="0.35">
      <c r="A643" s="2" t="s">
        <v>679</v>
      </c>
      <c r="B643" s="4">
        <v>63</v>
      </c>
      <c r="C643" t="s">
        <v>17</v>
      </c>
      <c r="D643" t="s">
        <v>49</v>
      </c>
      <c r="E643" t="s">
        <v>37</v>
      </c>
      <c r="F643" t="s">
        <v>30</v>
      </c>
      <c r="G643" s="4">
        <v>9</v>
      </c>
      <c r="H643" s="1">
        <v>17418</v>
      </c>
      <c r="I643" s="3" t="s">
        <v>15</v>
      </c>
      <c r="J643" s="4">
        <v>5</v>
      </c>
    </row>
    <row r="644" spans="1:10" x14ac:dyDescent="0.35">
      <c r="A644" s="2" t="s">
        <v>680</v>
      </c>
      <c r="B644" s="4">
        <v>69</v>
      </c>
      <c r="C644" t="s">
        <v>17</v>
      </c>
      <c r="D644" t="s">
        <v>23</v>
      </c>
      <c r="E644" t="s">
        <v>13</v>
      </c>
      <c r="F644" t="s">
        <v>14</v>
      </c>
      <c r="G644" s="4">
        <v>1</v>
      </c>
      <c r="H644" s="1">
        <v>8417</v>
      </c>
      <c r="I644" s="3" t="s">
        <v>21</v>
      </c>
      <c r="J644" s="4">
        <v>1</v>
      </c>
    </row>
    <row r="645" spans="1:10" x14ac:dyDescent="0.35">
      <c r="A645" s="2" t="s">
        <v>681</v>
      </c>
      <c r="B645" s="4">
        <v>74</v>
      </c>
      <c r="C645" t="s">
        <v>11</v>
      </c>
      <c r="D645" t="s">
        <v>23</v>
      </c>
      <c r="E645" t="s">
        <v>24</v>
      </c>
      <c r="F645" t="s">
        <v>14</v>
      </c>
      <c r="G645" s="4">
        <v>2</v>
      </c>
      <c r="H645" s="1">
        <v>91274</v>
      </c>
      <c r="I645" s="3" t="s">
        <v>15</v>
      </c>
      <c r="J645" s="4">
        <v>4</v>
      </c>
    </row>
    <row r="646" spans="1:10" x14ac:dyDescent="0.35">
      <c r="A646" s="2" t="s">
        <v>682</v>
      </c>
      <c r="B646" s="4">
        <v>26</v>
      </c>
      <c r="C646" t="s">
        <v>11</v>
      </c>
      <c r="D646" t="s">
        <v>26</v>
      </c>
      <c r="E646" t="s">
        <v>42</v>
      </c>
      <c r="F646" t="s">
        <v>14</v>
      </c>
      <c r="G646" s="4">
        <v>9</v>
      </c>
      <c r="H646" s="1">
        <v>97212</v>
      </c>
      <c r="I646" s="3" t="s">
        <v>15</v>
      </c>
      <c r="J646" s="4">
        <v>5</v>
      </c>
    </row>
    <row r="647" spans="1:10" x14ac:dyDescent="0.35">
      <c r="A647" s="2" t="s">
        <v>683</v>
      </c>
      <c r="B647" s="4">
        <v>10</v>
      </c>
      <c r="C647" t="s">
        <v>17</v>
      </c>
      <c r="D647" t="s">
        <v>33</v>
      </c>
      <c r="E647" t="s">
        <v>24</v>
      </c>
      <c r="F647" t="s">
        <v>20</v>
      </c>
      <c r="G647" s="4">
        <v>5</v>
      </c>
      <c r="H647" s="1">
        <v>22753</v>
      </c>
      <c r="I647" s="3" t="s">
        <v>21</v>
      </c>
      <c r="J647" s="4">
        <v>3</v>
      </c>
    </row>
    <row r="648" spans="1:10" x14ac:dyDescent="0.35">
      <c r="A648" s="2" t="s">
        <v>684</v>
      </c>
      <c r="B648" s="4">
        <v>10</v>
      </c>
      <c r="C648" t="s">
        <v>11</v>
      </c>
      <c r="D648" t="s">
        <v>39</v>
      </c>
      <c r="E648" t="s">
        <v>24</v>
      </c>
      <c r="F648" t="s">
        <v>30</v>
      </c>
      <c r="G648" s="4">
        <v>12</v>
      </c>
      <c r="H648" s="1">
        <v>82998</v>
      </c>
      <c r="I648" s="3" t="s">
        <v>15</v>
      </c>
      <c r="J648" s="4">
        <v>1</v>
      </c>
    </row>
    <row r="649" spans="1:10" x14ac:dyDescent="0.35">
      <c r="A649" s="2" t="s">
        <v>685</v>
      </c>
      <c r="B649" s="4">
        <v>25</v>
      </c>
      <c r="C649" t="s">
        <v>17</v>
      </c>
      <c r="D649" t="s">
        <v>33</v>
      </c>
      <c r="E649" t="s">
        <v>42</v>
      </c>
      <c r="F649" t="s">
        <v>20</v>
      </c>
      <c r="G649" s="4">
        <v>7</v>
      </c>
      <c r="H649" s="1">
        <v>70371</v>
      </c>
      <c r="I649" s="3" t="s">
        <v>15</v>
      </c>
      <c r="J649" s="4">
        <v>3</v>
      </c>
    </row>
    <row r="650" spans="1:10" x14ac:dyDescent="0.35">
      <c r="A650" s="2" t="s">
        <v>686</v>
      </c>
      <c r="B650" s="4">
        <v>17</v>
      </c>
      <c r="C650" t="s">
        <v>17</v>
      </c>
      <c r="D650" t="s">
        <v>36</v>
      </c>
      <c r="E650" t="s">
        <v>37</v>
      </c>
      <c r="F650" t="s">
        <v>14</v>
      </c>
      <c r="G650" s="4">
        <v>10</v>
      </c>
      <c r="H650" s="1">
        <v>83612</v>
      </c>
      <c r="I650" s="3" t="s">
        <v>15</v>
      </c>
      <c r="J650" s="4">
        <v>2</v>
      </c>
    </row>
    <row r="651" spans="1:10" x14ac:dyDescent="0.35">
      <c r="A651" s="2" t="s">
        <v>687</v>
      </c>
      <c r="B651" s="4">
        <v>76</v>
      </c>
      <c r="C651" t="s">
        <v>11</v>
      </c>
      <c r="D651" t="s">
        <v>39</v>
      </c>
      <c r="E651" t="s">
        <v>37</v>
      </c>
      <c r="F651" t="s">
        <v>20</v>
      </c>
      <c r="G651" s="4">
        <v>11</v>
      </c>
      <c r="H651" s="1">
        <v>20452</v>
      </c>
      <c r="I651" s="3" t="s">
        <v>21</v>
      </c>
      <c r="J651" s="4">
        <v>3</v>
      </c>
    </row>
    <row r="652" spans="1:10" x14ac:dyDescent="0.35">
      <c r="A652" s="2" t="s">
        <v>688</v>
      </c>
      <c r="B652" s="4">
        <v>47</v>
      </c>
      <c r="C652" t="s">
        <v>11</v>
      </c>
      <c r="D652" t="s">
        <v>39</v>
      </c>
      <c r="E652" t="s">
        <v>37</v>
      </c>
      <c r="F652" t="s">
        <v>20</v>
      </c>
      <c r="G652" s="4">
        <v>11</v>
      </c>
      <c r="H652" s="1">
        <v>54953</v>
      </c>
      <c r="I652" s="3" t="s">
        <v>15</v>
      </c>
      <c r="J652" s="4">
        <v>2</v>
      </c>
    </row>
    <row r="653" spans="1:10" x14ac:dyDescent="0.35">
      <c r="A653" s="2" t="s">
        <v>689</v>
      </c>
      <c r="B653" s="4">
        <v>39</v>
      </c>
      <c r="C653" t="s">
        <v>11</v>
      </c>
      <c r="D653" t="s">
        <v>26</v>
      </c>
      <c r="E653" t="s">
        <v>13</v>
      </c>
      <c r="F653" t="s">
        <v>20</v>
      </c>
      <c r="G653" s="4">
        <v>7</v>
      </c>
      <c r="H653" s="1">
        <v>77637</v>
      </c>
      <c r="I653" s="3" t="s">
        <v>15</v>
      </c>
      <c r="J653" s="4">
        <v>2</v>
      </c>
    </row>
    <row r="654" spans="1:10" x14ac:dyDescent="0.35">
      <c r="A654" s="2" t="s">
        <v>690</v>
      </c>
      <c r="B654" s="4">
        <v>16</v>
      </c>
      <c r="C654" t="s">
        <v>17</v>
      </c>
      <c r="D654" t="s">
        <v>12</v>
      </c>
      <c r="E654" t="s">
        <v>29</v>
      </c>
      <c r="F654" t="s">
        <v>14</v>
      </c>
      <c r="G654" s="4">
        <v>1</v>
      </c>
      <c r="H654" s="1">
        <v>25647</v>
      </c>
      <c r="I654" s="3" t="s">
        <v>21</v>
      </c>
      <c r="J654" s="4">
        <v>1</v>
      </c>
    </row>
    <row r="655" spans="1:10" x14ac:dyDescent="0.35">
      <c r="A655" s="2" t="s">
        <v>691</v>
      </c>
      <c r="B655" s="4">
        <v>56</v>
      </c>
      <c r="C655" t="s">
        <v>11</v>
      </c>
      <c r="D655" t="s">
        <v>23</v>
      </c>
      <c r="E655" t="s">
        <v>34</v>
      </c>
      <c r="F655" t="s">
        <v>20</v>
      </c>
      <c r="G655" s="4">
        <v>4</v>
      </c>
      <c r="H655" s="1">
        <v>37556</v>
      </c>
      <c r="I655" s="3" t="s">
        <v>15</v>
      </c>
      <c r="J655" s="4">
        <v>1</v>
      </c>
    </row>
    <row r="656" spans="1:10" x14ac:dyDescent="0.35">
      <c r="A656" s="2" t="s">
        <v>692</v>
      </c>
      <c r="B656" s="4">
        <v>40</v>
      </c>
      <c r="C656" t="s">
        <v>17</v>
      </c>
      <c r="D656" t="s">
        <v>39</v>
      </c>
      <c r="E656" t="s">
        <v>24</v>
      </c>
      <c r="F656" t="s">
        <v>20</v>
      </c>
      <c r="G656" s="4">
        <v>4</v>
      </c>
      <c r="H656" s="1">
        <v>20095</v>
      </c>
      <c r="I656" s="3" t="s">
        <v>21</v>
      </c>
      <c r="J656" s="4">
        <v>2</v>
      </c>
    </row>
    <row r="657" spans="1:10" x14ac:dyDescent="0.35">
      <c r="A657" s="2" t="s">
        <v>693</v>
      </c>
      <c r="B657" s="4">
        <v>88</v>
      </c>
      <c r="C657" t="s">
        <v>17</v>
      </c>
      <c r="D657" t="s">
        <v>39</v>
      </c>
      <c r="E657" t="s">
        <v>24</v>
      </c>
      <c r="F657" t="s">
        <v>20</v>
      </c>
      <c r="G657" s="4">
        <v>2</v>
      </c>
      <c r="H657" s="1">
        <v>41097</v>
      </c>
      <c r="I657" s="3" t="s">
        <v>21</v>
      </c>
      <c r="J657" s="4">
        <v>5</v>
      </c>
    </row>
    <row r="658" spans="1:10" x14ac:dyDescent="0.35">
      <c r="A658" s="2" t="s">
        <v>694</v>
      </c>
      <c r="B658" s="4">
        <v>68</v>
      </c>
      <c r="C658" t="s">
        <v>11</v>
      </c>
      <c r="D658" t="s">
        <v>39</v>
      </c>
      <c r="E658" t="s">
        <v>19</v>
      </c>
      <c r="F658" t="s">
        <v>30</v>
      </c>
      <c r="G658" s="4">
        <v>5</v>
      </c>
      <c r="H658" s="1">
        <v>43059</v>
      </c>
      <c r="I658" s="3" t="s">
        <v>15</v>
      </c>
      <c r="J658" s="4">
        <v>1</v>
      </c>
    </row>
    <row r="659" spans="1:10" x14ac:dyDescent="0.35">
      <c r="A659" s="2" t="s">
        <v>695</v>
      </c>
      <c r="B659" s="4">
        <v>9</v>
      </c>
      <c r="C659" t="s">
        <v>11</v>
      </c>
      <c r="D659" t="s">
        <v>36</v>
      </c>
      <c r="E659" t="s">
        <v>13</v>
      </c>
      <c r="F659" t="s">
        <v>14</v>
      </c>
      <c r="G659" s="4">
        <v>12</v>
      </c>
      <c r="H659" s="1">
        <v>18699</v>
      </c>
      <c r="I659" s="3" t="s">
        <v>21</v>
      </c>
      <c r="J659" s="4">
        <v>5</v>
      </c>
    </row>
    <row r="660" spans="1:10" x14ac:dyDescent="0.35">
      <c r="A660" s="2" t="s">
        <v>696</v>
      </c>
      <c r="B660" s="4">
        <v>27</v>
      </c>
      <c r="C660" t="s">
        <v>11</v>
      </c>
      <c r="D660" t="s">
        <v>41</v>
      </c>
      <c r="E660" t="s">
        <v>65</v>
      </c>
      <c r="F660" t="s">
        <v>30</v>
      </c>
      <c r="G660" s="4">
        <v>6</v>
      </c>
      <c r="H660" s="1">
        <v>31911</v>
      </c>
      <c r="I660" s="3" t="s">
        <v>15</v>
      </c>
      <c r="J660" s="4">
        <v>4</v>
      </c>
    </row>
    <row r="661" spans="1:10" x14ac:dyDescent="0.35">
      <c r="A661" s="2" t="s">
        <v>697</v>
      </c>
      <c r="B661" s="4">
        <v>30</v>
      </c>
      <c r="C661" t="s">
        <v>11</v>
      </c>
      <c r="D661" t="s">
        <v>33</v>
      </c>
      <c r="E661" t="s">
        <v>27</v>
      </c>
      <c r="F661" t="s">
        <v>20</v>
      </c>
      <c r="G661" s="4">
        <v>6</v>
      </c>
      <c r="H661" s="1">
        <v>92462</v>
      </c>
      <c r="I661" s="3" t="s">
        <v>15</v>
      </c>
      <c r="J661" s="4">
        <v>3</v>
      </c>
    </row>
    <row r="662" spans="1:10" x14ac:dyDescent="0.35">
      <c r="A662" s="2" t="s">
        <v>698</v>
      </c>
      <c r="B662" s="4">
        <v>58</v>
      </c>
      <c r="C662" t="s">
        <v>11</v>
      </c>
      <c r="D662" t="s">
        <v>18</v>
      </c>
      <c r="E662" t="s">
        <v>13</v>
      </c>
      <c r="F662" t="s">
        <v>20</v>
      </c>
      <c r="G662" s="4">
        <v>8</v>
      </c>
      <c r="H662" s="1">
        <v>39160</v>
      </c>
      <c r="I662" s="3" t="s">
        <v>15</v>
      </c>
      <c r="J662" s="4">
        <v>2</v>
      </c>
    </row>
    <row r="663" spans="1:10" x14ac:dyDescent="0.35">
      <c r="A663" s="2" t="s">
        <v>699</v>
      </c>
      <c r="B663" s="4">
        <v>57</v>
      </c>
      <c r="C663" t="s">
        <v>11</v>
      </c>
      <c r="D663" t="s">
        <v>26</v>
      </c>
      <c r="E663" t="s">
        <v>53</v>
      </c>
      <c r="F663" t="s">
        <v>30</v>
      </c>
      <c r="G663" s="4">
        <v>11</v>
      </c>
      <c r="H663" s="1">
        <v>54411</v>
      </c>
      <c r="I663" s="3" t="s">
        <v>21</v>
      </c>
      <c r="J663" s="4">
        <v>5</v>
      </c>
    </row>
    <row r="664" spans="1:10" x14ac:dyDescent="0.35">
      <c r="A664" s="2" t="s">
        <v>700</v>
      </c>
      <c r="B664" s="4">
        <v>70</v>
      </c>
      <c r="C664" t="s">
        <v>17</v>
      </c>
      <c r="D664" t="s">
        <v>26</v>
      </c>
      <c r="E664" t="s">
        <v>13</v>
      </c>
      <c r="F664" t="s">
        <v>14</v>
      </c>
      <c r="G664" s="4">
        <v>10</v>
      </c>
      <c r="H664" s="1">
        <v>57842</v>
      </c>
      <c r="I664" s="3" t="s">
        <v>21</v>
      </c>
      <c r="J664" s="4">
        <v>4</v>
      </c>
    </row>
    <row r="665" spans="1:10" x14ac:dyDescent="0.35">
      <c r="A665" s="2" t="s">
        <v>701</v>
      </c>
      <c r="B665" s="4">
        <v>33</v>
      </c>
      <c r="C665" t="s">
        <v>17</v>
      </c>
      <c r="D665" t="s">
        <v>33</v>
      </c>
      <c r="E665" t="s">
        <v>42</v>
      </c>
      <c r="F665" t="s">
        <v>14</v>
      </c>
      <c r="G665" s="4">
        <v>14</v>
      </c>
      <c r="H665" s="1">
        <v>59524</v>
      </c>
      <c r="I665" s="3" t="s">
        <v>15</v>
      </c>
      <c r="J665" s="4">
        <v>5</v>
      </c>
    </row>
    <row r="666" spans="1:10" x14ac:dyDescent="0.35">
      <c r="A666" s="2" t="s">
        <v>702</v>
      </c>
      <c r="B666" s="4">
        <v>62</v>
      </c>
      <c r="C666" t="s">
        <v>11</v>
      </c>
      <c r="D666" t="s">
        <v>28</v>
      </c>
      <c r="E666" t="s">
        <v>53</v>
      </c>
      <c r="F666" t="s">
        <v>30</v>
      </c>
      <c r="G666" s="4">
        <v>10</v>
      </c>
      <c r="H666" s="1">
        <v>83814</v>
      </c>
      <c r="I666" s="3" t="s">
        <v>15</v>
      </c>
      <c r="J666" s="4">
        <v>5</v>
      </c>
    </row>
    <row r="667" spans="1:10" x14ac:dyDescent="0.35">
      <c r="A667" s="2" t="s">
        <v>703</v>
      </c>
      <c r="B667" s="4">
        <v>37</v>
      </c>
      <c r="C667" t="s">
        <v>11</v>
      </c>
      <c r="D667" t="s">
        <v>49</v>
      </c>
      <c r="E667" t="s">
        <v>24</v>
      </c>
      <c r="F667" t="s">
        <v>20</v>
      </c>
      <c r="G667" s="4">
        <v>3</v>
      </c>
      <c r="H667" s="1">
        <v>31928</v>
      </c>
      <c r="I667" s="3" t="s">
        <v>15</v>
      </c>
      <c r="J667" s="4">
        <v>3</v>
      </c>
    </row>
    <row r="668" spans="1:10" x14ac:dyDescent="0.35">
      <c r="A668" s="2" t="s">
        <v>704</v>
      </c>
      <c r="B668" s="4">
        <v>18</v>
      </c>
      <c r="C668" t="s">
        <v>11</v>
      </c>
      <c r="D668" t="s">
        <v>23</v>
      </c>
      <c r="E668" t="s">
        <v>37</v>
      </c>
      <c r="F668" t="s">
        <v>20</v>
      </c>
      <c r="G668" s="4">
        <v>3</v>
      </c>
      <c r="H668" s="1">
        <v>10023</v>
      </c>
      <c r="I668" s="3" t="s">
        <v>21</v>
      </c>
      <c r="J668" s="4">
        <v>5</v>
      </c>
    </row>
    <row r="669" spans="1:10" x14ac:dyDescent="0.35">
      <c r="A669" s="2" t="s">
        <v>705</v>
      </c>
      <c r="B669" s="4">
        <v>74</v>
      </c>
      <c r="C669" t="s">
        <v>17</v>
      </c>
      <c r="D669" t="s">
        <v>49</v>
      </c>
      <c r="E669" t="s">
        <v>42</v>
      </c>
      <c r="F669" t="s">
        <v>30</v>
      </c>
      <c r="G669" s="4">
        <v>6</v>
      </c>
      <c r="H669" s="1">
        <v>75601</v>
      </c>
      <c r="I669" s="3" t="s">
        <v>21</v>
      </c>
      <c r="J669" s="4">
        <v>4</v>
      </c>
    </row>
    <row r="670" spans="1:10" x14ac:dyDescent="0.35">
      <c r="A670" s="2" t="s">
        <v>706</v>
      </c>
      <c r="B670" s="4">
        <v>22</v>
      </c>
      <c r="C670" t="s">
        <v>11</v>
      </c>
      <c r="D670" t="s">
        <v>49</v>
      </c>
      <c r="E670" t="s">
        <v>53</v>
      </c>
      <c r="F670" t="s">
        <v>20</v>
      </c>
      <c r="G670" s="4">
        <v>10</v>
      </c>
      <c r="H670" s="1">
        <v>86837</v>
      </c>
      <c r="I670" s="3" t="s">
        <v>21</v>
      </c>
      <c r="J670" s="4">
        <v>1</v>
      </c>
    </row>
    <row r="671" spans="1:10" x14ac:dyDescent="0.35">
      <c r="A671" s="2" t="s">
        <v>707</v>
      </c>
      <c r="B671" s="4">
        <v>33</v>
      </c>
      <c r="C671" t="s">
        <v>17</v>
      </c>
      <c r="D671" t="s">
        <v>26</v>
      </c>
      <c r="E671" t="s">
        <v>53</v>
      </c>
      <c r="F671" t="s">
        <v>30</v>
      </c>
      <c r="G671" s="4">
        <v>12</v>
      </c>
      <c r="H671" s="1">
        <v>51722</v>
      </c>
      <c r="I671" s="3" t="s">
        <v>15</v>
      </c>
      <c r="J671" s="4">
        <v>3</v>
      </c>
    </row>
    <row r="672" spans="1:10" x14ac:dyDescent="0.35">
      <c r="A672" s="2" t="s">
        <v>708</v>
      </c>
      <c r="B672" s="4">
        <v>87</v>
      </c>
      <c r="C672" t="s">
        <v>11</v>
      </c>
      <c r="D672" t="s">
        <v>39</v>
      </c>
      <c r="E672" t="s">
        <v>29</v>
      </c>
      <c r="F672" t="s">
        <v>14</v>
      </c>
      <c r="G672" s="4">
        <v>1</v>
      </c>
      <c r="H672" s="1">
        <v>38073</v>
      </c>
      <c r="I672" s="3" t="s">
        <v>15</v>
      </c>
      <c r="J672" s="4">
        <v>4</v>
      </c>
    </row>
    <row r="673" spans="1:10" x14ac:dyDescent="0.35">
      <c r="A673" s="2" t="s">
        <v>709</v>
      </c>
      <c r="B673" s="4">
        <v>75</v>
      </c>
      <c r="C673" t="s">
        <v>11</v>
      </c>
      <c r="D673" t="s">
        <v>49</v>
      </c>
      <c r="E673" t="s">
        <v>24</v>
      </c>
      <c r="F673" t="s">
        <v>20</v>
      </c>
      <c r="G673" s="4">
        <v>5</v>
      </c>
      <c r="H673" s="1">
        <v>33216</v>
      </c>
      <c r="I673" s="3" t="s">
        <v>21</v>
      </c>
      <c r="J673" s="4">
        <v>1</v>
      </c>
    </row>
    <row r="674" spans="1:10" x14ac:dyDescent="0.35">
      <c r="A674" s="2" t="s">
        <v>710</v>
      </c>
      <c r="B674" s="4">
        <v>22</v>
      </c>
      <c r="C674" t="s">
        <v>17</v>
      </c>
      <c r="D674" t="s">
        <v>28</v>
      </c>
      <c r="E674" t="s">
        <v>53</v>
      </c>
      <c r="F674" t="s">
        <v>14</v>
      </c>
      <c r="G674" s="4">
        <v>1</v>
      </c>
      <c r="H674" s="1">
        <v>13718</v>
      </c>
      <c r="I674" s="3" t="s">
        <v>15</v>
      </c>
      <c r="J674" s="4">
        <v>1</v>
      </c>
    </row>
    <row r="675" spans="1:10" x14ac:dyDescent="0.35">
      <c r="A675" s="2" t="s">
        <v>711</v>
      </c>
      <c r="B675" s="4">
        <v>38</v>
      </c>
      <c r="C675" t="s">
        <v>11</v>
      </c>
      <c r="D675" t="s">
        <v>26</v>
      </c>
      <c r="E675" t="s">
        <v>29</v>
      </c>
      <c r="F675" t="s">
        <v>14</v>
      </c>
      <c r="G675" s="4">
        <v>5</v>
      </c>
      <c r="H675" s="1">
        <v>59519</v>
      </c>
      <c r="I675" s="3" t="s">
        <v>15</v>
      </c>
      <c r="J675" s="4">
        <v>2</v>
      </c>
    </row>
    <row r="676" spans="1:10" x14ac:dyDescent="0.35">
      <c r="A676" s="2" t="s">
        <v>712</v>
      </c>
      <c r="B676" s="4">
        <v>55</v>
      </c>
      <c r="C676" t="s">
        <v>17</v>
      </c>
      <c r="D676" t="s">
        <v>18</v>
      </c>
      <c r="E676" t="s">
        <v>34</v>
      </c>
      <c r="F676" t="s">
        <v>20</v>
      </c>
      <c r="G676" s="4">
        <v>1</v>
      </c>
      <c r="H676" s="1">
        <v>14425</v>
      </c>
      <c r="I676" s="3" t="s">
        <v>21</v>
      </c>
      <c r="J676" s="4">
        <v>3</v>
      </c>
    </row>
    <row r="677" spans="1:10" x14ac:dyDescent="0.35">
      <c r="A677" s="2" t="s">
        <v>713</v>
      </c>
      <c r="B677" s="4">
        <v>36</v>
      </c>
      <c r="C677" t="s">
        <v>11</v>
      </c>
      <c r="D677" t="s">
        <v>28</v>
      </c>
      <c r="E677" t="s">
        <v>24</v>
      </c>
      <c r="F677" t="s">
        <v>30</v>
      </c>
      <c r="G677" s="4">
        <v>10</v>
      </c>
      <c r="H677" s="1">
        <v>38896</v>
      </c>
      <c r="I677" s="3" t="s">
        <v>21</v>
      </c>
      <c r="J677" s="4">
        <v>3</v>
      </c>
    </row>
    <row r="678" spans="1:10" x14ac:dyDescent="0.35">
      <c r="A678" s="2" t="s">
        <v>714</v>
      </c>
      <c r="B678" s="4">
        <v>10</v>
      </c>
      <c r="C678" t="s">
        <v>11</v>
      </c>
      <c r="D678" t="s">
        <v>23</v>
      </c>
      <c r="E678" t="s">
        <v>34</v>
      </c>
      <c r="F678" t="s">
        <v>30</v>
      </c>
      <c r="G678" s="4">
        <v>5</v>
      </c>
      <c r="H678" s="1">
        <v>47344</v>
      </c>
      <c r="I678" s="3" t="s">
        <v>21</v>
      </c>
      <c r="J678" s="4">
        <v>4</v>
      </c>
    </row>
    <row r="679" spans="1:10" x14ac:dyDescent="0.35">
      <c r="A679" s="2" t="s">
        <v>715</v>
      </c>
      <c r="B679" s="4">
        <v>73</v>
      </c>
      <c r="C679" t="s">
        <v>11</v>
      </c>
      <c r="D679" t="s">
        <v>41</v>
      </c>
      <c r="E679" t="s">
        <v>34</v>
      </c>
      <c r="F679" t="s">
        <v>20</v>
      </c>
      <c r="G679" s="4">
        <v>2</v>
      </c>
      <c r="H679" s="1">
        <v>96690</v>
      </c>
      <c r="I679" s="3" t="s">
        <v>21</v>
      </c>
      <c r="J679" s="4">
        <v>5</v>
      </c>
    </row>
    <row r="680" spans="1:10" x14ac:dyDescent="0.35">
      <c r="A680" s="2" t="s">
        <v>716</v>
      </c>
      <c r="B680" s="4">
        <v>2</v>
      </c>
      <c r="C680" t="s">
        <v>17</v>
      </c>
      <c r="D680" t="s">
        <v>33</v>
      </c>
      <c r="E680" t="s">
        <v>34</v>
      </c>
      <c r="F680" t="s">
        <v>20</v>
      </c>
      <c r="G680" s="4">
        <v>10</v>
      </c>
      <c r="H680" s="1">
        <v>47900</v>
      </c>
      <c r="I680" s="3" t="s">
        <v>21</v>
      </c>
      <c r="J680" s="4">
        <v>1</v>
      </c>
    </row>
    <row r="681" spans="1:10" x14ac:dyDescent="0.35">
      <c r="A681" s="2" t="s">
        <v>717</v>
      </c>
      <c r="B681" s="4">
        <v>74</v>
      </c>
      <c r="C681" t="s">
        <v>11</v>
      </c>
      <c r="D681" t="s">
        <v>12</v>
      </c>
      <c r="E681" t="s">
        <v>53</v>
      </c>
      <c r="F681" t="s">
        <v>14</v>
      </c>
      <c r="G681" s="4">
        <v>15</v>
      </c>
      <c r="H681" s="1">
        <v>82737</v>
      </c>
      <c r="I681" s="3" t="s">
        <v>21</v>
      </c>
      <c r="J681" s="4">
        <v>3</v>
      </c>
    </row>
    <row r="682" spans="1:10" x14ac:dyDescent="0.35">
      <c r="A682" s="2" t="s">
        <v>718</v>
      </c>
      <c r="B682" s="4">
        <v>48</v>
      </c>
      <c r="C682" t="s">
        <v>17</v>
      </c>
      <c r="D682" t="s">
        <v>33</v>
      </c>
      <c r="E682" t="s">
        <v>19</v>
      </c>
      <c r="F682" t="s">
        <v>14</v>
      </c>
      <c r="G682" s="4">
        <v>8</v>
      </c>
      <c r="H682" s="1">
        <v>65848</v>
      </c>
      <c r="I682" s="3" t="s">
        <v>15</v>
      </c>
      <c r="J682" s="4">
        <v>1</v>
      </c>
    </row>
    <row r="683" spans="1:10" x14ac:dyDescent="0.35">
      <c r="A683" s="2" t="s">
        <v>719</v>
      </c>
      <c r="B683" s="4">
        <v>33</v>
      </c>
      <c r="C683" t="s">
        <v>17</v>
      </c>
      <c r="D683" t="s">
        <v>36</v>
      </c>
      <c r="E683" t="s">
        <v>27</v>
      </c>
      <c r="F683" t="s">
        <v>20</v>
      </c>
      <c r="G683" s="4">
        <v>12</v>
      </c>
      <c r="H683" s="1">
        <v>83652</v>
      </c>
      <c r="I683" s="3" t="s">
        <v>15</v>
      </c>
      <c r="J683" s="4">
        <v>3</v>
      </c>
    </row>
    <row r="684" spans="1:10" x14ac:dyDescent="0.35">
      <c r="A684" s="2" t="s">
        <v>720</v>
      </c>
      <c r="B684" s="4">
        <v>55</v>
      </c>
      <c r="C684" t="s">
        <v>11</v>
      </c>
      <c r="D684" t="s">
        <v>33</v>
      </c>
      <c r="E684" t="s">
        <v>53</v>
      </c>
      <c r="F684" t="s">
        <v>20</v>
      </c>
      <c r="G684" s="4">
        <v>4</v>
      </c>
      <c r="H684" s="1">
        <v>12682</v>
      </c>
      <c r="I684" s="3" t="s">
        <v>21</v>
      </c>
      <c r="J684" s="4">
        <v>2</v>
      </c>
    </row>
    <row r="685" spans="1:10" x14ac:dyDescent="0.35">
      <c r="A685" s="2" t="s">
        <v>721</v>
      </c>
      <c r="B685" s="4">
        <v>22</v>
      </c>
      <c r="C685" t="s">
        <v>11</v>
      </c>
      <c r="D685" t="s">
        <v>39</v>
      </c>
      <c r="E685" t="s">
        <v>27</v>
      </c>
      <c r="F685" t="s">
        <v>14</v>
      </c>
      <c r="G685" s="4">
        <v>2</v>
      </c>
      <c r="H685" s="1">
        <v>34692</v>
      </c>
      <c r="I685" s="3" t="s">
        <v>15</v>
      </c>
      <c r="J685" s="4">
        <v>2</v>
      </c>
    </row>
    <row r="686" spans="1:10" x14ac:dyDescent="0.35">
      <c r="A686" s="2" t="s">
        <v>722</v>
      </c>
      <c r="B686" s="4">
        <v>59</v>
      </c>
      <c r="C686" t="s">
        <v>17</v>
      </c>
      <c r="D686" t="s">
        <v>49</v>
      </c>
      <c r="E686" t="s">
        <v>19</v>
      </c>
      <c r="F686" t="s">
        <v>20</v>
      </c>
      <c r="G686" s="4">
        <v>7</v>
      </c>
      <c r="H686" s="1">
        <v>90093</v>
      </c>
      <c r="I686" s="3" t="s">
        <v>21</v>
      </c>
      <c r="J686" s="4">
        <v>5</v>
      </c>
    </row>
    <row r="687" spans="1:10" x14ac:dyDescent="0.35">
      <c r="A687" s="2" t="s">
        <v>723</v>
      </c>
      <c r="B687" s="4">
        <v>20</v>
      </c>
      <c r="C687" t="s">
        <v>17</v>
      </c>
      <c r="D687" t="s">
        <v>18</v>
      </c>
      <c r="E687" t="s">
        <v>42</v>
      </c>
      <c r="F687" t="s">
        <v>14</v>
      </c>
      <c r="G687" s="4">
        <v>14</v>
      </c>
      <c r="H687" s="1">
        <v>82068</v>
      </c>
      <c r="I687" s="3" t="s">
        <v>15</v>
      </c>
      <c r="J687" s="4">
        <v>5</v>
      </c>
    </row>
    <row r="688" spans="1:10" x14ac:dyDescent="0.35">
      <c r="A688" s="2" t="s">
        <v>724</v>
      </c>
      <c r="B688" s="4">
        <v>67</v>
      </c>
      <c r="C688" t="s">
        <v>11</v>
      </c>
      <c r="D688" t="s">
        <v>49</v>
      </c>
      <c r="E688" t="s">
        <v>13</v>
      </c>
      <c r="F688" t="s">
        <v>20</v>
      </c>
      <c r="G688" s="4">
        <v>4</v>
      </c>
      <c r="H688" s="1">
        <v>21288</v>
      </c>
      <c r="I688" s="3" t="s">
        <v>21</v>
      </c>
      <c r="J688" s="4">
        <v>2</v>
      </c>
    </row>
    <row r="689" spans="1:10" x14ac:dyDescent="0.35">
      <c r="A689" s="2" t="s">
        <v>725</v>
      </c>
      <c r="B689" s="4">
        <v>24</v>
      </c>
      <c r="C689" t="s">
        <v>11</v>
      </c>
      <c r="D689" t="s">
        <v>33</v>
      </c>
      <c r="E689" t="s">
        <v>34</v>
      </c>
      <c r="F689" t="s">
        <v>20</v>
      </c>
      <c r="G689" s="4">
        <v>15</v>
      </c>
      <c r="H689" s="1">
        <v>75437</v>
      </c>
      <c r="I689" s="3" t="s">
        <v>21</v>
      </c>
      <c r="J689" s="4">
        <v>1</v>
      </c>
    </row>
    <row r="690" spans="1:10" x14ac:dyDescent="0.35">
      <c r="A690" s="2" t="s">
        <v>726</v>
      </c>
      <c r="B690" s="4">
        <v>84</v>
      </c>
      <c r="C690" t="s">
        <v>17</v>
      </c>
      <c r="D690" t="s">
        <v>33</v>
      </c>
      <c r="E690" t="s">
        <v>13</v>
      </c>
      <c r="F690" t="s">
        <v>14</v>
      </c>
      <c r="G690" s="4">
        <v>7</v>
      </c>
      <c r="H690" s="1">
        <v>63647</v>
      </c>
      <c r="I690" s="3" t="s">
        <v>15</v>
      </c>
      <c r="J690" s="4">
        <v>4</v>
      </c>
    </row>
    <row r="691" spans="1:10" x14ac:dyDescent="0.35">
      <c r="A691" s="2" t="s">
        <v>727</v>
      </c>
      <c r="B691" s="4">
        <v>55</v>
      </c>
      <c r="C691" t="s">
        <v>11</v>
      </c>
      <c r="D691" t="s">
        <v>23</v>
      </c>
      <c r="E691" t="s">
        <v>65</v>
      </c>
      <c r="F691" t="s">
        <v>14</v>
      </c>
      <c r="G691" s="4">
        <v>2</v>
      </c>
      <c r="H691" s="1">
        <v>68626</v>
      </c>
      <c r="I691" s="3" t="s">
        <v>15</v>
      </c>
      <c r="J691" s="4">
        <v>4</v>
      </c>
    </row>
    <row r="692" spans="1:10" x14ac:dyDescent="0.35">
      <c r="A692" s="2" t="s">
        <v>728</v>
      </c>
      <c r="B692" s="4">
        <v>21</v>
      </c>
      <c r="C692" t="s">
        <v>11</v>
      </c>
      <c r="D692" t="s">
        <v>49</v>
      </c>
      <c r="E692" t="s">
        <v>19</v>
      </c>
      <c r="F692" t="s">
        <v>14</v>
      </c>
      <c r="G692" s="4">
        <v>8</v>
      </c>
      <c r="H692" s="1">
        <v>68524</v>
      </c>
      <c r="I692" s="3" t="s">
        <v>15</v>
      </c>
      <c r="J692" s="4">
        <v>2</v>
      </c>
    </row>
    <row r="693" spans="1:10" x14ac:dyDescent="0.35">
      <c r="A693" s="2" t="s">
        <v>729</v>
      </c>
      <c r="B693" s="4">
        <v>68</v>
      </c>
      <c r="C693" t="s">
        <v>17</v>
      </c>
      <c r="D693" t="s">
        <v>12</v>
      </c>
      <c r="E693" t="s">
        <v>37</v>
      </c>
      <c r="F693" t="s">
        <v>30</v>
      </c>
      <c r="G693" s="4">
        <v>3</v>
      </c>
      <c r="H693" s="1">
        <v>66513</v>
      </c>
      <c r="I693" s="3" t="s">
        <v>21</v>
      </c>
      <c r="J693" s="4">
        <v>5</v>
      </c>
    </row>
    <row r="694" spans="1:10" x14ac:dyDescent="0.35">
      <c r="A694" s="2" t="s">
        <v>730</v>
      </c>
      <c r="B694" s="4">
        <v>5</v>
      </c>
      <c r="C694" t="s">
        <v>17</v>
      </c>
      <c r="D694" t="s">
        <v>26</v>
      </c>
      <c r="E694" t="s">
        <v>19</v>
      </c>
      <c r="F694" t="s">
        <v>30</v>
      </c>
      <c r="G694" s="4">
        <v>10</v>
      </c>
      <c r="H694" s="1">
        <v>13406</v>
      </c>
      <c r="I694" s="3" t="s">
        <v>15</v>
      </c>
      <c r="J694" s="4">
        <v>2</v>
      </c>
    </row>
    <row r="695" spans="1:10" x14ac:dyDescent="0.35">
      <c r="A695" s="2" t="s">
        <v>731</v>
      </c>
      <c r="B695" s="4">
        <v>5</v>
      </c>
      <c r="C695" t="s">
        <v>11</v>
      </c>
      <c r="D695" t="s">
        <v>12</v>
      </c>
      <c r="E695" t="s">
        <v>34</v>
      </c>
      <c r="F695" t="s">
        <v>20</v>
      </c>
      <c r="G695" s="4">
        <v>13</v>
      </c>
      <c r="H695" s="1">
        <v>95453</v>
      </c>
      <c r="I695" s="3" t="s">
        <v>21</v>
      </c>
      <c r="J695" s="4">
        <v>3</v>
      </c>
    </row>
    <row r="696" spans="1:10" x14ac:dyDescent="0.35">
      <c r="A696" s="2" t="s">
        <v>732</v>
      </c>
      <c r="B696" s="4">
        <v>52</v>
      </c>
      <c r="C696" t="s">
        <v>17</v>
      </c>
      <c r="D696" t="s">
        <v>41</v>
      </c>
      <c r="E696" t="s">
        <v>53</v>
      </c>
      <c r="F696" t="s">
        <v>20</v>
      </c>
      <c r="G696" s="4">
        <v>4</v>
      </c>
      <c r="H696" s="1">
        <v>61717</v>
      </c>
      <c r="I696" s="3" t="s">
        <v>15</v>
      </c>
      <c r="J696" s="4">
        <v>4</v>
      </c>
    </row>
    <row r="697" spans="1:10" x14ac:dyDescent="0.35">
      <c r="A697" s="2" t="s">
        <v>733</v>
      </c>
      <c r="B697" s="4">
        <v>81</v>
      </c>
      <c r="C697" t="s">
        <v>11</v>
      </c>
      <c r="D697" t="s">
        <v>12</v>
      </c>
      <c r="E697" t="s">
        <v>53</v>
      </c>
      <c r="F697" t="s">
        <v>14</v>
      </c>
      <c r="G697" s="4">
        <v>2</v>
      </c>
      <c r="H697" s="1">
        <v>72389</v>
      </c>
      <c r="I697" s="3" t="s">
        <v>15</v>
      </c>
      <c r="J697" s="4">
        <v>5</v>
      </c>
    </row>
    <row r="698" spans="1:10" x14ac:dyDescent="0.35">
      <c r="A698" s="2" t="s">
        <v>734</v>
      </c>
      <c r="B698" s="4">
        <v>8</v>
      </c>
      <c r="C698" t="s">
        <v>17</v>
      </c>
      <c r="D698" t="s">
        <v>36</v>
      </c>
      <c r="E698" t="s">
        <v>34</v>
      </c>
      <c r="F698" t="s">
        <v>30</v>
      </c>
      <c r="G698" s="4">
        <v>15</v>
      </c>
      <c r="H698" s="1">
        <v>49319</v>
      </c>
      <c r="I698" s="3" t="s">
        <v>21</v>
      </c>
      <c r="J698" s="4">
        <v>1</v>
      </c>
    </row>
    <row r="699" spans="1:10" x14ac:dyDescent="0.35">
      <c r="A699" s="2" t="s">
        <v>735</v>
      </c>
      <c r="B699" s="4">
        <v>89</v>
      </c>
      <c r="C699" t="s">
        <v>11</v>
      </c>
      <c r="D699" t="s">
        <v>12</v>
      </c>
      <c r="E699" t="s">
        <v>13</v>
      </c>
      <c r="F699" t="s">
        <v>20</v>
      </c>
      <c r="G699" s="4">
        <v>7</v>
      </c>
      <c r="H699" s="1">
        <v>19638</v>
      </c>
      <c r="I699" s="3" t="s">
        <v>15</v>
      </c>
      <c r="J699" s="4">
        <v>4</v>
      </c>
    </row>
    <row r="700" spans="1:10" x14ac:dyDescent="0.35">
      <c r="A700" s="2" t="s">
        <v>736</v>
      </c>
      <c r="B700" s="4">
        <v>69</v>
      </c>
      <c r="C700" t="s">
        <v>11</v>
      </c>
      <c r="D700" t="s">
        <v>41</v>
      </c>
      <c r="E700" t="s">
        <v>29</v>
      </c>
      <c r="F700" t="s">
        <v>14</v>
      </c>
      <c r="G700" s="4">
        <v>1</v>
      </c>
      <c r="H700" s="1">
        <v>14270</v>
      </c>
      <c r="I700" s="3" t="s">
        <v>21</v>
      </c>
      <c r="J700" s="4">
        <v>3</v>
      </c>
    </row>
    <row r="701" spans="1:10" x14ac:dyDescent="0.35">
      <c r="A701" s="2" t="s">
        <v>737</v>
      </c>
      <c r="B701" s="4">
        <v>69</v>
      </c>
      <c r="C701" t="s">
        <v>11</v>
      </c>
      <c r="D701" t="s">
        <v>18</v>
      </c>
      <c r="E701" t="s">
        <v>29</v>
      </c>
      <c r="F701" t="s">
        <v>30</v>
      </c>
      <c r="G701" s="4">
        <v>3</v>
      </c>
      <c r="H701" s="1">
        <v>99030</v>
      </c>
      <c r="I701" s="3" t="s">
        <v>15</v>
      </c>
      <c r="J701" s="4">
        <v>1</v>
      </c>
    </row>
    <row r="702" spans="1:10" x14ac:dyDescent="0.35">
      <c r="A702" s="2" t="s">
        <v>738</v>
      </c>
      <c r="B702" s="4">
        <v>44</v>
      </c>
      <c r="C702" t="s">
        <v>11</v>
      </c>
      <c r="D702" t="s">
        <v>26</v>
      </c>
      <c r="E702" t="s">
        <v>13</v>
      </c>
      <c r="F702" t="s">
        <v>30</v>
      </c>
      <c r="G702" s="4">
        <v>4</v>
      </c>
      <c r="H702" s="1">
        <v>83420</v>
      </c>
      <c r="I702" s="3" t="s">
        <v>15</v>
      </c>
      <c r="J702" s="4">
        <v>3</v>
      </c>
    </row>
    <row r="703" spans="1:10" x14ac:dyDescent="0.35">
      <c r="A703" s="2" t="s">
        <v>739</v>
      </c>
      <c r="B703" s="4">
        <v>26</v>
      </c>
      <c r="C703" t="s">
        <v>17</v>
      </c>
      <c r="D703" t="s">
        <v>39</v>
      </c>
      <c r="E703" t="s">
        <v>65</v>
      </c>
      <c r="F703" t="s">
        <v>20</v>
      </c>
      <c r="G703" s="4">
        <v>7</v>
      </c>
      <c r="H703" s="1">
        <v>88478</v>
      </c>
      <c r="I703" s="3" t="s">
        <v>15</v>
      </c>
      <c r="J703" s="4">
        <v>2</v>
      </c>
    </row>
    <row r="704" spans="1:10" x14ac:dyDescent="0.35">
      <c r="A704" s="2" t="s">
        <v>740</v>
      </c>
      <c r="B704" s="4">
        <v>27</v>
      </c>
      <c r="C704" t="s">
        <v>17</v>
      </c>
      <c r="D704" t="s">
        <v>12</v>
      </c>
      <c r="E704" t="s">
        <v>42</v>
      </c>
      <c r="F704" t="s">
        <v>14</v>
      </c>
      <c r="G704" s="4">
        <v>12</v>
      </c>
      <c r="H704" s="1">
        <v>84821</v>
      </c>
      <c r="I704" s="3" t="s">
        <v>15</v>
      </c>
      <c r="J704" s="4">
        <v>5</v>
      </c>
    </row>
    <row r="705" spans="1:10" x14ac:dyDescent="0.35">
      <c r="A705" s="2" t="s">
        <v>741</v>
      </c>
      <c r="B705" s="4">
        <v>73</v>
      </c>
      <c r="C705" t="s">
        <v>17</v>
      </c>
      <c r="D705" t="s">
        <v>36</v>
      </c>
      <c r="E705" t="s">
        <v>42</v>
      </c>
      <c r="F705" t="s">
        <v>30</v>
      </c>
      <c r="G705" s="4">
        <v>1</v>
      </c>
      <c r="H705" s="1">
        <v>34349</v>
      </c>
      <c r="I705" s="3" t="s">
        <v>15</v>
      </c>
      <c r="J705" s="4">
        <v>5</v>
      </c>
    </row>
    <row r="706" spans="1:10" x14ac:dyDescent="0.35">
      <c r="A706" s="2" t="s">
        <v>742</v>
      </c>
      <c r="B706" s="4">
        <v>67</v>
      </c>
      <c r="C706" t="s">
        <v>11</v>
      </c>
      <c r="D706" t="s">
        <v>18</v>
      </c>
      <c r="E706" t="s">
        <v>37</v>
      </c>
      <c r="F706" t="s">
        <v>20</v>
      </c>
      <c r="G706" s="4">
        <v>7</v>
      </c>
      <c r="H706" s="1">
        <v>55507</v>
      </c>
      <c r="I706" s="3" t="s">
        <v>15</v>
      </c>
      <c r="J706" s="4">
        <v>4</v>
      </c>
    </row>
    <row r="707" spans="1:10" x14ac:dyDescent="0.35">
      <c r="A707" s="2" t="s">
        <v>743</v>
      </c>
      <c r="B707" s="4">
        <v>50</v>
      </c>
      <c r="C707" t="s">
        <v>17</v>
      </c>
      <c r="D707" t="s">
        <v>49</v>
      </c>
      <c r="E707" t="s">
        <v>34</v>
      </c>
      <c r="F707" t="s">
        <v>14</v>
      </c>
      <c r="G707" s="4">
        <v>15</v>
      </c>
      <c r="H707" s="1">
        <v>96866</v>
      </c>
      <c r="I707" s="3" t="s">
        <v>21</v>
      </c>
      <c r="J707" s="4">
        <v>1</v>
      </c>
    </row>
    <row r="708" spans="1:10" x14ac:dyDescent="0.35">
      <c r="A708" s="2" t="s">
        <v>744</v>
      </c>
      <c r="B708" s="4">
        <v>24</v>
      </c>
      <c r="C708" t="s">
        <v>17</v>
      </c>
      <c r="D708" t="s">
        <v>49</v>
      </c>
      <c r="E708" t="s">
        <v>34</v>
      </c>
      <c r="F708" t="s">
        <v>30</v>
      </c>
      <c r="G708" s="4">
        <v>14</v>
      </c>
      <c r="H708" s="1">
        <v>98406</v>
      </c>
      <c r="I708" s="3" t="s">
        <v>15</v>
      </c>
      <c r="J708" s="4">
        <v>1</v>
      </c>
    </row>
    <row r="709" spans="1:10" x14ac:dyDescent="0.35">
      <c r="A709" s="2" t="s">
        <v>745</v>
      </c>
      <c r="B709" s="4">
        <v>68</v>
      </c>
      <c r="C709" t="s">
        <v>17</v>
      </c>
      <c r="D709" t="s">
        <v>26</v>
      </c>
      <c r="E709" t="s">
        <v>65</v>
      </c>
      <c r="F709" t="s">
        <v>20</v>
      </c>
      <c r="G709" s="4">
        <v>6</v>
      </c>
      <c r="H709" s="1">
        <v>86274</v>
      </c>
      <c r="I709" s="3" t="s">
        <v>15</v>
      </c>
      <c r="J709" s="4">
        <v>2</v>
      </c>
    </row>
    <row r="710" spans="1:10" x14ac:dyDescent="0.35">
      <c r="A710" s="2" t="s">
        <v>746</v>
      </c>
      <c r="B710" s="4">
        <v>19</v>
      </c>
      <c r="C710" t="s">
        <v>11</v>
      </c>
      <c r="D710" t="s">
        <v>41</v>
      </c>
      <c r="E710" t="s">
        <v>53</v>
      </c>
      <c r="F710" t="s">
        <v>20</v>
      </c>
      <c r="G710" s="4">
        <v>5</v>
      </c>
      <c r="H710" s="1">
        <v>72308</v>
      </c>
      <c r="I710" s="3" t="s">
        <v>21</v>
      </c>
      <c r="J710" s="4">
        <v>5</v>
      </c>
    </row>
    <row r="711" spans="1:10" x14ac:dyDescent="0.35">
      <c r="A711" s="2" t="s">
        <v>747</v>
      </c>
      <c r="B711" s="4">
        <v>85</v>
      </c>
      <c r="C711" t="s">
        <v>11</v>
      </c>
      <c r="D711" t="s">
        <v>18</v>
      </c>
      <c r="E711" t="s">
        <v>34</v>
      </c>
      <c r="F711" t="s">
        <v>14</v>
      </c>
      <c r="G711" s="4">
        <v>15</v>
      </c>
      <c r="H711" s="1">
        <v>56271</v>
      </c>
      <c r="I711" s="3" t="s">
        <v>21</v>
      </c>
      <c r="J711" s="4">
        <v>4</v>
      </c>
    </row>
    <row r="712" spans="1:10" x14ac:dyDescent="0.35">
      <c r="A712" s="2" t="s">
        <v>748</v>
      </c>
      <c r="B712" s="4">
        <v>29</v>
      </c>
      <c r="C712" t="s">
        <v>17</v>
      </c>
      <c r="D712" t="s">
        <v>49</v>
      </c>
      <c r="E712" t="s">
        <v>29</v>
      </c>
      <c r="F712" t="s">
        <v>14</v>
      </c>
      <c r="G712" s="4">
        <v>7</v>
      </c>
      <c r="H712" s="1">
        <v>37396</v>
      </c>
      <c r="I712" s="3" t="s">
        <v>15</v>
      </c>
      <c r="J712" s="4">
        <v>5</v>
      </c>
    </row>
    <row r="713" spans="1:10" x14ac:dyDescent="0.35">
      <c r="A713" s="2" t="s">
        <v>749</v>
      </c>
      <c r="B713" s="4">
        <v>76</v>
      </c>
      <c r="C713" t="s">
        <v>17</v>
      </c>
      <c r="D713" t="s">
        <v>36</v>
      </c>
      <c r="E713" t="s">
        <v>29</v>
      </c>
      <c r="F713" t="s">
        <v>20</v>
      </c>
      <c r="G713" s="4">
        <v>10</v>
      </c>
      <c r="H713" s="1">
        <v>39664</v>
      </c>
      <c r="I713" s="3" t="s">
        <v>15</v>
      </c>
      <c r="J713" s="4">
        <v>5</v>
      </c>
    </row>
    <row r="714" spans="1:10" x14ac:dyDescent="0.35">
      <c r="A714" s="2" t="s">
        <v>750</v>
      </c>
      <c r="B714" s="4">
        <v>48</v>
      </c>
      <c r="C714" t="s">
        <v>11</v>
      </c>
      <c r="D714" t="s">
        <v>12</v>
      </c>
      <c r="E714" t="s">
        <v>29</v>
      </c>
      <c r="F714" t="s">
        <v>20</v>
      </c>
      <c r="G714" s="4">
        <v>14</v>
      </c>
      <c r="H714" s="1">
        <v>78379</v>
      </c>
      <c r="I714" s="3" t="s">
        <v>15</v>
      </c>
      <c r="J714" s="4">
        <v>3</v>
      </c>
    </row>
    <row r="715" spans="1:10" x14ac:dyDescent="0.35">
      <c r="A715" s="2" t="s">
        <v>751</v>
      </c>
      <c r="B715" s="4">
        <v>76</v>
      </c>
      <c r="C715" t="s">
        <v>17</v>
      </c>
      <c r="D715" t="s">
        <v>41</v>
      </c>
      <c r="E715" t="s">
        <v>24</v>
      </c>
      <c r="F715" t="s">
        <v>30</v>
      </c>
      <c r="G715" s="4">
        <v>6</v>
      </c>
      <c r="H715" s="1">
        <v>74821</v>
      </c>
      <c r="I715" s="3" t="s">
        <v>21</v>
      </c>
      <c r="J715" s="4">
        <v>5</v>
      </c>
    </row>
    <row r="716" spans="1:10" x14ac:dyDescent="0.35">
      <c r="A716" s="2" t="s">
        <v>752</v>
      </c>
      <c r="B716" s="4">
        <v>55</v>
      </c>
      <c r="C716" t="s">
        <v>17</v>
      </c>
      <c r="D716" t="s">
        <v>36</v>
      </c>
      <c r="E716" t="s">
        <v>19</v>
      </c>
      <c r="F716" t="s">
        <v>20</v>
      </c>
      <c r="G716" s="4">
        <v>4</v>
      </c>
      <c r="H716" s="1">
        <v>71239</v>
      </c>
      <c r="I716" s="3" t="s">
        <v>15</v>
      </c>
      <c r="J716" s="4">
        <v>3</v>
      </c>
    </row>
    <row r="717" spans="1:10" x14ac:dyDescent="0.35">
      <c r="A717" s="2" t="s">
        <v>753</v>
      </c>
      <c r="B717" s="4">
        <v>28</v>
      </c>
      <c r="C717" t="s">
        <v>11</v>
      </c>
      <c r="D717" t="s">
        <v>23</v>
      </c>
      <c r="E717" t="s">
        <v>34</v>
      </c>
      <c r="F717" t="s">
        <v>14</v>
      </c>
      <c r="G717" s="4">
        <v>12</v>
      </c>
      <c r="H717" s="1">
        <v>51908</v>
      </c>
      <c r="I717" s="3" t="s">
        <v>15</v>
      </c>
      <c r="J717" s="4">
        <v>4</v>
      </c>
    </row>
    <row r="718" spans="1:10" x14ac:dyDescent="0.35">
      <c r="A718" s="2" t="s">
        <v>754</v>
      </c>
      <c r="B718" s="4">
        <v>33</v>
      </c>
      <c r="C718" t="s">
        <v>11</v>
      </c>
      <c r="D718" t="s">
        <v>12</v>
      </c>
      <c r="E718" t="s">
        <v>42</v>
      </c>
      <c r="F718" t="s">
        <v>30</v>
      </c>
      <c r="G718" s="4">
        <v>3</v>
      </c>
      <c r="H718" s="1">
        <v>77980</v>
      </c>
      <c r="I718" s="3" t="s">
        <v>21</v>
      </c>
      <c r="J718" s="4">
        <v>5</v>
      </c>
    </row>
    <row r="719" spans="1:10" x14ac:dyDescent="0.35">
      <c r="A719" s="2" t="s">
        <v>755</v>
      </c>
      <c r="B719" s="4">
        <v>76</v>
      </c>
      <c r="C719" t="s">
        <v>11</v>
      </c>
      <c r="D719" t="s">
        <v>26</v>
      </c>
      <c r="E719" t="s">
        <v>29</v>
      </c>
      <c r="F719" t="s">
        <v>30</v>
      </c>
      <c r="G719" s="4">
        <v>12</v>
      </c>
      <c r="H719" s="1">
        <v>41440</v>
      </c>
      <c r="I719" s="3" t="s">
        <v>15</v>
      </c>
      <c r="J719" s="4">
        <v>2</v>
      </c>
    </row>
    <row r="720" spans="1:10" x14ac:dyDescent="0.35">
      <c r="A720" s="2" t="s">
        <v>756</v>
      </c>
      <c r="B720" s="4">
        <v>51</v>
      </c>
      <c r="C720" t="s">
        <v>11</v>
      </c>
      <c r="D720" t="s">
        <v>28</v>
      </c>
      <c r="E720" t="s">
        <v>53</v>
      </c>
      <c r="F720" t="s">
        <v>20</v>
      </c>
      <c r="G720" s="4">
        <v>1</v>
      </c>
      <c r="H720" s="1">
        <v>85577</v>
      </c>
      <c r="I720" s="3" t="s">
        <v>15</v>
      </c>
      <c r="J720" s="4">
        <v>2</v>
      </c>
    </row>
    <row r="721" spans="1:10" x14ac:dyDescent="0.35">
      <c r="A721" s="2" t="s">
        <v>757</v>
      </c>
      <c r="B721" s="4">
        <v>18</v>
      </c>
      <c r="C721" t="s">
        <v>11</v>
      </c>
      <c r="D721" t="s">
        <v>23</v>
      </c>
      <c r="E721" t="s">
        <v>13</v>
      </c>
      <c r="F721" t="s">
        <v>14</v>
      </c>
      <c r="G721" s="4">
        <v>8</v>
      </c>
      <c r="H721" s="1">
        <v>51750</v>
      </c>
      <c r="I721" s="3" t="s">
        <v>21</v>
      </c>
      <c r="J721" s="4">
        <v>4</v>
      </c>
    </row>
    <row r="722" spans="1:10" x14ac:dyDescent="0.35">
      <c r="A722" s="2" t="s">
        <v>758</v>
      </c>
      <c r="B722" s="4">
        <v>54</v>
      </c>
      <c r="C722" t="s">
        <v>11</v>
      </c>
      <c r="D722" t="s">
        <v>36</v>
      </c>
      <c r="E722" t="s">
        <v>34</v>
      </c>
      <c r="F722" t="s">
        <v>14</v>
      </c>
      <c r="G722" s="4">
        <v>7</v>
      </c>
      <c r="H722" s="1">
        <v>88509</v>
      </c>
      <c r="I722" s="3" t="s">
        <v>15</v>
      </c>
      <c r="J722" s="4">
        <v>2</v>
      </c>
    </row>
    <row r="723" spans="1:10" x14ac:dyDescent="0.35">
      <c r="A723" s="2" t="s">
        <v>759</v>
      </c>
      <c r="B723" s="4">
        <v>10</v>
      </c>
      <c r="C723" t="s">
        <v>11</v>
      </c>
      <c r="D723" t="s">
        <v>39</v>
      </c>
      <c r="E723" t="s">
        <v>53</v>
      </c>
      <c r="F723" t="s">
        <v>20</v>
      </c>
      <c r="G723" s="4">
        <v>4</v>
      </c>
      <c r="H723" s="1">
        <v>50957</v>
      </c>
      <c r="I723" s="3" t="s">
        <v>21</v>
      </c>
      <c r="J723" s="4">
        <v>4</v>
      </c>
    </row>
    <row r="724" spans="1:10" x14ac:dyDescent="0.35">
      <c r="A724" s="2" t="s">
        <v>760</v>
      </c>
      <c r="B724" s="4">
        <v>28</v>
      </c>
      <c r="C724" t="s">
        <v>11</v>
      </c>
      <c r="D724" t="s">
        <v>18</v>
      </c>
      <c r="E724" t="s">
        <v>13</v>
      </c>
      <c r="F724" t="s">
        <v>14</v>
      </c>
      <c r="G724" s="4">
        <v>3</v>
      </c>
      <c r="H724" s="1">
        <v>46343</v>
      </c>
      <c r="I724" s="3" t="s">
        <v>21</v>
      </c>
      <c r="J724" s="4">
        <v>2</v>
      </c>
    </row>
    <row r="725" spans="1:10" x14ac:dyDescent="0.35">
      <c r="A725" s="2" t="s">
        <v>761</v>
      </c>
      <c r="B725" s="4">
        <v>74</v>
      </c>
      <c r="C725" t="s">
        <v>11</v>
      </c>
      <c r="D725" t="s">
        <v>28</v>
      </c>
      <c r="E725" t="s">
        <v>27</v>
      </c>
      <c r="F725" t="s">
        <v>14</v>
      </c>
      <c r="G725" s="4">
        <v>2</v>
      </c>
      <c r="H725" s="1">
        <v>76207</v>
      </c>
      <c r="I725" s="3" t="s">
        <v>15</v>
      </c>
      <c r="J725" s="4">
        <v>3</v>
      </c>
    </row>
    <row r="726" spans="1:10" x14ac:dyDescent="0.35">
      <c r="A726" s="2" t="s">
        <v>762</v>
      </c>
      <c r="B726" s="4">
        <v>48</v>
      </c>
      <c r="C726" t="s">
        <v>11</v>
      </c>
      <c r="D726" t="s">
        <v>36</v>
      </c>
      <c r="E726" t="s">
        <v>65</v>
      </c>
      <c r="F726" t="s">
        <v>30</v>
      </c>
      <c r="G726" s="4">
        <v>13</v>
      </c>
      <c r="H726" s="1">
        <v>58760</v>
      </c>
      <c r="I726" s="3" t="s">
        <v>15</v>
      </c>
      <c r="J726" s="4">
        <v>3</v>
      </c>
    </row>
    <row r="727" spans="1:10" x14ac:dyDescent="0.35">
      <c r="A727" s="2" t="s">
        <v>763</v>
      </c>
      <c r="B727" s="4">
        <v>23</v>
      </c>
      <c r="C727" t="s">
        <v>11</v>
      </c>
      <c r="D727" t="s">
        <v>33</v>
      </c>
      <c r="E727" t="s">
        <v>65</v>
      </c>
      <c r="F727" t="s">
        <v>20</v>
      </c>
      <c r="G727" s="4">
        <v>5</v>
      </c>
      <c r="H727" s="1">
        <v>22838</v>
      </c>
      <c r="I727" s="3" t="s">
        <v>21</v>
      </c>
      <c r="J727" s="4">
        <v>3</v>
      </c>
    </row>
    <row r="728" spans="1:10" x14ac:dyDescent="0.35">
      <c r="A728" s="2" t="s">
        <v>764</v>
      </c>
      <c r="B728" s="4">
        <v>80</v>
      </c>
      <c r="C728" t="s">
        <v>17</v>
      </c>
      <c r="D728" t="s">
        <v>18</v>
      </c>
      <c r="E728" t="s">
        <v>37</v>
      </c>
      <c r="F728" t="s">
        <v>14</v>
      </c>
      <c r="G728" s="4">
        <v>8</v>
      </c>
      <c r="H728" s="1">
        <v>90230</v>
      </c>
      <c r="I728" s="3" t="s">
        <v>21</v>
      </c>
      <c r="J728" s="4">
        <v>1</v>
      </c>
    </row>
    <row r="729" spans="1:10" x14ac:dyDescent="0.35">
      <c r="A729" s="2" t="s">
        <v>765</v>
      </c>
      <c r="B729" s="4">
        <v>31</v>
      </c>
      <c r="C729" t="s">
        <v>11</v>
      </c>
      <c r="D729" t="s">
        <v>36</v>
      </c>
      <c r="E729" t="s">
        <v>27</v>
      </c>
      <c r="F729" t="s">
        <v>14</v>
      </c>
      <c r="G729" s="4">
        <v>11</v>
      </c>
      <c r="H729" s="1">
        <v>25465</v>
      </c>
      <c r="I729" s="3" t="s">
        <v>21</v>
      </c>
      <c r="J729" s="4">
        <v>2</v>
      </c>
    </row>
    <row r="730" spans="1:10" x14ac:dyDescent="0.35">
      <c r="A730" s="2" t="s">
        <v>766</v>
      </c>
      <c r="B730" s="4">
        <v>36</v>
      </c>
      <c r="C730" t="s">
        <v>11</v>
      </c>
      <c r="D730" t="s">
        <v>23</v>
      </c>
      <c r="E730" t="s">
        <v>42</v>
      </c>
      <c r="F730" t="s">
        <v>20</v>
      </c>
      <c r="G730" s="4">
        <v>7</v>
      </c>
      <c r="H730" s="1">
        <v>6293</v>
      </c>
      <c r="I730" s="3" t="s">
        <v>15</v>
      </c>
      <c r="J730" s="4">
        <v>3</v>
      </c>
    </row>
    <row r="731" spans="1:10" x14ac:dyDescent="0.35">
      <c r="A731" s="2" t="s">
        <v>767</v>
      </c>
      <c r="B731" s="4">
        <v>57</v>
      </c>
      <c r="C731" t="s">
        <v>11</v>
      </c>
      <c r="D731" t="s">
        <v>39</v>
      </c>
      <c r="E731" t="s">
        <v>65</v>
      </c>
      <c r="F731" t="s">
        <v>30</v>
      </c>
      <c r="G731" s="4">
        <v>6</v>
      </c>
      <c r="H731" s="1">
        <v>6626</v>
      </c>
      <c r="I731" s="3" t="s">
        <v>21</v>
      </c>
      <c r="J731" s="4">
        <v>5</v>
      </c>
    </row>
    <row r="732" spans="1:10" x14ac:dyDescent="0.35">
      <c r="A732" s="2" t="s">
        <v>768</v>
      </c>
      <c r="B732" s="4">
        <v>63</v>
      </c>
      <c r="C732" t="s">
        <v>17</v>
      </c>
      <c r="D732" t="s">
        <v>12</v>
      </c>
      <c r="E732" t="s">
        <v>27</v>
      </c>
      <c r="F732" t="s">
        <v>14</v>
      </c>
      <c r="G732" s="4">
        <v>7</v>
      </c>
      <c r="H732" s="1">
        <v>62278</v>
      </c>
      <c r="I732" s="3" t="s">
        <v>21</v>
      </c>
      <c r="J732" s="4">
        <v>2</v>
      </c>
    </row>
    <row r="733" spans="1:10" x14ac:dyDescent="0.35">
      <c r="A733" s="2" t="s">
        <v>769</v>
      </c>
      <c r="B733" s="4">
        <v>84</v>
      </c>
      <c r="C733" t="s">
        <v>11</v>
      </c>
      <c r="D733" t="s">
        <v>26</v>
      </c>
      <c r="E733" t="s">
        <v>13</v>
      </c>
      <c r="F733" t="s">
        <v>14</v>
      </c>
      <c r="G733" s="4">
        <v>15</v>
      </c>
      <c r="H733" s="1">
        <v>64485</v>
      </c>
      <c r="I733" s="3" t="s">
        <v>15</v>
      </c>
      <c r="J733" s="4">
        <v>2</v>
      </c>
    </row>
    <row r="734" spans="1:10" x14ac:dyDescent="0.35">
      <c r="A734" s="2" t="s">
        <v>770</v>
      </c>
      <c r="B734" s="4">
        <v>65</v>
      </c>
      <c r="C734" t="s">
        <v>17</v>
      </c>
      <c r="D734" t="s">
        <v>41</v>
      </c>
      <c r="E734" t="s">
        <v>29</v>
      </c>
      <c r="F734" t="s">
        <v>14</v>
      </c>
      <c r="G734" s="4">
        <v>13</v>
      </c>
      <c r="H734" s="1">
        <v>49402</v>
      </c>
      <c r="I734" s="3" t="s">
        <v>15</v>
      </c>
      <c r="J734" s="4">
        <v>1</v>
      </c>
    </row>
    <row r="735" spans="1:10" x14ac:dyDescent="0.35">
      <c r="A735" s="2" t="s">
        <v>771</v>
      </c>
      <c r="B735" s="4">
        <v>42</v>
      </c>
      <c r="C735" t="s">
        <v>11</v>
      </c>
      <c r="D735" t="s">
        <v>12</v>
      </c>
      <c r="E735" t="s">
        <v>42</v>
      </c>
      <c r="F735" t="s">
        <v>30</v>
      </c>
      <c r="G735" s="4">
        <v>13</v>
      </c>
      <c r="H735" s="1">
        <v>62074</v>
      </c>
      <c r="I735" s="3" t="s">
        <v>15</v>
      </c>
      <c r="J735" s="4">
        <v>2</v>
      </c>
    </row>
    <row r="736" spans="1:10" x14ac:dyDescent="0.35">
      <c r="A736" s="2" t="s">
        <v>772</v>
      </c>
      <c r="B736" s="4">
        <v>27</v>
      </c>
      <c r="C736" t="s">
        <v>11</v>
      </c>
      <c r="D736" t="s">
        <v>33</v>
      </c>
      <c r="E736" t="s">
        <v>13</v>
      </c>
      <c r="F736" t="s">
        <v>30</v>
      </c>
      <c r="G736" s="4">
        <v>13</v>
      </c>
      <c r="H736" s="1">
        <v>82272</v>
      </c>
      <c r="I736" s="3" t="s">
        <v>21</v>
      </c>
      <c r="J736" s="4">
        <v>5</v>
      </c>
    </row>
    <row r="737" spans="1:10" x14ac:dyDescent="0.35">
      <c r="A737" s="2" t="s">
        <v>773</v>
      </c>
      <c r="B737" s="4">
        <v>84</v>
      </c>
      <c r="C737" t="s">
        <v>11</v>
      </c>
      <c r="D737" t="s">
        <v>49</v>
      </c>
      <c r="E737" t="s">
        <v>42</v>
      </c>
      <c r="F737" t="s">
        <v>20</v>
      </c>
      <c r="G737" s="4">
        <v>1</v>
      </c>
      <c r="H737" s="1">
        <v>64884</v>
      </c>
      <c r="I737" s="3" t="s">
        <v>21</v>
      </c>
      <c r="J737" s="4">
        <v>1</v>
      </c>
    </row>
    <row r="738" spans="1:10" x14ac:dyDescent="0.35">
      <c r="A738" s="2" t="s">
        <v>774</v>
      </c>
      <c r="B738" s="4">
        <v>65</v>
      </c>
      <c r="C738" t="s">
        <v>11</v>
      </c>
      <c r="D738" t="s">
        <v>23</v>
      </c>
      <c r="E738" t="s">
        <v>29</v>
      </c>
      <c r="F738" t="s">
        <v>20</v>
      </c>
      <c r="G738" s="4">
        <v>9</v>
      </c>
      <c r="H738" s="1">
        <v>72767</v>
      </c>
      <c r="I738" s="3" t="s">
        <v>21</v>
      </c>
      <c r="J738" s="4">
        <v>3</v>
      </c>
    </row>
    <row r="739" spans="1:10" x14ac:dyDescent="0.35">
      <c r="A739" s="2" t="s">
        <v>775</v>
      </c>
      <c r="B739" s="4">
        <v>20</v>
      </c>
      <c r="C739" t="s">
        <v>17</v>
      </c>
      <c r="D739" t="s">
        <v>33</v>
      </c>
      <c r="E739" t="s">
        <v>19</v>
      </c>
      <c r="F739" t="s">
        <v>30</v>
      </c>
      <c r="G739" s="4">
        <v>2</v>
      </c>
      <c r="H739" s="1">
        <v>23773</v>
      </c>
      <c r="I739" s="3" t="s">
        <v>21</v>
      </c>
      <c r="J739" s="4">
        <v>4</v>
      </c>
    </row>
    <row r="740" spans="1:10" x14ac:dyDescent="0.35">
      <c r="A740" s="2" t="s">
        <v>776</v>
      </c>
      <c r="B740" s="4">
        <v>78</v>
      </c>
      <c r="C740" t="s">
        <v>11</v>
      </c>
      <c r="D740" t="s">
        <v>33</v>
      </c>
      <c r="E740" t="s">
        <v>27</v>
      </c>
      <c r="F740" t="s">
        <v>30</v>
      </c>
      <c r="G740" s="4">
        <v>10</v>
      </c>
      <c r="H740" s="1">
        <v>77559</v>
      </c>
      <c r="I740" s="3" t="s">
        <v>21</v>
      </c>
      <c r="J740" s="4">
        <v>1</v>
      </c>
    </row>
    <row r="741" spans="1:10" x14ac:dyDescent="0.35">
      <c r="A741" s="2" t="s">
        <v>777</v>
      </c>
      <c r="B741" s="4">
        <v>29</v>
      </c>
      <c r="C741" t="s">
        <v>11</v>
      </c>
      <c r="D741" t="s">
        <v>23</v>
      </c>
      <c r="E741" t="s">
        <v>34</v>
      </c>
      <c r="F741" t="s">
        <v>14</v>
      </c>
      <c r="G741" s="4">
        <v>12</v>
      </c>
      <c r="H741" s="1">
        <v>50654</v>
      </c>
      <c r="I741" s="3" t="s">
        <v>15</v>
      </c>
      <c r="J741" s="4">
        <v>2</v>
      </c>
    </row>
    <row r="742" spans="1:10" x14ac:dyDescent="0.35">
      <c r="A742" s="2" t="s">
        <v>778</v>
      </c>
      <c r="B742" s="4">
        <v>80</v>
      </c>
      <c r="C742" t="s">
        <v>17</v>
      </c>
      <c r="D742" t="s">
        <v>39</v>
      </c>
      <c r="E742" t="s">
        <v>65</v>
      </c>
      <c r="F742" t="s">
        <v>14</v>
      </c>
      <c r="G742" s="4">
        <v>9</v>
      </c>
      <c r="H742" s="1">
        <v>46507</v>
      </c>
      <c r="I742" s="3" t="s">
        <v>21</v>
      </c>
      <c r="J742" s="4">
        <v>1</v>
      </c>
    </row>
    <row r="743" spans="1:10" x14ac:dyDescent="0.35">
      <c r="A743" s="2" t="s">
        <v>779</v>
      </c>
      <c r="B743" s="4">
        <v>66</v>
      </c>
      <c r="C743" t="s">
        <v>11</v>
      </c>
      <c r="D743" t="s">
        <v>41</v>
      </c>
      <c r="E743" t="s">
        <v>65</v>
      </c>
      <c r="F743" t="s">
        <v>14</v>
      </c>
      <c r="G743" s="4">
        <v>6</v>
      </c>
      <c r="H743" s="1">
        <v>15140</v>
      </c>
      <c r="I743" s="3" t="s">
        <v>15</v>
      </c>
      <c r="J743" s="4">
        <v>2</v>
      </c>
    </row>
    <row r="744" spans="1:10" x14ac:dyDescent="0.35">
      <c r="A744" s="2" t="s">
        <v>780</v>
      </c>
      <c r="B744" s="4">
        <v>56</v>
      </c>
      <c r="C744" t="s">
        <v>11</v>
      </c>
      <c r="D744" t="s">
        <v>28</v>
      </c>
      <c r="E744" t="s">
        <v>65</v>
      </c>
      <c r="F744" t="s">
        <v>30</v>
      </c>
      <c r="G744" s="4">
        <v>10</v>
      </c>
      <c r="H744" s="1">
        <v>80758</v>
      </c>
      <c r="I744" s="3" t="s">
        <v>15</v>
      </c>
      <c r="J744" s="4">
        <v>5</v>
      </c>
    </row>
    <row r="745" spans="1:10" x14ac:dyDescent="0.35">
      <c r="A745" s="2" t="s">
        <v>781</v>
      </c>
      <c r="B745" s="4">
        <v>6</v>
      </c>
      <c r="C745" t="s">
        <v>17</v>
      </c>
      <c r="D745" t="s">
        <v>28</v>
      </c>
      <c r="E745" t="s">
        <v>37</v>
      </c>
      <c r="F745" t="s">
        <v>20</v>
      </c>
      <c r="G745" s="4">
        <v>1</v>
      </c>
      <c r="H745" s="1">
        <v>90773</v>
      </c>
      <c r="I745" s="3" t="s">
        <v>21</v>
      </c>
      <c r="J745" s="4">
        <v>2</v>
      </c>
    </row>
    <row r="746" spans="1:10" x14ac:dyDescent="0.35">
      <c r="A746" s="2" t="s">
        <v>782</v>
      </c>
      <c r="B746" s="4">
        <v>45</v>
      </c>
      <c r="C746" t="s">
        <v>11</v>
      </c>
      <c r="D746" t="s">
        <v>33</v>
      </c>
      <c r="E746" t="s">
        <v>27</v>
      </c>
      <c r="F746" t="s">
        <v>14</v>
      </c>
      <c r="G746" s="4">
        <v>9</v>
      </c>
      <c r="H746" s="1">
        <v>11733</v>
      </c>
      <c r="I746" s="3" t="s">
        <v>15</v>
      </c>
      <c r="J746" s="4">
        <v>4</v>
      </c>
    </row>
    <row r="747" spans="1:10" x14ac:dyDescent="0.35">
      <c r="A747" s="2" t="s">
        <v>783</v>
      </c>
      <c r="B747" s="4">
        <v>72</v>
      </c>
      <c r="C747" t="s">
        <v>17</v>
      </c>
      <c r="D747" t="s">
        <v>36</v>
      </c>
      <c r="E747" t="s">
        <v>53</v>
      </c>
      <c r="F747" t="s">
        <v>30</v>
      </c>
      <c r="G747" s="4">
        <v>5</v>
      </c>
      <c r="H747" s="1">
        <v>87152</v>
      </c>
      <c r="I747" s="3" t="s">
        <v>21</v>
      </c>
      <c r="J747" s="4">
        <v>1</v>
      </c>
    </row>
    <row r="748" spans="1:10" x14ac:dyDescent="0.35">
      <c r="A748" s="2" t="s">
        <v>784</v>
      </c>
      <c r="B748" s="4">
        <v>47</v>
      </c>
      <c r="C748" t="s">
        <v>11</v>
      </c>
      <c r="D748" t="s">
        <v>39</v>
      </c>
      <c r="E748" t="s">
        <v>42</v>
      </c>
      <c r="F748" t="s">
        <v>20</v>
      </c>
      <c r="G748" s="4">
        <v>5</v>
      </c>
      <c r="H748" s="1">
        <v>97780</v>
      </c>
      <c r="I748" s="3" t="s">
        <v>15</v>
      </c>
      <c r="J748" s="4">
        <v>3</v>
      </c>
    </row>
    <row r="749" spans="1:10" x14ac:dyDescent="0.35">
      <c r="A749" s="2" t="s">
        <v>785</v>
      </c>
      <c r="B749" s="4">
        <v>83</v>
      </c>
      <c r="C749" t="s">
        <v>17</v>
      </c>
      <c r="D749" t="s">
        <v>12</v>
      </c>
      <c r="E749" t="s">
        <v>13</v>
      </c>
      <c r="F749" t="s">
        <v>30</v>
      </c>
      <c r="G749" s="4">
        <v>5</v>
      </c>
      <c r="H749" s="1">
        <v>36755</v>
      </c>
      <c r="I749" s="3" t="s">
        <v>15</v>
      </c>
      <c r="J749" s="4">
        <v>4</v>
      </c>
    </row>
    <row r="750" spans="1:10" x14ac:dyDescent="0.35">
      <c r="A750" s="2" t="s">
        <v>786</v>
      </c>
      <c r="B750" s="4">
        <v>34</v>
      </c>
      <c r="C750" t="s">
        <v>17</v>
      </c>
      <c r="D750" t="s">
        <v>36</v>
      </c>
      <c r="E750" t="s">
        <v>37</v>
      </c>
      <c r="F750" t="s">
        <v>20</v>
      </c>
      <c r="G750" s="4">
        <v>5</v>
      </c>
      <c r="H750" s="1">
        <v>61874</v>
      </c>
      <c r="I750" s="3" t="s">
        <v>21</v>
      </c>
      <c r="J750" s="4">
        <v>2</v>
      </c>
    </row>
    <row r="751" spans="1:10" x14ac:dyDescent="0.35">
      <c r="A751" s="2" t="s">
        <v>787</v>
      </c>
      <c r="B751" s="4">
        <v>67</v>
      </c>
      <c r="C751" t="s">
        <v>11</v>
      </c>
      <c r="D751" t="s">
        <v>12</v>
      </c>
      <c r="E751" t="s">
        <v>34</v>
      </c>
      <c r="F751" t="s">
        <v>30</v>
      </c>
      <c r="G751" s="4">
        <v>10</v>
      </c>
      <c r="H751" s="1">
        <v>61857</v>
      </c>
      <c r="I751" s="3" t="s">
        <v>21</v>
      </c>
      <c r="J751" s="4">
        <v>4</v>
      </c>
    </row>
    <row r="752" spans="1:10" x14ac:dyDescent="0.35">
      <c r="A752" s="2" t="s">
        <v>788</v>
      </c>
      <c r="B752" s="4">
        <v>14</v>
      </c>
      <c r="C752" t="s">
        <v>17</v>
      </c>
      <c r="D752" t="s">
        <v>18</v>
      </c>
      <c r="E752" t="s">
        <v>13</v>
      </c>
      <c r="F752" t="s">
        <v>14</v>
      </c>
      <c r="G752" s="4">
        <v>15</v>
      </c>
      <c r="H752" s="1">
        <v>82899</v>
      </c>
      <c r="I752" s="3" t="s">
        <v>21</v>
      </c>
      <c r="J752" s="4">
        <v>2</v>
      </c>
    </row>
    <row r="753" spans="1:10" x14ac:dyDescent="0.35">
      <c r="A753" s="2" t="s">
        <v>789</v>
      </c>
      <c r="B753" s="4">
        <v>71</v>
      </c>
      <c r="C753" t="s">
        <v>11</v>
      </c>
      <c r="D753" t="s">
        <v>28</v>
      </c>
      <c r="E753" t="s">
        <v>29</v>
      </c>
      <c r="F753" t="s">
        <v>30</v>
      </c>
      <c r="G753" s="4">
        <v>15</v>
      </c>
      <c r="H753" s="1">
        <v>6744</v>
      </c>
      <c r="I753" s="3" t="s">
        <v>21</v>
      </c>
      <c r="J753" s="4">
        <v>1</v>
      </c>
    </row>
    <row r="754" spans="1:10" x14ac:dyDescent="0.35">
      <c r="A754" s="2" t="s">
        <v>790</v>
      </c>
      <c r="B754" s="4">
        <v>75</v>
      </c>
      <c r="C754" t="s">
        <v>11</v>
      </c>
      <c r="D754" t="s">
        <v>26</v>
      </c>
      <c r="E754" t="s">
        <v>24</v>
      </c>
      <c r="F754" t="s">
        <v>14</v>
      </c>
      <c r="G754" s="4">
        <v>11</v>
      </c>
      <c r="H754" s="1">
        <v>82821</v>
      </c>
      <c r="I754" s="3" t="s">
        <v>15</v>
      </c>
      <c r="J754" s="4">
        <v>3</v>
      </c>
    </row>
    <row r="755" spans="1:10" x14ac:dyDescent="0.35">
      <c r="A755" s="2" t="s">
        <v>791</v>
      </c>
      <c r="B755" s="4">
        <v>12</v>
      </c>
      <c r="C755" t="s">
        <v>11</v>
      </c>
      <c r="D755" t="s">
        <v>28</v>
      </c>
      <c r="E755" t="s">
        <v>42</v>
      </c>
      <c r="F755" t="s">
        <v>30</v>
      </c>
      <c r="G755" s="4">
        <v>9</v>
      </c>
      <c r="H755" s="1">
        <v>14305</v>
      </c>
      <c r="I755" s="3" t="s">
        <v>15</v>
      </c>
      <c r="J755" s="4">
        <v>2</v>
      </c>
    </row>
    <row r="756" spans="1:10" x14ac:dyDescent="0.35">
      <c r="A756" s="2" t="s">
        <v>792</v>
      </c>
      <c r="B756" s="4">
        <v>14</v>
      </c>
      <c r="C756" t="s">
        <v>17</v>
      </c>
      <c r="D756" t="s">
        <v>39</v>
      </c>
      <c r="E756" t="s">
        <v>13</v>
      </c>
      <c r="F756" t="s">
        <v>30</v>
      </c>
      <c r="G756" s="4">
        <v>5</v>
      </c>
      <c r="H756" s="1">
        <v>5031</v>
      </c>
      <c r="I756" s="3" t="s">
        <v>15</v>
      </c>
      <c r="J756" s="4">
        <v>4</v>
      </c>
    </row>
    <row r="757" spans="1:10" x14ac:dyDescent="0.35">
      <c r="A757" s="2" t="s">
        <v>793</v>
      </c>
      <c r="B757" s="4">
        <v>4</v>
      </c>
      <c r="C757" t="s">
        <v>11</v>
      </c>
      <c r="D757" t="s">
        <v>41</v>
      </c>
      <c r="E757" t="s">
        <v>34</v>
      </c>
      <c r="F757" t="s">
        <v>14</v>
      </c>
      <c r="G757" s="4">
        <v>12</v>
      </c>
      <c r="H757" s="1">
        <v>43138</v>
      </c>
      <c r="I757" s="3" t="s">
        <v>15</v>
      </c>
      <c r="J757" s="4">
        <v>4</v>
      </c>
    </row>
    <row r="758" spans="1:10" x14ac:dyDescent="0.35">
      <c r="A758" s="2" t="s">
        <v>794</v>
      </c>
      <c r="B758" s="4">
        <v>39</v>
      </c>
      <c r="C758" t="s">
        <v>17</v>
      </c>
      <c r="D758" t="s">
        <v>49</v>
      </c>
      <c r="E758" t="s">
        <v>53</v>
      </c>
      <c r="F758" t="s">
        <v>14</v>
      </c>
      <c r="G758" s="4">
        <v>9</v>
      </c>
      <c r="H758" s="1">
        <v>29994</v>
      </c>
      <c r="I758" s="3" t="s">
        <v>21</v>
      </c>
      <c r="J758" s="4">
        <v>2</v>
      </c>
    </row>
    <row r="759" spans="1:10" x14ac:dyDescent="0.35">
      <c r="A759" s="2" t="s">
        <v>795</v>
      </c>
      <c r="B759" s="4">
        <v>58</v>
      </c>
      <c r="C759" t="s">
        <v>17</v>
      </c>
      <c r="D759" t="s">
        <v>33</v>
      </c>
      <c r="E759" t="s">
        <v>53</v>
      </c>
      <c r="F759" t="s">
        <v>14</v>
      </c>
      <c r="G759" s="4">
        <v>5</v>
      </c>
      <c r="H759" s="1">
        <v>90141</v>
      </c>
      <c r="I759" s="3" t="s">
        <v>21</v>
      </c>
      <c r="J759" s="4">
        <v>1</v>
      </c>
    </row>
    <row r="760" spans="1:10" x14ac:dyDescent="0.35">
      <c r="A760" s="2" t="s">
        <v>796</v>
      </c>
      <c r="B760" s="4">
        <v>52</v>
      </c>
      <c r="C760" t="s">
        <v>11</v>
      </c>
      <c r="D760" t="s">
        <v>18</v>
      </c>
      <c r="E760" t="s">
        <v>24</v>
      </c>
      <c r="F760" t="s">
        <v>20</v>
      </c>
      <c r="G760" s="4">
        <v>6</v>
      </c>
      <c r="H760" s="1">
        <v>83543</v>
      </c>
      <c r="I760" s="3" t="s">
        <v>15</v>
      </c>
      <c r="J760" s="4">
        <v>4</v>
      </c>
    </row>
    <row r="761" spans="1:10" x14ac:dyDescent="0.35">
      <c r="A761" s="2" t="s">
        <v>797</v>
      </c>
      <c r="B761" s="4">
        <v>35</v>
      </c>
      <c r="C761" t="s">
        <v>17</v>
      </c>
      <c r="D761" t="s">
        <v>26</v>
      </c>
      <c r="E761" t="s">
        <v>37</v>
      </c>
      <c r="F761" t="s">
        <v>20</v>
      </c>
      <c r="G761" s="4">
        <v>15</v>
      </c>
      <c r="H761" s="1">
        <v>7228</v>
      </c>
      <c r="I761" s="3" t="s">
        <v>15</v>
      </c>
      <c r="J761" s="4">
        <v>4</v>
      </c>
    </row>
    <row r="762" spans="1:10" x14ac:dyDescent="0.35">
      <c r="A762" s="2" t="s">
        <v>798</v>
      </c>
      <c r="B762" s="4">
        <v>80</v>
      </c>
      <c r="C762" t="s">
        <v>11</v>
      </c>
      <c r="D762" t="s">
        <v>18</v>
      </c>
      <c r="E762" t="s">
        <v>24</v>
      </c>
      <c r="F762" t="s">
        <v>20</v>
      </c>
      <c r="G762" s="4">
        <v>10</v>
      </c>
      <c r="H762" s="1">
        <v>95858</v>
      </c>
      <c r="I762" s="3" t="s">
        <v>21</v>
      </c>
      <c r="J762" s="4">
        <v>5</v>
      </c>
    </row>
    <row r="763" spans="1:10" x14ac:dyDescent="0.35">
      <c r="A763" s="2" t="s">
        <v>799</v>
      </c>
      <c r="B763" s="4">
        <v>21</v>
      </c>
      <c r="C763" t="s">
        <v>11</v>
      </c>
      <c r="D763" t="s">
        <v>36</v>
      </c>
      <c r="E763" t="s">
        <v>34</v>
      </c>
      <c r="F763" t="s">
        <v>20</v>
      </c>
      <c r="G763" s="4">
        <v>8</v>
      </c>
      <c r="H763" s="1">
        <v>25643</v>
      </c>
      <c r="I763" s="3" t="s">
        <v>15</v>
      </c>
      <c r="J763" s="4">
        <v>5</v>
      </c>
    </row>
    <row r="764" spans="1:10" x14ac:dyDescent="0.35">
      <c r="A764" s="2" t="s">
        <v>800</v>
      </c>
      <c r="B764" s="4">
        <v>54</v>
      </c>
      <c r="C764" t="s">
        <v>17</v>
      </c>
      <c r="D764" t="s">
        <v>33</v>
      </c>
      <c r="E764" t="s">
        <v>29</v>
      </c>
      <c r="F764" t="s">
        <v>20</v>
      </c>
      <c r="G764" s="4">
        <v>1</v>
      </c>
      <c r="H764" s="1">
        <v>29044</v>
      </c>
      <c r="I764" s="3" t="s">
        <v>15</v>
      </c>
      <c r="J764" s="4">
        <v>1</v>
      </c>
    </row>
    <row r="765" spans="1:10" x14ac:dyDescent="0.35">
      <c r="A765" s="2" t="s">
        <v>801</v>
      </c>
      <c r="B765" s="4">
        <v>17</v>
      </c>
      <c r="C765" t="s">
        <v>17</v>
      </c>
      <c r="D765" t="s">
        <v>49</v>
      </c>
      <c r="E765" t="s">
        <v>24</v>
      </c>
      <c r="F765" t="s">
        <v>14</v>
      </c>
      <c r="G765" s="4">
        <v>1</v>
      </c>
      <c r="H765" s="1">
        <v>87244</v>
      </c>
      <c r="I765" s="3" t="s">
        <v>21</v>
      </c>
      <c r="J765" s="4">
        <v>2</v>
      </c>
    </row>
    <row r="766" spans="1:10" x14ac:dyDescent="0.35">
      <c r="A766" s="2" t="s">
        <v>802</v>
      </c>
      <c r="B766" s="4">
        <v>41</v>
      </c>
      <c r="C766" t="s">
        <v>11</v>
      </c>
      <c r="D766" t="s">
        <v>36</v>
      </c>
      <c r="E766" t="s">
        <v>34</v>
      </c>
      <c r="F766" t="s">
        <v>14</v>
      </c>
      <c r="G766" s="4">
        <v>11</v>
      </c>
      <c r="H766" s="1">
        <v>23560</v>
      </c>
      <c r="I766" s="3" t="s">
        <v>15</v>
      </c>
      <c r="J766" s="4">
        <v>2</v>
      </c>
    </row>
    <row r="767" spans="1:10" x14ac:dyDescent="0.35">
      <c r="A767" s="2" t="s">
        <v>803</v>
      </c>
      <c r="B767" s="4">
        <v>71</v>
      </c>
      <c r="C767" t="s">
        <v>17</v>
      </c>
      <c r="D767" t="s">
        <v>33</v>
      </c>
      <c r="E767" t="s">
        <v>42</v>
      </c>
      <c r="F767" t="s">
        <v>20</v>
      </c>
      <c r="G767" s="4">
        <v>9</v>
      </c>
      <c r="H767" s="1">
        <v>5286</v>
      </c>
      <c r="I767" s="3" t="s">
        <v>15</v>
      </c>
      <c r="J767" s="4">
        <v>4</v>
      </c>
    </row>
    <row r="768" spans="1:10" x14ac:dyDescent="0.35">
      <c r="A768" s="2" t="s">
        <v>804</v>
      </c>
      <c r="B768" s="4">
        <v>69</v>
      </c>
      <c r="C768" t="s">
        <v>17</v>
      </c>
      <c r="D768" t="s">
        <v>18</v>
      </c>
      <c r="E768" t="s">
        <v>37</v>
      </c>
      <c r="F768" t="s">
        <v>20</v>
      </c>
      <c r="G768" s="4">
        <v>12</v>
      </c>
      <c r="H768" s="1">
        <v>96155</v>
      </c>
      <c r="I768" s="3" t="s">
        <v>15</v>
      </c>
      <c r="J768" s="4">
        <v>5</v>
      </c>
    </row>
    <row r="769" spans="1:10" x14ac:dyDescent="0.35">
      <c r="A769" s="2" t="s">
        <v>805</v>
      </c>
      <c r="B769" s="4">
        <v>39</v>
      </c>
      <c r="C769" t="s">
        <v>17</v>
      </c>
      <c r="D769" t="s">
        <v>49</v>
      </c>
      <c r="E769" t="s">
        <v>65</v>
      </c>
      <c r="F769" t="s">
        <v>30</v>
      </c>
      <c r="G769" s="4">
        <v>15</v>
      </c>
      <c r="H769" s="1">
        <v>29147</v>
      </c>
      <c r="I769" s="3" t="s">
        <v>21</v>
      </c>
      <c r="J769" s="4">
        <v>5</v>
      </c>
    </row>
    <row r="770" spans="1:10" x14ac:dyDescent="0.35">
      <c r="A770" s="2" t="s">
        <v>806</v>
      </c>
      <c r="B770" s="4">
        <v>33</v>
      </c>
      <c r="C770" t="s">
        <v>17</v>
      </c>
      <c r="D770" t="s">
        <v>39</v>
      </c>
      <c r="E770" t="s">
        <v>42</v>
      </c>
      <c r="F770" t="s">
        <v>30</v>
      </c>
      <c r="G770" s="4">
        <v>6</v>
      </c>
      <c r="H770" s="1">
        <v>72985</v>
      </c>
      <c r="I770" s="3" t="s">
        <v>21</v>
      </c>
      <c r="J770" s="4">
        <v>2</v>
      </c>
    </row>
    <row r="771" spans="1:10" x14ac:dyDescent="0.35">
      <c r="A771" s="2" t="s">
        <v>807</v>
      </c>
      <c r="B771" s="4">
        <v>37</v>
      </c>
      <c r="C771" t="s">
        <v>17</v>
      </c>
      <c r="D771" t="s">
        <v>33</v>
      </c>
      <c r="E771" t="s">
        <v>27</v>
      </c>
      <c r="F771" t="s">
        <v>14</v>
      </c>
      <c r="G771" s="4">
        <v>14</v>
      </c>
      <c r="H771" s="1">
        <v>57975</v>
      </c>
      <c r="I771" s="3" t="s">
        <v>21</v>
      </c>
      <c r="J771" s="4">
        <v>3</v>
      </c>
    </row>
    <row r="772" spans="1:10" x14ac:dyDescent="0.35">
      <c r="A772" s="2" t="s">
        <v>808</v>
      </c>
      <c r="B772" s="4">
        <v>2</v>
      </c>
      <c r="C772" t="s">
        <v>17</v>
      </c>
      <c r="D772" t="s">
        <v>36</v>
      </c>
      <c r="E772" t="s">
        <v>65</v>
      </c>
      <c r="F772" t="s">
        <v>14</v>
      </c>
      <c r="G772" s="4">
        <v>12</v>
      </c>
      <c r="H772" s="1">
        <v>21330</v>
      </c>
      <c r="I772" s="3" t="s">
        <v>15</v>
      </c>
      <c r="J772" s="4">
        <v>5</v>
      </c>
    </row>
    <row r="773" spans="1:10" x14ac:dyDescent="0.35">
      <c r="A773" s="2" t="s">
        <v>809</v>
      </c>
      <c r="B773" s="4">
        <v>51</v>
      </c>
      <c r="C773" t="s">
        <v>17</v>
      </c>
      <c r="D773" t="s">
        <v>49</v>
      </c>
      <c r="E773" t="s">
        <v>65</v>
      </c>
      <c r="F773" t="s">
        <v>20</v>
      </c>
      <c r="G773" s="4">
        <v>8</v>
      </c>
      <c r="H773" s="1">
        <v>18579</v>
      </c>
      <c r="I773" s="3" t="s">
        <v>21</v>
      </c>
      <c r="J773" s="4">
        <v>3</v>
      </c>
    </row>
    <row r="774" spans="1:10" x14ac:dyDescent="0.35">
      <c r="A774" s="2" t="s">
        <v>810</v>
      </c>
      <c r="B774" s="4">
        <v>66</v>
      </c>
      <c r="C774" t="s">
        <v>17</v>
      </c>
      <c r="D774" t="s">
        <v>36</v>
      </c>
      <c r="E774" t="s">
        <v>34</v>
      </c>
      <c r="F774" t="s">
        <v>30</v>
      </c>
      <c r="G774" s="4">
        <v>9</v>
      </c>
      <c r="H774" s="1">
        <v>82345</v>
      </c>
      <c r="I774" s="3" t="s">
        <v>21</v>
      </c>
      <c r="J774" s="4">
        <v>5</v>
      </c>
    </row>
    <row r="775" spans="1:10" x14ac:dyDescent="0.35">
      <c r="A775" s="2" t="s">
        <v>811</v>
      </c>
      <c r="B775" s="4">
        <v>76</v>
      </c>
      <c r="C775" t="s">
        <v>17</v>
      </c>
      <c r="D775" t="s">
        <v>18</v>
      </c>
      <c r="E775" t="s">
        <v>29</v>
      </c>
      <c r="F775" t="s">
        <v>30</v>
      </c>
      <c r="G775" s="4">
        <v>8</v>
      </c>
      <c r="H775" s="1">
        <v>88068</v>
      </c>
      <c r="I775" s="3" t="s">
        <v>21</v>
      </c>
      <c r="J775" s="4">
        <v>4</v>
      </c>
    </row>
    <row r="776" spans="1:10" x14ac:dyDescent="0.35">
      <c r="A776" s="2" t="s">
        <v>812</v>
      </c>
      <c r="B776" s="4">
        <v>77</v>
      </c>
      <c r="C776" t="s">
        <v>11</v>
      </c>
      <c r="D776" t="s">
        <v>23</v>
      </c>
      <c r="E776" t="s">
        <v>42</v>
      </c>
      <c r="F776" t="s">
        <v>30</v>
      </c>
      <c r="G776" s="4">
        <v>6</v>
      </c>
      <c r="H776" s="1">
        <v>99339</v>
      </c>
      <c r="I776" s="3" t="s">
        <v>21</v>
      </c>
      <c r="J776" s="4">
        <v>5</v>
      </c>
    </row>
    <row r="777" spans="1:10" x14ac:dyDescent="0.35">
      <c r="A777" s="2" t="s">
        <v>813</v>
      </c>
      <c r="B777" s="4">
        <v>59</v>
      </c>
      <c r="C777" t="s">
        <v>11</v>
      </c>
      <c r="D777" t="s">
        <v>23</v>
      </c>
      <c r="E777" t="s">
        <v>37</v>
      </c>
      <c r="F777" t="s">
        <v>20</v>
      </c>
      <c r="G777" s="4">
        <v>15</v>
      </c>
      <c r="H777" s="1">
        <v>48870</v>
      </c>
      <c r="I777" s="3" t="s">
        <v>21</v>
      </c>
      <c r="J777" s="4">
        <v>5</v>
      </c>
    </row>
    <row r="778" spans="1:10" x14ac:dyDescent="0.35">
      <c r="A778" s="2" t="s">
        <v>814</v>
      </c>
      <c r="B778" s="4">
        <v>65</v>
      </c>
      <c r="C778" t="s">
        <v>17</v>
      </c>
      <c r="D778" t="s">
        <v>12</v>
      </c>
      <c r="E778" t="s">
        <v>42</v>
      </c>
      <c r="F778" t="s">
        <v>14</v>
      </c>
      <c r="G778" s="4">
        <v>3</v>
      </c>
      <c r="H778" s="1">
        <v>90966</v>
      </c>
      <c r="I778" s="3" t="s">
        <v>21</v>
      </c>
      <c r="J778" s="4">
        <v>2</v>
      </c>
    </row>
    <row r="779" spans="1:10" x14ac:dyDescent="0.35">
      <c r="A779" s="2" t="s">
        <v>815</v>
      </c>
      <c r="B779" s="4">
        <v>52</v>
      </c>
      <c r="C779" t="s">
        <v>17</v>
      </c>
      <c r="D779" t="s">
        <v>18</v>
      </c>
      <c r="E779" t="s">
        <v>53</v>
      </c>
      <c r="F779" t="s">
        <v>20</v>
      </c>
      <c r="G779" s="4">
        <v>14</v>
      </c>
      <c r="H779" s="1">
        <v>64828</v>
      </c>
      <c r="I779" s="3" t="s">
        <v>15</v>
      </c>
      <c r="J779" s="4">
        <v>3</v>
      </c>
    </row>
    <row r="780" spans="1:10" x14ac:dyDescent="0.35">
      <c r="A780" s="2" t="s">
        <v>816</v>
      </c>
      <c r="B780" s="4">
        <v>14</v>
      </c>
      <c r="C780" t="s">
        <v>11</v>
      </c>
      <c r="D780" t="s">
        <v>36</v>
      </c>
      <c r="E780" t="s">
        <v>34</v>
      </c>
      <c r="F780" t="s">
        <v>30</v>
      </c>
      <c r="G780" s="4">
        <v>3</v>
      </c>
      <c r="H780" s="1">
        <v>8845</v>
      </c>
      <c r="I780" s="3" t="s">
        <v>21</v>
      </c>
      <c r="J780" s="4">
        <v>5</v>
      </c>
    </row>
    <row r="781" spans="1:10" x14ac:dyDescent="0.35">
      <c r="A781" s="2" t="s">
        <v>817</v>
      </c>
      <c r="B781" s="4">
        <v>6</v>
      </c>
      <c r="C781" t="s">
        <v>17</v>
      </c>
      <c r="D781" t="s">
        <v>26</v>
      </c>
      <c r="E781" t="s">
        <v>19</v>
      </c>
      <c r="F781" t="s">
        <v>30</v>
      </c>
      <c r="G781" s="4">
        <v>14</v>
      </c>
      <c r="H781" s="1">
        <v>63981</v>
      </c>
      <c r="I781" s="3" t="s">
        <v>21</v>
      </c>
      <c r="J781" s="4">
        <v>3</v>
      </c>
    </row>
    <row r="782" spans="1:10" x14ac:dyDescent="0.35">
      <c r="A782" s="2" t="s">
        <v>818</v>
      </c>
      <c r="B782" s="4">
        <v>88</v>
      </c>
      <c r="C782" t="s">
        <v>17</v>
      </c>
      <c r="D782" t="s">
        <v>49</v>
      </c>
      <c r="E782" t="s">
        <v>42</v>
      </c>
      <c r="F782" t="s">
        <v>20</v>
      </c>
      <c r="G782" s="4">
        <v>11</v>
      </c>
      <c r="H782" s="1">
        <v>60145</v>
      </c>
      <c r="I782" s="3" t="s">
        <v>21</v>
      </c>
      <c r="J782" s="4">
        <v>5</v>
      </c>
    </row>
    <row r="783" spans="1:10" x14ac:dyDescent="0.35">
      <c r="A783" s="2" t="s">
        <v>819</v>
      </c>
      <c r="B783" s="4">
        <v>66</v>
      </c>
      <c r="C783" t="s">
        <v>11</v>
      </c>
      <c r="D783" t="s">
        <v>33</v>
      </c>
      <c r="E783" t="s">
        <v>42</v>
      </c>
      <c r="F783" t="s">
        <v>30</v>
      </c>
      <c r="G783" s="4">
        <v>7</v>
      </c>
      <c r="H783" s="1">
        <v>11844</v>
      </c>
      <c r="I783" s="3" t="s">
        <v>21</v>
      </c>
      <c r="J783" s="4">
        <v>2</v>
      </c>
    </row>
    <row r="784" spans="1:10" x14ac:dyDescent="0.35">
      <c r="A784" s="2" t="s">
        <v>820</v>
      </c>
      <c r="B784" s="4">
        <v>89</v>
      </c>
      <c r="C784" t="s">
        <v>11</v>
      </c>
      <c r="D784" t="s">
        <v>23</v>
      </c>
      <c r="E784" t="s">
        <v>37</v>
      </c>
      <c r="F784" t="s">
        <v>14</v>
      </c>
      <c r="G784" s="4">
        <v>9</v>
      </c>
      <c r="H784" s="1">
        <v>86859</v>
      </c>
      <c r="I784" s="3" t="s">
        <v>15</v>
      </c>
      <c r="J784" s="4">
        <v>3</v>
      </c>
    </row>
    <row r="785" spans="1:10" x14ac:dyDescent="0.35">
      <c r="A785" s="2" t="s">
        <v>821</v>
      </c>
      <c r="B785" s="4">
        <v>17</v>
      </c>
      <c r="C785" t="s">
        <v>11</v>
      </c>
      <c r="D785" t="s">
        <v>39</v>
      </c>
      <c r="E785" t="s">
        <v>24</v>
      </c>
      <c r="F785" t="s">
        <v>14</v>
      </c>
      <c r="G785" s="4">
        <v>8</v>
      </c>
      <c r="H785" s="1">
        <v>52106</v>
      </c>
      <c r="I785" s="3" t="s">
        <v>21</v>
      </c>
      <c r="J785" s="4">
        <v>2</v>
      </c>
    </row>
    <row r="786" spans="1:10" x14ac:dyDescent="0.35">
      <c r="A786" s="2" t="s">
        <v>822</v>
      </c>
      <c r="B786" s="4">
        <v>85</v>
      </c>
      <c r="C786" t="s">
        <v>11</v>
      </c>
      <c r="D786" t="s">
        <v>49</v>
      </c>
      <c r="E786" t="s">
        <v>65</v>
      </c>
      <c r="F786" t="s">
        <v>20</v>
      </c>
      <c r="G786" s="4">
        <v>5</v>
      </c>
      <c r="H786" s="1">
        <v>83356</v>
      </c>
      <c r="I786" s="3" t="s">
        <v>21</v>
      </c>
      <c r="J786" s="4">
        <v>3</v>
      </c>
    </row>
    <row r="787" spans="1:10" x14ac:dyDescent="0.35">
      <c r="A787" s="2" t="s">
        <v>823</v>
      </c>
      <c r="B787" s="4">
        <v>28</v>
      </c>
      <c r="C787" t="s">
        <v>17</v>
      </c>
      <c r="D787" t="s">
        <v>28</v>
      </c>
      <c r="E787" t="s">
        <v>27</v>
      </c>
      <c r="F787" t="s">
        <v>14</v>
      </c>
      <c r="G787" s="4">
        <v>13</v>
      </c>
      <c r="H787" s="1">
        <v>99887</v>
      </c>
      <c r="I787" s="3" t="s">
        <v>21</v>
      </c>
      <c r="J787" s="4">
        <v>1</v>
      </c>
    </row>
    <row r="788" spans="1:10" x14ac:dyDescent="0.35">
      <c r="A788" s="2" t="s">
        <v>824</v>
      </c>
      <c r="B788" s="4">
        <v>36</v>
      </c>
      <c r="C788" t="s">
        <v>11</v>
      </c>
      <c r="D788" t="s">
        <v>26</v>
      </c>
      <c r="E788" t="s">
        <v>65</v>
      </c>
      <c r="F788" t="s">
        <v>14</v>
      </c>
      <c r="G788" s="4">
        <v>5</v>
      </c>
      <c r="H788" s="1">
        <v>5516</v>
      </c>
      <c r="I788" s="3" t="s">
        <v>21</v>
      </c>
      <c r="J788" s="4">
        <v>4</v>
      </c>
    </row>
    <row r="789" spans="1:10" x14ac:dyDescent="0.35">
      <c r="A789" s="2" t="s">
        <v>825</v>
      </c>
      <c r="B789" s="4">
        <v>83</v>
      </c>
      <c r="C789" t="s">
        <v>11</v>
      </c>
      <c r="D789" t="s">
        <v>28</v>
      </c>
      <c r="E789" t="s">
        <v>24</v>
      </c>
      <c r="F789" t="s">
        <v>20</v>
      </c>
      <c r="G789" s="4">
        <v>2</v>
      </c>
      <c r="H789" s="1">
        <v>90566</v>
      </c>
      <c r="I789" s="3" t="s">
        <v>21</v>
      </c>
      <c r="J789" s="4">
        <v>3</v>
      </c>
    </row>
    <row r="790" spans="1:10" x14ac:dyDescent="0.35">
      <c r="A790" s="2" t="s">
        <v>826</v>
      </c>
      <c r="B790" s="4">
        <v>54</v>
      </c>
      <c r="C790" t="s">
        <v>17</v>
      </c>
      <c r="D790" t="s">
        <v>23</v>
      </c>
      <c r="E790" t="s">
        <v>42</v>
      </c>
      <c r="F790" t="s">
        <v>20</v>
      </c>
      <c r="G790" s="4">
        <v>3</v>
      </c>
      <c r="H790" s="1">
        <v>21091</v>
      </c>
      <c r="I790" s="3" t="s">
        <v>15</v>
      </c>
      <c r="J790" s="4">
        <v>1</v>
      </c>
    </row>
    <row r="791" spans="1:10" x14ac:dyDescent="0.35">
      <c r="A791" s="2" t="s">
        <v>827</v>
      </c>
      <c r="B791" s="4">
        <v>3</v>
      </c>
      <c r="C791" t="s">
        <v>17</v>
      </c>
      <c r="D791" t="s">
        <v>12</v>
      </c>
      <c r="E791" t="s">
        <v>27</v>
      </c>
      <c r="F791" t="s">
        <v>20</v>
      </c>
      <c r="G791" s="4">
        <v>14</v>
      </c>
      <c r="H791" s="1">
        <v>87029</v>
      </c>
      <c r="I791" s="3" t="s">
        <v>15</v>
      </c>
      <c r="J791" s="4">
        <v>4</v>
      </c>
    </row>
    <row r="792" spans="1:10" x14ac:dyDescent="0.35">
      <c r="A792" s="2" t="s">
        <v>828</v>
      </c>
      <c r="B792" s="4">
        <v>70</v>
      </c>
      <c r="C792" t="s">
        <v>11</v>
      </c>
      <c r="D792" t="s">
        <v>39</v>
      </c>
      <c r="E792" t="s">
        <v>37</v>
      </c>
      <c r="F792" t="s">
        <v>30</v>
      </c>
      <c r="G792" s="4">
        <v>2</v>
      </c>
      <c r="H792" s="1">
        <v>46226</v>
      </c>
      <c r="I792" s="3" t="s">
        <v>15</v>
      </c>
      <c r="J792" s="4">
        <v>3</v>
      </c>
    </row>
    <row r="793" spans="1:10" x14ac:dyDescent="0.35">
      <c r="A793" s="2" t="s">
        <v>829</v>
      </c>
      <c r="B793" s="4">
        <v>6</v>
      </c>
      <c r="C793" t="s">
        <v>17</v>
      </c>
      <c r="D793" t="s">
        <v>49</v>
      </c>
      <c r="E793" t="s">
        <v>13</v>
      </c>
      <c r="F793" t="s">
        <v>30</v>
      </c>
      <c r="G793" s="4">
        <v>9</v>
      </c>
      <c r="H793" s="1">
        <v>15510</v>
      </c>
      <c r="I793" s="3" t="s">
        <v>21</v>
      </c>
      <c r="J793" s="4">
        <v>3</v>
      </c>
    </row>
    <row r="794" spans="1:10" x14ac:dyDescent="0.35">
      <c r="A794" s="2" t="s">
        <v>830</v>
      </c>
      <c r="B794" s="4">
        <v>33</v>
      </c>
      <c r="C794" t="s">
        <v>11</v>
      </c>
      <c r="D794" t="s">
        <v>23</v>
      </c>
      <c r="E794" t="s">
        <v>13</v>
      </c>
      <c r="F794" t="s">
        <v>30</v>
      </c>
      <c r="G794" s="4">
        <v>8</v>
      </c>
      <c r="H794" s="1">
        <v>73466</v>
      </c>
      <c r="I794" s="3" t="s">
        <v>21</v>
      </c>
      <c r="J794" s="4">
        <v>5</v>
      </c>
    </row>
    <row r="795" spans="1:10" x14ac:dyDescent="0.35">
      <c r="A795" s="2" t="s">
        <v>831</v>
      </c>
      <c r="B795" s="4">
        <v>15</v>
      </c>
      <c r="C795" t="s">
        <v>17</v>
      </c>
      <c r="D795" t="s">
        <v>41</v>
      </c>
      <c r="E795" t="s">
        <v>24</v>
      </c>
      <c r="F795" t="s">
        <v>20</v>
      </c>
      <c r="G795" s="4">
        <v>4</v>
      </c>
      <c r="H795" s="1">
        <v>21639</v>
      </c>
      <c r="I795" s="3" t="s">
        <v>15</v>
      </c>
      <c r="J795" s="4">
        <v>4</v>
      </c>
    </row>
    <row r="796" spans="1:10" x14ac:dyDescent="0.35">
      <c r="A796" s="2" t="s">
        <v>832</v>
      </c>
      <c r="B796" s="4">
        <v>51</v>
      </c>
      <c r="C796" t="s">
        <v>17</v>
      </c>
      <c r="D796" t="s">
        <v>33</v>
      </c>
      <c r="E796" t="s">
        <v>34</v>
      </c>
      <c r="F796" t="s">
        <v>30</v>
      </c>
      <c r="G796" s="4">
        <v>13</v>
      </c>
      <c r="H796" s="1">
        <v>51860</v>
      </c>
      <c r="I796" s="3" t="s">
        <v>15</v>
      </c>
      <c r="J796" s="4">
        <v>1</v>
      </c>
    </row>
    <row r="797" spans="1:10" x14ac:dyDescent="0.35">
      <c r="A797" s="2" t="s">
        <v>833</v>
      </c>
      <c r="B797" s="4">
        <v>82</v>
      </c>
      <c r="C797" t="s">
        <v>17</v>
      </c>
      <c r="D797" t="s">
        <v>36</v>
      </c>
      <c r="E797" t="s">
        <v>42</v>
      </c>
      <c r="F797" t="s">
        <v>20</v>
      </c>
      <c r="G797" s="4">
        <v>5</v>
      </c>
      <c r="H797" s="1">
        <v>42192</v>
      </c>
      <c r="I797" s="3" t="s">
        <v>21</v>
      </c>
      <c r="J797" s="4">
        <v>2</v>
      </c>
    </row>
    <row r="798" spans="1:10" x14ac:dyDescent="0.35">
      <c r="A798" s="2" t="s">
        <v>834</v>
      </c>
      <c r="B798" s="4">
        <v>13</v>
      </c>
      <c r="C798" t="s">
        <v>17</v>
      </c>
      <c r="D798" t="s">
        <v>12</v>
      </c>
      <c r="E798" t="s">
        <v>37</v>
      </c>
      <c r="F798" t="s">
        <v>14</v>
      </c>
      <c r="G798" s="4">
        <v>12</v>
      </c>
      <c r="H798" s="1">
        <v>19313</v>
      </c>
      <c r="I798" s="3" t="s">
        <v>15</v>
      </c>
      <c r="J798" s="4">
        <v>2</v>
      </c>
    </row>
    <row r="799" spans="1:10" x14ac:dyDescent="0.35">
      <c r="A799" s="2" t="s">
        <v>835</v>
      </c>
      <c r="B799" s="4">
        <v>14</v>
      </c>
      <c r="C799" t="s">
        <v>11</v>
      </c>
      <c r="D799" t="s">
        <v>18</v>
      </c>
      <c r="E799" t="s">
        <v>65</v>
      </c>
      <c r="F799" t="s">
        <v>20</v>
      </c>
      <c r="G799" s="4">
        <v>4</v>
      </c>
      <c r="H799" s="1">
        <v>91724</v>
      </c>
      <c r="I799" s="3" t="s">
        <v>15</v>
      </c>
      <c r="J799" s="4">
        <v>4</v>
      </c>
    </row>
    <row r="800" spans="1:10" x14ac:dyDescent="0.35">
      <c r="A800" s="2" t="s">
        <v>836</v>
      </c>
      <c r="B800" s="4">
        <v>47</v>
      </c>
      <c r="C800" t="s">
        <v>11</v>
      </c>
      <c r="D800" t="s">
        <v>33</v>
      </c>
      <c r="E800" t="s">
        <v>34</v>
      </c>
      <c r="F800" t="s">
        <v>30</v>
      </c>
      <c r="G800" s="4">
        <v>12</v>
      </c>
      <c r="H800" s="1">
        <v>7137</v>
      </c>
      <c r="I800" s="3" t="s">
        <v>21</v>
      </c>
      <c r="J800" s="4">
        <v>1</v>
      </c>
    </row>
    <row r="801" spans="1:10" x14ac:dyDescent="0.35">
      <c r="A801" s="2" t="s">
        <v>837</v>
      </c>
      <c r="B801" s="4">
        <v>22</v>
      </c>
      <c r="C801" t="s">
        <v>17</v>
      </c>
      <c r="D801" t="s">
        <v>49</v>
      </c>
      <c r="E801" t="s">
        <v>53</v>
      </c>
      <c r="F801" t="s">
        <v>30</v>
      </c>
      <c r="G801" s="4">
        <v>2</v>
      </c>
      <c r="H801" s="1">
        <v>83161</v>
      </c>
      <c r="I801" s="3" t="s">
        <v>15</v>
      </c>
      <c r="J801" s="4">
        <v>4</v>
      </c>
    </row>
    <row r="802" spans="1:10" x14ac:dyDescent="0.35">
      <c r="A802" s="2" t="s">
        <v>838</v>
      </c>
      <c r="B802" s="4">
        <v>16</v>
      </c>
      <c r="C802" t="s">
        <v>17</v>
      </c>
      <c r="D802" t="s">
        <v>23</v>
      </c>
      <c r="E802" t="s">
        <v>24</v>
      </c>
      <c r="F802" t="s">
        <v>30</v>
      </c>
      <c r="G802" s="4">
        <v>14</v>
      </c>
      <c r="H802" s="1">
        <v>93193</v>
      </c>
      <c r="I802" s="3" t="s">
        <v>21</v>
      </c>
      <c r="J802" s="4">
        <v>4</v>
      </c>
    </row>
    <row r="803" spans="1:10" x14ac:dyDescent="0.35">
      <c r="A803" s="2" t="s">
        <v>839</v>
      </c>
      <c r="B803" s="4">
        <v>5</v>
      </c>
      <c r="C803" t="s">
        <v>11</v>
      </c>
      <c r="D803" t="s">
        <v>41</v>
      </c>
      <c r="E803" t="s">
        <v>27</v>
      </c>
      <c r="F803" t="s">
        <v>30</v>
      </c>
      <c r="G803" s="4">
        <v>4</v>
      </c>
      <c r="H803" s="1">
        <v>74821</v>
      </c>
      <c r="I803" s="3" t="s">
        <v>21</v>
      </c>
      <c r="J803" s="4">
        <v>1</v>
      </c>
    </row>
    <row r="804" spans="1:10" x14ac:dyDescent="0.35">
      <c r="A804" s="2" t="s">
        <v>840</v>
      </c>
      <c r="B804" s="4">
        <v>63</v>
      </c>
      <c r="C804" t="s">
        <v>11</v>
      </c>
      <c r="D804" t="s">
        <v>33</v>
      </c>
      <c r="E804" t="s">
        <v>13</v>
      </c>
      <c r="F804" t="s">
        <v>30</v>
      </c>
      <c r="G804" s="4">
        <v>1</v>
      </c>
      <c r="H804" s="1">
        <v>59196</v>
      </c>
      <c r="I804" s="3" t="s">
        <v>15</v>
      </c>
      <c r="J804" s="4">
        <v>1</v>
      </c>
    </row>
    <row r="805" spans="1:10" x14ac:dyDescent="0.35">
      <c r="A805" s="2" t="s">
        <v>841</v>
      </c>
      <c r="B805" s="4">
        <v>31</v>
      </c>
      <c r="C805" t="s">
        <v>17</v>
      </c>
      <c r="D805" t="s">
        <v>23</v>
      </c>
      <c r="E805" t="s">
        <v>42</v>
      </c>
      <c r="F805" t="s">
        <v>30</v>
      </c>
      <c r="G805" s="4">
        <v>5</v>
      </c>
      <c r="H805" s="1">
        <v>55848</v>
      </c>
      <c r="I805" s="3" t="s">
        <v>15</v>
      </c>
      <c r="J805" s="4">
        <v>3</v>
      </c>
    </row>
    <row r="806" spans="1:10" x14ac:dyDescent="0.35">
      <c r="A806" s="2" t="s">
        <v>842</v>
      </c>
      <c r="B806" s="4">
        <v>60</v>
      </c>
      <c r="C806" t="s">
        <v>17</v>
      </c>
      <c r="D806" t="s">
        <v>26</v>
      </c>
      <c r="E806" t="s">
        <v>65</v>
      </c>
      <c r="F806" t="s">
        <v>30</v>
      </c>
      <c r="G806" s="4">
        <v>4</v>
      </c>
      <c r="H806" s="1">
        <v>15275</v>
      </c>
      <c r="I806" s="3" t="s">
        <v>21</v>
      </c>
      <c r="J806" s="4">
        <v>2</v>
      </c>
    </row>
    <row r="807" spans="1:10" x14ac:dyDescent="0.35">
      <c r="A807" s="2" t="s">
        <v>843</v>
      </c>
      <c r="B807" s="4">
        <v>55</v>
      </c>
      <c r="C807" t="s">
        <v>17</v>
      </c>
      <c r="D807" t="s">
        <v>36</v>
      </c>
      <c r="E807" t="s">
        <v>29</v>
      </c>
      <c r="F807" t="s">
        <v>20</v>
      </c>
      <c r="G807" s="4">
        <v>9</v>
      </c>
      <c r="H807" s="1">
        <v>99631</v>
      </c>
      <c r="I807" s="3" t="s">
        <v>21</v>
      </c>
      <c r="J807" s="4">
        <v>4</v>
      </c>
    </row>
    <row r="808" spans="1:10" x14ac:dyDescent="0.35">
      <c r="A808" s="2" t="s">
        <v>844</v>
      </c>
      <c r="B808" s="4">
        <v>61</v>
      </c>
      <c r="C808" t="s">
        <v>17</v>
      </c>
      <c r="D808" t="s">
        <v>23</v>
      </c>
      <c r="E808" t="s">
        <v>19</v>
      </c>
      <c r="F808" t="s">
        <v>20</v>
      </c>
      <c r="G808" s="4">
        <v>2</v>
      </c>
      <c r="H808" s="1">
        <v>85818</v>
      </c>
      <c r="I808" s="3" t="s">
        <v>21</v>
      </c>
      <c r="J808" s="4">
        <v>5</v>
      </c>
    </row>
    <row r="809" spans="1:10" x14ac:dyDescent="0.35">
      <c r="A809" s="2" t="s">
        <v>845</v>
      </c>
      <c r="B809" s="4">
        <v>75</v>
      </c>
      <c r="C809" t="s">
        <v>11</v>
      </c>
      <c r="D809" t="s">
        <v>39</v>
      </c>
      <c r="E809" t="s">
        <v>42</v>
      </c>
      <c r="F809" t="s">
        <v>30</v>
      </c>
      <c r="G809" s="4">
        <v>9</v>
      </c>
      <c r="H809" s="1">
        <v>63315</v>
      </c>
      <c r="I809" s="3" t="s">
        <v>21</v>
      </c>
      <c r="J809" s="4">
        <v>5</v>
      </c>
    </row>
    <row r="810" spans="1:10" x14ac:dyDescent="0.35">
      <c r="A810" s="2" t="s">
        <v>846</v>
      </c>
      <c r="B810" s="4">
        <v>3</v>
      </c>
      <c r="C810" t="s">
        <v>17</v>
      </c>
      <c r="D810" t="s">
        <v>18</v>
      </c>
      <c r="E810" t="s">
        <v>37</v>
      </c>
      <c r="F810" t="s">
        <v>14</v>
      </c>
      <c r="G810" s="4">
        <v>1</v>
      </c>
      <c r="H810" s="1">
        <v>52738</v>
      </c>
      <c r="I810" s="3" t="s">
        <v>15</v>
      </c>
      <c r="J810" s="4">
        <v>5</v>
      </c>
    </row>
    <row r="811" spans="1:10" x14ac:dyDescent="0.35">
      <c r="A811" s="2" t="s">
        <v>847</v>
      </c>
      <c r="B811" s="4">
        <v>17</v>
      </c>
      <c r="C811" t="s">
        <v>17</v>
      </c>
      <c r="D811" t="s">
        <v>41</v>
      </c>
      <c r="E811" t="s">
        <v>29</v>
      </c>
      <c r="F811" t="s">
        <v>30</v>
      </c>
      <c r="G811" s="4">
        <v>7</v>
      </c>
      <c r="H811" s="1">
        <v>47486</v>
      </c>
      <c r="I811" s="3" t="s">
        <v>15</v>
      </c>
      <c r="J811" s="4">
        <v>5</v>
      </c>
    </row>
    <row r="812" spans="1:10" x14ac:dyDescent="0.35">
      <c r="A812" s="2" t="s">
        <v>848</v>
      </c>
      <c r="B812" s="4">
        <v>33</v>
      </c>
      <c r="C812" t="s">
        <v>17</v>
      </c>
      <c r="D812" t="s">
        <v>49</v>
      </c>
      <c r="E812" t="s">
        <v>37</v>
      </c>
      <c r="F812" t="s">
        <v>14</v>
      </c>
      <c r="G812" s="4">
        <v>15</v>
      </c>
      <c r="H812" s="1">
        <v>7991</v>
      </c>
      <c r="I812" s="3" t="s">
        <v>21</v>
      </c>
      <c r="J812" s="4">
        <v>5</v>
      </c>
    </row>
    <row r="813" spans="1:10" x14ac:dyDescent="0.35">
      <c r="A813" s="2" t="s">
        <v>849</v>
      </c>
      <c r="B813" s="4">
        <v>32</v>
      </c>
      <c r="C813" t="s">
        <v>17</v>
      </c>
      <c r="D813" t="s">
        <v>28</v>
      </c>
      <c r="E813" t="s">
        <v>24</v>
      </c>
      <c r="F813" t="s">
        <v>14</v>
      </c>
      <c r="G813" s="4">
        <v>12</v>
      </c>
      <c r="H813" s="1">
        <v>76437</v>
      </c>
      <c r="I813" s="3" t="s">
        <v>21</v>
      </c>
      <c r="J813" s="4">
        <v>3</v>
      </c>
    </row>
    <row r="814" spans="1:10" x14ac:dyDescent="0.35">
      <c r="A814" s="2" t="s">
        <v>850</v>
      </c>
      <c r="B814" s="4">
        <v>85</v>
      </c>
      <c r="C814" t="s">
        <v>17</v>
      </c>
      <c r="D814" t="s">
        <v>12</v>
      </c>
      <c r="E814" t="s">
        <v>34</v>
      </c>
      <c r="F814" t="s">
        <v>14</v>
      </c>
      <c r="G814" s="4">
        <v>4</v>
      </c>
      <c r="H814" s="1">
        <v>83557</v>
      </c>
      <c r="I814" s="3" t="s">
        <v>21</v>
      </c>
      <c r="J814" s="4">
        <v>4</v>
      </c>
    </row>
    <row r="815" spans="1:10" x14ac:dyDescent="0.35">
      <c r="A815" s="2" t="s">
        <v>851</v>
      </c>
      <c r="B815" s="4">
        <v>10</v>
      </c>
      <c r="C815" t="s">
        <v>17</v>
      </c>
      <c r="D815" t="s">
        <v>41</v>
      </c>
      <c r="E815" t="s">
        <v>53</v>
      </c>
      <c r="F815" t="s">
        <v>30</v>
      </c>
      <c r="G815" s="4">
        <v>8</v>
      </c>
      <c r="H815" s="1">
        <v>86410</v>
      </c>
      <c r="I815" s="3" t="s">
        <v>15</v>
      </c>
      <c r="J815" s="4">
        <v>4</v>
      </c>
    </row>
    <row r="816" spans="1:10" x14ac:dyDescent="0.35">
      <c r="A816" s="2" t="s">
        <v>852</v>
      </c>
      <c r="B816" s="4">
        <v>53</v>
      </c>
      <c r="C816" t="s">
        <v>11</v>
      </c>
      <c r="D816" t="s">
        <v>18</v>
      </c>
      <c r="E816" t="s">
        <v>34</v>
      </c>
      <c r="F816" t="s">
        <v>30</v>
      </c>
      <c r="G816" s="4">
        <v>10</v>
      </c>
      <c r="H816" s="1">
        <v>51608</v>
      </c>
      <c r="I816" s="3" t="s">
        <v>21</v>
      </c>
      <c r="J816" s="4">
        <v>1</v>
      </c>
    </row>
    <row r="817" spans="1:10" x14ac:dyDescent="0.35">
      <c r="A817" s="2" t="s">
        <v>853</v>
      </c>
      <c r="B817" s="4">
        <v>76</v>
      </c>
      <c r="C817" t="s">
        <v>17</v>
      </c>
      <c r="D817" t="s">
        <v>49</v>
      </c>
      <c r="E817" t="s">
        <v>27</v>
      </c>
      <c r="F817" t="s">
        <v>20</v>
      </c>
      <c r="G817" s="4">
        <v>7</v>
      </c>
      <c r="H817" s="1">
        <v>95230</v>
      </c>
      <c r="I817" s="3" t="s">
        <v>15</v>
      </c>
      <c r="J817" s="4">
        <v>4</v>
      </c>
    </row>
    <row r="818" spans="1:10" x14ac:dyDescent="0.35">
      <c r="A818" s="2" t="s">
        <v>854</v>
      </c>
      <c r="B818" s="4">
        <v>50</v>
      </c>
      <c r="C818" t="s">
        <v>17</v>
      </c>
      <c r="D818" t="s">
        <v>39</v>
      </c>
      <c r="E818" t="s">
        <v>27</v>
      </c>
      <c r="F818" t="s">
        <v>20</v>
      </c>
      <c r="G818" s="4">
        <v>9</v>
      </c>
      <c r="H818" s="1">
        <v>36964</v>
      </c>
      <c r="I818" s="3" t="s">
        <v>15</v>
      </c>
      <c r="J818" s="4">
        <v>2</v>
      </c>
    </row>
    <row r="819" spans="1:10" x14ac:dyDescent="0.35">
      <c r="A819" s="2" t="s">
        <v>855</v>
      </c>
      <c r="B819" s="4">
        <v>55</v>
      </c>
      <c r="C819" t="s">
        <v>11</v>
      </c>
      <c r="D819" t="s">
        <v>33</v>
      </c>
      <c r="E819" t="s">
        <v>37</v>
      </c>
      <c r="F819" t="s">
        <v>20</v>
      </c>
      <c r="G819" s="4">
        <v>4</v>
      </c>
      <c r="H819" s="1">
        <v>98230</v>
      </c>
      <c r="I819" s="3" t="s">
        <v>15</v>
      </c>
      <c r="J819" s="4">
        <v>2</v>
      </c>
    </row>
    <row r="820" spans="1:10" x14ac:dyDescent="0.35">
      <c r="A820" s="2" t="s">
        <v>856</v>
      </c>
      <c r="B820" s="4">
        <v>9</v>
      </c>
      <c r="C820" t="s">
        <v>17</v>
      </c>
      <c r="D820" t="s">
        <v>41</v>
      </c>
      <c r="E820" t="s">
        <v>42</v>
      </c>
      <c r="F820" t="s">
        <v>14</v>
      </c>
      <c r="G820" s="4">
        <v>5</v>
      </c>
      <c r="H820" s="1">
        <v>50779</v>
      </c>
      <c r="I820" s="3" t="s">
        <v>21</v>
      </c>
      <c r="J820" s="4">
        <v>5</v>
      </c>
    </row>
    <row r="821" spans="1:10" x14ac:dyDescent="0.35">
      <c r="A821" s="2" t="s">
        <v>857</v>
      </c>
      <c r="B821" s="4">
        <v>69</v>
      </c>
      <c r="C821" t="s">
        <v>17</v>
      </c>
      <c r="D821" t="s">
        <v>39</v>
      </c>
      <c r="E821" t="s">
        <v>13</v>
      </c>
      <c r="F821" t="s">
        <v>30</v>
      </c>
      <c r="G821" s="4">
        <v>9</v>
      </c>
      <c r="H821" s="1">
        <v>37886</v>
      </c>
      <c r="I821" s="3" t="s">
        <v>21</v>
      </c>
      <c r="J821" s="4">
        <v>1</v>
      </c>
    </row>
    <row r="822" spans="1:10" x14ac:dyDescent="0.35">
      <c r="A822" s="2" t="s">
        <v>858</v>
      </c>
      <c r="B822" s="4">
        <v>31</v>
      </c>
      <c r="C822" t="s">
        <v>17</v>
      </c>
      <c r="D822" t="s">
        <v>33</v>
      </c>
      <c r="E822" t="s">
        <v>42</v>
      </c>
      <c r="F822" t="s">
        <v>14</v>
      </c>
      <c r="G822" s="4">
        <v>2</v>
      </c>
      <c r="H822" s="1">
        <v>88013</v>
      </c>
      <c r="I822" s="3" t="s">
        <v>15</v>
      </c>
      <c r="J822" s="4">
        <v>3</v>
      </c>
    </row>
    <row r="823" spans="1:10" x14ac:dyDescent="0.35">
      <c r="A823" s="2" t="s">
        <v>859</v>
      </c>
      <c r="B823" s="4">
        <v>70</v>
      </c>
      <c r="C823" t="s">
        <v>17</v>
      </c>
      <c r="D823" t="s">
        <v>26</v>
      </c>
      <c r="E823" t="s">
        <v>27</v>
      </c>
      <c r="F823" t="s">
        <v>30</v>
      </c>
      <c r="G823" s="4">
        <v>12</v>
      </c>
      <c r="H823" s="1">
        <v>53336</v>
      </c>
      <c r="I823" s="3" t="s">
        <v>15</v>
      </c>
      <c r="J823" s="4">
        <v>2</v>
      </c>
    </row>
    <row r="824" spans="1:10" x14ac:dyDescent="0.35">
      <c r="A824" s="2" t="s">
        <v>860</v>
      </c>
      <c r="B824" s="4">
        <v>67</v>
      </c>
      <c r="C824" t="s">
        <v>17</v>
      </c>
      <c r="D824" t="s">
        <v>33</v>
      </c>
      <c r="E824" t="s">
        <v>24</v>
      </c>
      <c r="F824" t="s">
        <v>14</v>
      </c>
      <c r="G824" s="4">
        <v>15</v>
      </c>
      <c r="H824" s="1">
        <v>32091</v>
      </c>
      <c r="I824" s="3" t="s">
        <v>15</v>
      </c>
      <c r="J824" s="4">
        <v>1</v>
      </c>
    </row>
    <row r="825" spans="1:10" x14ac:dyDescent="0.35">
      <c r="A825" s="2" t="s">
        <v>861</v>
      </c>
      <c r="B825" s="4">
        <v>85</v>
      </c>
      <c r="C825" t="s">
        <v>11</v>
      </c>
      <c r="D825" t="s">
        <v>49</v>
      </c>
      <c r="E825" t="s">
        <v>53</v>
      </c>
      <c r="F825" t="s">
        <v>30</v>
      </c>
      <c r="G825" s="4">
        <v>2</v>
      </c>
      <c r="H825" s="1">
        <v>84596</v>
      </c>
      <c r="I825" s="3" t="s">
        <v>21</v>
      </c>
      <c r="J825" s="4">
        <v>2</v>
      </c>
    </row>
    <row r="826" spans="1:10" x14ac:dyDescent="0.35">
      <c r="A826" s="2" t="s">
        <v>862</v>
      </c>
      <c r="B826" s="4">
        <v>17</v>
      </c>
      <c r="C826" t="s">
        <v>11</v>
      </c>
      <c r="D826" t="s">
        <v>39</v>
      </c>
      <c r="E826" t="s">
        <v>24</v>
      </c>
      <c r="F826" t="s">
        <v>30</v>
      </c>
      <c r="G826" s="4">
        <v>9</v>
      </c>
      <c r="H826" s="1">
        <v>74322</v>
      </c>
      <c r="I826" s="3" t="s">
        <v>15</v>
      </c>
      <c r="J826" s="4">
        <v>1</v>
      </c>
    </row>
    <row r="827" spans="1:10" x14ac:dyDescent="0.35">
      <c r="A827" s="2" t="s">
        <v>863</v>
      </c>
      <c r="B827" s="4">
        <v>34</v>
      </c>
      <c r="C827" t="s">
        <v>11</v>
      </c>
      <c r="D827" t="s">
        <v>39</v>
      </c>
      <c r="E827" t="s">
        <v>42</v>
      </c>
      <c r="F827" t="s">
        <v>20</v>
      </c>
      <c r="G827" s="4">
        <v>1</v>
      </c>
      <c r="H827" s="1">
        <v>53593</v>
      </c>
      <c r="I827" s="3" t="s">
        <v>15</v>
      </c>
      <c r="J827" s="4">
        <v>1</v>
      </c>
    </row>
    <row r="828" spans="1:10" x14ac:dyDescent="0.35">
      <c r="A828" s="2" t="s">
        <v>864</v>
      </c>
      <c r="B828" s="4">
        <v>3</v>
      </c>
      <c r="C828" t="s">
        <v>11</v>
      </c>
      <c r="D828" t="s">
        <v>23</v>
      </c>
      <c r="E828" t="s">
        <v>42</v>
      </c>
      <c r="F828" t="s">
        <v>30</v>
      </c>
      <c r="G828" s="4">
        <v>8</v>
      </c>
      <c r="H828" s="1">
        <v>21465</v>
      </c>
      <c r="I828" s="3" t="s">
        <v>21</v>
      </c>
      <c r="J828" s="4">
        <v>3</v>
      </c>
    </row>
    <row r="829" spans="1:10" x14ac:dyDescent="0.35">
      <c r="A829" s="2" t="s">
        <v>865</v>
      </c>
      <c r="B829" s="4">
        <v>35</v>
      </c>
      <c r="C829" t="s">
        <v>17</v>
      </c>
      <c r="D829" t="s">
        <v>36</v>
      </c>
      <c r="E829" t="s">
        <v>29</v>
      </c>
      <c r="F829" t="s">
        <v>30</v>
      </c>
      <c r="G829" s="4">
        <v>3</v>
      </c>
      <c r="H829" s="1">
        <v>11312</v>
      </c>
      <c r="I829" s="3" t="s">
        <v>21</v>
      </c>
      <c r="J829" s="4">
        <v>4</v>
      </c>
    </row>
    <row r="830" spans="1:10" x14ac:dyDescent="0.35">
      <c r="A830" s="2" t="s">
        <v>866</v>
      </c>
      <c r="B830" s="4">
        <v>45</v>
      </c>
      <c r="C830" t="s">
        <v>11</v>
      </c>
      <c r="D830" t="s">
        <v>23</v>
      </c>
      <c r="E830" t="s">
        <v>42</v>
      </c>
      <c r="F830" t="s">
        <v>14</v>
      </c>
      <c r="G830" s="4">
        <v>10</v>
      </c>
      <c r="H830" s="1">
        <v>11422</v>
      </c>
      <c r="I830" s="3" t="s">
        <v>15</v>
      </c>
      <c r="J830" s="4">
        <v>5</v>
      </c>
    </row>
    <row r="831" spans="1:10" x14ac:dyDescent="0.35">
      <c r="A831" s="2" t="s">
        <v>867</v>
      </c>
      <c r="B831" s="4">
        <v>59</v>
      </c>
      <c r="C831" t="s">
        <v>17</v>
      </c>
      <c r="D831" t="s">
        <v>41</v>
      </c>
      <c r="E831" t="s">
        <v>65</v>
      </c>
      <c r="F831" t="s">
        <v>30</v>
      </c>
      <c r="G831" s="4">
        <v>12</v>
      </c>
      <c r="H831" s="1">
        <v>5818</v>
      </c>
      <c r="I831" s="3" t="s">
        <v>15</v>
      </c>
      <c r="J831" s="4">
        <v>1</v>
      </c>
    </row>
    <row r="832" spans="1:10" x14ac:dyDescent="0.35">
      <c r="A832" s="2" t="s">
        <v>868</v>
      </c>
      <c r="B832" s="4">
        <v>90</v>
      </c>
      <c r="C832" t="s">
        <v>17</v>
      </c>
      <c r="D832" t="s">
        <v>28</v>
      </c>
      <c r="E832" t="s">
        <v>34</v>
      </c>
      <c r="F832" t="s">
        <v>14</v>
      </c>
      <c r="G832" s="4">
        <v>10</v>
      </c>
      <c r="H832" s="1">
        <v>74230</v>
      </c>
      <c r="I832" s="3" t="s">
        <v>15</v>
      </c>
      <c r="J832" s="4">
        <v>2</v>
      </c>
    </row>
    <row r="833" spans="1:10" x14ac:dyDescent="0.35">
      <c r="A833" s="2" t="s">
        <v>869</v>
      </c>
      <c r="B833" s="4">
        <v>15</v>
      </c>
      <c r="C833" t="s">
        <v>11</v>
      </c>
      <c r="D833" t="s">
        <v>33</v>
      </c>
      <c r="E833" t="s">
        <v>42</v>
      </c>
      <c r="F833" t="s">
        <v>14</v>
      </c>
      <c r="G833" s="4">
        <v>7</v>
      </c>
      <c r="H833" s="1">
        <v>75796</v>
      </c>
      <c r="I833" s="3" t="s">
        <v>15</v>
      </c>
      <c r="J833" s="4">
        <v>4</v>
      </c>
    </row>
    <row r="834" spans="1:10" x14ac:dyDescent="0.35">
      <c r="A834" s="2" t="s">
        <v>870</v>
      </c>
      <c r="B834" s="4">
        <v>31</v>
      </c>
      <c r="C834" t="s">
        <v>11</v>
      </c>
      <c r="D834" t="s">
        <v>36</v>
      </c>
      <c r="E834" t="s">
        <v>19</v>
      </c>
      <c r="F834" t="s">
        <v>20</v>
      </c>
      <c r="G834" s="4">
        <v>9</v>
      </c>
      <c r="H834" s="1">
        <v>66943</v>
      </c>
      <c r="I834" s="3" t="s">
        <v>21</v>
      </c>
      <c r="J834" s="4">
        <v>4</v>
      </c>
    </row>
    <row r="835" spans="1:10" x14ac:dyDescent="0.35">
      <c r="A835" s="2" t="s">
        <v>871</v>
      </c>
      <c r="B835" s="4">
        <v>58</v>
      </c>
      <c r="C835" t="s">
        <v>11</v>
      </c>
      <c r="D835" t="s">
        <v>28</v>
      </c>
      <c r="E835" t="s">
        <v>34</v>
      </c>
      <c r="F835" t="s">
        <v>20</v>
      </c>
      <c r="G835" s="4">
        <v>1</v>
      </c>
      <c r="H835" s="1">
        <v>64862</v>
      </c>
      <c r="I835" s="3" t="s">
        <v>21</v>
      </c>
      <c r="J835" s="4">
        <v>1</v>
      </c>
    </row>
    <row r="836" spans="1:10" x14ac:dyDescent="0.35">
      <c r="A836" s="2" t="s">
        <v>872</v>
      </c>
      <c r="B836" s="4">
        <v>52</v>
      </c>
      <c r="C836" t="s">
        <v>11</v>
      </c>
      <c r="D836" t="s">
        <v>39</v>
      </c>
      <c r="E836" t="s">
        <v>13</v>
      </c>
      <c r="F836" t="s">
        <v>30</v>
      </c>
      <c r="G836" s="4">
        <v>14</v>
      </c>
      <c r="H836" s="1">
        <v>35576</v>
      </c>
      <c r="I836" s="3" t="s">
        <v>21</v>
      </c>
      <c r="J836" s="4">
        <v>3</v>
      </c>
    </row>
    <row r="837" spans="1:10" x14ac:dyDescent="0.35">
      <c r="A837" s="2" t="s">
        <v>873</v>
      </c>
      <c r="B837" s="4">
        <v>18</v>
      </c>
      <c r="C837" t="s">
        <v>11</v>
      </c>
      <c r="D837" t="s">
        <v>49</v>
      </c>
      <c r="E837" t="s">
        <v>37</v>
      </c>
      <c r="F837" t="s">
        <v>30</v>
      </c>
      <c r="G837" s="4">
        <v>6</v>
      </c>
      <c r="H837" s="1">
        <v>63354</v>
      </c>
      <c r="I837" s="3" t="s">
        <v>15</v>
      </c>
      <c r="J837" s="4">
        <v>4</v>
      </c>
    </row>
    <row r="838" spans="1:10" x14ac:dyDescent="0.35">
      <c r="A838" s="2" t="s">
        <v>874</v>
      </c>
      <c r="B838" s="4">
        <v>9</v>
      </c>
      <c r="C838" t="s">
        <v>17</v>
      </c>
      <c r="D838" t="s">
        <v>49</v>
      </c>
      <c r="E838" t="s">
        <v>19</v>
      </c>
      <c r="F838" t="s">
        <v>14</v>
      </c>
      <c r="G838" s="4">
        <v>7</v>
      </c>
      <c r="H838" s="1">
        <v>72328</v>
      </c>
      <c r="I838" s="3" t="s">
        <v>21</v>
      </c>
      <c r="J838" s="4">
        <v>2</v>
      </c>
    </row>
    <row r="839" spans="1:10" x14ac:dyDescent="0.35">
      <c r="A839" s="2" t="s">
        <v>875</v>
      </c>
      <c r="B839" s="4">
        <v>21</v>
      </c>
      <c r="C839" t="s">
        <v>11</v>
      </c>
      <c r="D839" t="s">
        <v>39</v>
      </c>
      <c r="E839" t="s">
        <v>13</v>
      </c>
      <c r="F839" t="s">
        <v>30</v>
      </c>
      <c r="G839" s="4">
        <v>6</v>
      </c>
      <c r="H839" s="1">
        <v>73291</v>
      </c>
      <c r="I839" s="3" t="s">
        <v>15</v>
      </c>
      <c r="J839" s="4">
        <v>5</v>
      </c>
    </row>
    <row r="840" spans="1:10" x14ac:dyDescent="0.35">
      <c r="A840" s="2" t="s">
        <v>876</v>
      </c>
      <c r="B840" s="4">
        <v>88</v>
      </c>
      <c r="C840" t="s">
        <v>11</v>
      </c>
      <c r="D840" t="s">
        <v>12</v>
      </c>
      <c r="E840" t="s">
        <v>13</v>
      </c>
      <c r="F840" t="s">
        <v>30</v>
      </c>
      <c r="G840" s="4">
        <v>13</v>
      </c>
      <c r="H840" s="1">
        <v>89741</v>
      </c>
      <c r="I840" s="3" t="s">
        <v>15</v>
      </c>
      <c r="J840" s="4">
        <v>4</v>
      </c>
    </row>
    <row r="841" spans="1:10" x14ac:dyDescent="0.35">
      <c r="A841" s="2" t="s">
        <v>877</v>
      </c>
      <c r="B841" s="4">
        <v>55</v>
      </c>
      <c r="C841" t="s">
        <v>17</v>
      </c>
      <c r="D841" t="s">
        <v>18</v>
      </c>
      <c r="E841" t="s">
        <v>53</v>
      </c>
      <c r="F841" t="s">
        <v>14</v>
      </c>
      <c r="G841" s="4">
        <v>3</v>
      </c>
      <c r="H841" s="1">
        <v>6948</v>
      </c>
      <c r="I841" s="3" t="s">
        <v>15</v>
      </c>
      <c r="J841" s="4">
        <v>3</v>
      </c>
    </row>
    <row r="842" spans="1:10" x14ac:dyDescent="0.35">
      <c r="A842" s="2" t="s">
        <v>878</v>
      </c>
      <c r="B842" s="4">
        <v>61</v>
      </c>
      <c r="C842" t="s">
        <v>17</v>
      </c>
      <c r="D842" t="s">
        <v>33</v>
      </c>
      <c r="E842" t="s">
        <v>34</v>
      </c>
      <c r="F842" t="s">
        <v>14</v>
      </c>
      <c r="G842" s="4">
        <v>4</v>
      </c>
      <c r="H842" s="1">
        <v>26433</v>
      </c>
      <c r="I842" s="3" t="s">
        <v>15</v>
      </c>
      <c r="J842" s="4">
        <v>4</v>
      </c>
    </row>
    <row r="843" spans="1:10" x14ac:dyDescent="0.35">
      <c r="A843" s="2" t="s">
        <v>879</v>
      </c>
      <c r="B843" s="4">
        <v>88</v>
      </c>
      <c r="C843" t="s">
        <v>11</v>
      </c>
      <c r="D843" t="s">
        <v>39</v>
      </c>
      <c r="E843" t="s">
        <v>27</v>
      </c>
      <c r="F843" t="s">
        <v>14</v>
      </c>
      <c r="G843" s="4">
        <v>2</v>
      </c>
      <c r="H843" s="1">
        <v>14704</v>
      </c>
      <c r="I843" s="3" t="s">
        <v>21</v>
      </c>
      <c r="J843" s="4">
        <v>4</v>
      </c>
    </row>
    <row r="844" spans="1:10" x14ac:dyDescent="0.35">
      <c r="A844" s="2" t="s">
        <v>880</v>
      </c>
      <c r="B844" s="4">
        <v>64</v>
      </c>
      <c r="C844" t="s">
        <v>17</v>
      </c>
      <c r="D844" t="s">
        <v>33</v>
      </c>
      <c r="E844" t="s">
        <v>34</v>
      </c>
      <c r="F844" t="s">
        <v>20</v>
      </c>
      <c r="G844" s="4">
        <v>4</v>
      </c>
      <c r="H844" s="1">
        <v>93208</v>
      </c>
      <c r="I844" s="3" t="s">
        <v>15</v>
      </c>
      <c r="J844" s="4">
        <v>3</v>
      </c>
    </row>
    <row r="845" spans="1:10" x14ac:dyDescent="0.35">
      <c r="A845" s="2" t="s">
        <v>881</v>
      </c>
      <c r="B845" s="4">
        <v>68</v>
      </c>
      <c r="C845" t="s">
        <v>17</v>
      </c>
      <c r="D845" t="s">
        <v>41</v>
      </c>
      <c r="E845" t="s">
        <v>34</v>
      </c>
      <c r="F845" t="s">
        <v>30</v>
      </c>
      <c r="G845" s="4">
        <v>9</v>
      </c>
      <c r="H845" s="1">
        <v>22491</v>
      </c>
      <c r="I845" s="3" t="s">
        <v>21</v>
      </c>
      <c r="J845" s="4">
        <v>3</v>
      </c>
    </row>
    <row r="846" spans="1:10" x14ac:dyDescent="0.35">
      <c r="A846" s="2" t="s">
        <v>882</v>
      </c>
      <c r="B846" s="4">
        <v>87</v>
      </c>
      <c r="C846" t="s">
        <v>11</v>
      </c>
      <c r="D846" t="s">
        <v>41</v>
      </c>
      <c r="E846" t="s">
        <v>42</v>
      </c>
      <c r="F846" t="s">
        <v>20</v>
      </c>
      <c r="G846" s="4">
        <v>3</v>
      </c>
      <c r="H846" s="1">
        <v>56546</v>
      </c>
      <c r="I846" s="3" t="s">
        <v>21</v>
      </c>
      <c r="J846" s="4">
        <v>5</v>
      </c>
    </row>
    <row r="847" spans="1:10" x14ac:dyDescent="0.35">
      <c r="A847" s="2" t="s">
        <v>883</v>
      </c>
      <c r="B847" s="4">
        <v>79</v>
      </c>
      <c r="C847" t="s">
        <v>11</v>
      </c>
      <c r="D847" t="s">
        <v>36</v>
      </c>
      <c r="E847" t="s">
        <v>24</v>
      </c>
      <c r="F847" t="s">
        <v>20</v>
      </c>
      <c r="G847" s="4">
        <v>1</v>
      </c>
      <c r="H847" s="1">
        <v>33453</v>
      </c>
      <c r="I847" s="3" t="s">
        <v>21</v>
      </c>
      <c r="J847" s="4">
        <v>4</v>
      </c>
    </row>
    <row r="848" spans="1:10" x14ac:dyDescent="0.35">
      <c r="A848" s="2" t="s">
        <v>884</v>
      </c>
      <c r="B848" s="4">
        <v>58</v>
      </c>
      <c r="C848" t="s">
        <v>17</v>
      </c>
      <c r="D848" t="s">
        <v>49</v>
      </c>
      <c r="E848" t="s">
        <v>65</v>
      </c>
      <c r="F848" t="s">
        <v>30</v>
      </c>
      <c r="G848" s="4">
        <v>1</v>
      </c>
      <c r="H848" s="1">
        <v>53523</v>
      </c>
      <c r="I848" s="3" t="s">
        <v>21</v>
      </c>
      <c r="J848" s="4">
        <v>2</v>
      </c>
    </row>
    <row r="849" spans="1:10" x14ac:dyDescent="0.35">
      <c r="A849" s="2" t="s">
        <v>885</v>
      </c>
      <c r="B849" s="4">
        <v>6</v>
      </c>
      <c r="C849" t="s">
        <v>17</v>
      </c>
      <c r="D849" t="s">
        <v>28</v>
      </c>
      <c r="E849" t="s">
        <v>29</v>
      </c>
      <c r="F849" t="s">
        <v>30</v>
      </c>
      <c r="G849" s="4">
        <v>15</v>
      </c>
      <c r="H849" s="1">
        <v>49430</v>
      </c>
      <c r="I849" s="3" t="s">
        <v>21</v>
      </c>
      <c r="J849" s="4">
        <v>3</v>
      </c>
    </row>
    <row r="850" spans="1:10" x14ac:dyDescent="0.35">
      <c r="A850" s="2" t="s">
        <v>886</v>
      </c>
      <c r="B850" s="4">
        <v>73</v>
      </c>
      <c r="C850" t="s">
        <v>17</v>
      </c>
      <c r="D850" t="s">
        <v>26</v>
      </c>
      <c r="E850" t="s">
        <v>13</v>
      </c>
      <c r="F850" t="s">
        <v>20</v>
      </c>
      <c r="G850" s="4">
        <v>7</v>
      </c>
      <c r="H850" s="1">
        <v>12224</v>
      </c>
      <c r="I850" s="3" t="s">
        <v>21</v>
      </c>
      <c r="J850" s="4">
        <v>2</v>
      </c>
    </row>
    <row r="851" spans="1:10" x14ac:dyDescent="0.35">
      <c r="A851" s="2" t="s">
        <v>887</v>
      </c>
      <c r="B851" s="4">
        <v>7</v>
      </c>
      <c r="C851" t="s">
        <v>11</v>
      </c>
      <c r="D851" t="s">
        <v>41</v>
      </c>
      <c r="E851" t="s">
        <v>37</v>
      </c>
      <c r="F851" t="s">
        <v>20</v>
      </c>
      <c r="G851" s="4">
        <v>13</v>
      </c>
      <c r="H851" s="1">
        <v>71381</v>
      </c>
      <c r="I851" s="3" t="s">
        <v>15</v>
      </c>
      <c r="J851" s="4">
        <v>3</v>
      </c>
    </row>
    <row r="852" spans="1:10" x14ac:dyDescent="0.35">
      <c r="A852" s="2" t="s">
        <v>888</v>
      </c>
      <c r="B852" s="4">
        <v>29</v>
      </c>
      <c r="C852" t="s">
        <v>11</v>
      </c>
      <c r="D852" t="s">
        <v>33</v>
      </c>
      <c r="E852" t="s">
        <v>19</v>
      </c>
      <c r="F852" t="s">
        <v>30</v>
      </c>
      <c r="G852" s="4">
        <v>13</v>
      </c>
      <c r="H852" s="1">
        <v>10653</v>
      </c>
      <c r="I852" s="3" t="s">
        <v>15</v>
      </c>
      <c r="J852" s="4">
        <v>3</v>
      </c>
    </row>
    <row r="853" spans="1:10" x14ac:dyDescent="0.35">
      <c r="A853" s="2" t="s">
        <v>889</v>
      </c>
      <c r="B853" s="4">
        <v>17</v>
      </c>
      <c r="C853" t="s">
        <v>17</v>
      </c>
      <c r="D853" t="s">
        <v>39</v>
      </c>
      <c r="E853" t="s">
        <v>27</v>
      </c>
      <c r="F853" t="s">
        <v>30</v>
      </c>
      <c r="G853" s="4">
        <v>7</v>
      </c>
      <c r="H853" s="1">
        <v>21459</v>
      </c>
      <c r="I853" s="3" t="s">
        <v>21</v>
      </c>
      <c r="J853" s="4">
        <v>1</v>
      </c>
    </row>
    <row r="854" spans="1:10" x14ac:dyDescent="0.35">
      <c r="A854" s="2" t="s">
        <v>890</v>
      </c>
      <c r="B854" s="4">
        <v>29</v>
      </c>
      <c r="C854" t="s">
        <v>17</v>
      </c>
      <c r="D854" t="s">
        <v>36</v>
      </c>
      <c r="E854" t="s">
        <v>13</v>
      </c>
      <c r="F854" t="s">
        <v>20</v>
      </c>
      <c r="G854" s="4">
        <v>13</v>
      </c>
      <c r="H854" s="1">
        <v>36200</v>
      </c>
      <c r="I854" s="3" t="s">
        <v>21</v>
      </c>
      <c r="J854" s="4">
        <v>4</v>
      </c>
    </row>
    <row r="855" spans="1:10" x14ac:dyDescent="0.35">
      <c r="A855" s="2" t="s">
        <v>891</v>
      </c>
      <c r="B855" s="4">
        <v>9</v>
      </c>
      <c r="C855" t="s">
        <v>11</v>
      </c>
      <c r="D855" t="s">
        <v>12</v>
      </c>
      <c r="E855" t="s">
        <v>27</v>
      </c>
      <c r="F855" t="s">
        <v>20</v>
      </c>
      <c r="G855" s="4">
        <v>3</v>
      </c>
      <c r="H855" s="1">
        <v>66323</v>
      </c>
      <c r="I855" s="3" t="s">
        <v>21</v>
      </c>
      <c r="J855" s="4">
        <v>1</v>
      </c>
    </row>
    <row r="856" spans="1:10" x14ac:dyDescent="0.35">
      <c r="A856" s="2" t="s">
        <v>892</v>
      </c>
      <c r="B856" s="4">
        <v>51</v>
      </c>
      <c r="C856" t="s">
        <v>17</v>
      </c>
      <c r="D856" t="s">
        <v>41</v>
      </c>
      <c r="E856" t="s">
        <v>27</v>
      </c>
      <c r="F856" t="s">
        <v>14</v>
      </c>
      <c r="G856" s="4">
        <v>4</v>
      </c>
      <c r="H856" s="1">
        <v>17070</v>
      </c>
      <c r="I856" s="3" t="s">
        <v>15</v>
      </c>
      <c r="J856" s="4">
        <v>3</v>
      </c>
    </row>
    <row r="857" spans="1:10" x14ac:dyDescent="0.35">
      <c r="A857" s="2" t="s">
        <v>893</v>
      </c>
      <c r="B857" s="4">
        <v>9</v>
      </c>
      <c r="C857" t="s">
        <v>17</v>
      </c>
      <c r="D857" t="s">
        <v>26</v>
      </c>
      <c r="E857" t="s">
        <v>27</v>
      </c>
      <c r="F857" t="s">
        <v>30</v>
      </c>
      <c r="G857" s="4">
        <v>5</v>
      </c>
      <c r="H857" s="1">
        <v>38645</v>
      </c>
      <c r="I857" s="3" t="s">
        <v>15</v>
      </c>
      <c r="J857" s="4">
        <v>5</v>
      </c>
    </row>
    <row r="858" spans="1:10" x14ac:dyDescent="0.35">
      <c r="A858" s="2" t="s">
        <v>894</v>
      </c>
      <c r="B858" s="4">
        <v>31</v>
      </c>
      <c r="C858" t="s">
        <v>17</v>
      </c>
      <c r="D858" t="s">
        <v>28</v>
      </c>
      <c r="E858" t="s">
        <v>37</v>
      </c>
      <c r="F858" t="s">
        <v>20</v>
      </c>
      <c r="G858" s="4">
        <v>6</v>
      </c>
      <c r="H858" s="1">
        <v>65587</v>
      </c>
      <c r="I858" s="3" t="s">
        <v>21</v>
      </c>
      <c r="J858" s="4">
        <v>1</v>
      </c>
    </row>
    <row r="859" spans="1:10" x14ac:dyDescent="0.35">
      <c r="A859" s="2" t="s">
        <v>895</v>
      </c>
      <c r="B859" s="4">
        <v>9</v>
      </c>
      <c r="C859" t="s">
        <v>11</v>
      </c>
      <c r="D859" t="s">
        <v>33</v>
      </c>
      <c r="E859" t="s">
        <v>13</v>
      </c>
      <c r="F859" t="s">
        <v>30</v>
      </c>
      <c r="G859" s="4">
        <v>10</v>
      </c>
      <c r="H859" s="1">
        <v>84476</v>
      </c>
      <c r="I859" s="3" t="s">
        <v>15</v>
      </c>
      <c r="J859" s="4">
        <v>4</v>
      </c>
    </row>
    <row r="860" spans="1:10" x14ac:dyDescent="0.35">
      <c r="A860" s="2" t="s">
        <v>896</v>
      </c>
      <c r="B860" s="4">
        <v>66</v>
      </c>
      <c r="C860" t="s">
        <v>11</v>
      </c>
      <c r="D860" t="s">
        <v>28</v>
      </c>
      <c r="E860" t="s">
        <v>42</v>
      </c>
      <c r="F860" t="s">
        <v>20</v>
      </c>
      <c r="G860" s="4">
        <v>1</v>
      </c>
      <c r="H860" s="1">
        <v>85575</v>
      </c>
      <c r="I860" s="3" t="s">
        <v>15</v>
      </c>
      <c r="J860" s="4">
        <v>5</v>
      </c>
    </row>
    <row r="861" spans="1:10" x14ac:dyDescent="0.35">
      <c r="A861" s="2" t="s">
        <v>897</v>
      </c>
      <c r="B861" s="4">
        <v>5</v>
      </c>
      <c r="C861" t="s">
        <v>17</v>
      </c>
      <c r="D861" t="s">
        <v>41</v>
      </c>
      <c r="E861" t="s">
        <v>19</v>
      </c>
      <c r="F861" t="s">
        <v>30</v>
      </c>
      <c r="G861" s="4">
        <v>9</v>
      </c>
      <c r="H861" s="1">
        <v>99630</v>
      </c>
      <c r="I861" s="3" t="s">
        <v>21</v>
      </c>
      <c r="J861" s="4">
        <v>1</v>
      </c>
    </row>
    <row r="862" spans="1:10" x14ac:dyDescent="0.35">
      <c r="A862" s="2" t="s">
        <v>898</v>
      </c>
      <c r="B862" s="4">
        <v>36</v>
      </c>
      <c r="C862" t="s">
        <v>11</v>
      </c>
      <c r="D862" t="s">
        <v>12</v>
      </c>
      <c r="E862" t="s">
        <v>42</v>
      </c>
      <c r="F862" t="s">
        <v>14</v>
      </c>
      <c r="G862" s="4">
        <v>8</v>
      </c>
      <c r="H862" s="1">
        <v>76923</v>
      </c>
      <c r="I862" s="3" t="s">
        <v>15</v>
      </c>
      <c r="J862" s="4">
        <v>1</v>
      </c>
    </row>
    <row r="863" spans="1:10" x14ac:dyDescent="0.35">
      <c r="A863" s="2" t="s">
        <v>899</v>
      </c>
      <c r="B863" s="4">
        <v>14</v>
      </c>
      <c r="C863" t="s">
        <v>11</v>
      </c>
      <c r="D863" t="s">
        <v>41</v>
      </c>
      <c r="E863" t="s">
        <v>24</v>
      </c>
      <c r="F863" t="s">
        <v>20</v>
      </c>
      <c r="G863" s="4">
        <v>2</v>
      </c>
      <c r="H863" s="1">
        <v>33521</v>
      </c>
      <c r="I863" s="3" t="s">
        <v>21</v>
      </c>
      <c r="J863" s="4">
        <v>5</v>
      </c>
    </row>
    <row r="864" spans="1:10" x14ac:dyDescent="0.35">
      <c r="A864" s="2" t="s">
        <v>900</v>
      </c>
      <c r="B864" s="4">
        <v>73</v>
      </c>
      <c r="C864" t="s">
        <v>11</v>
      </c>
      <c r="D864" t="s">
        <v>12</v>
      </c>
      <c r="E864" t="s">
        <v>24</v>
      </c>
      <c r="F864" t="s">
        <v>20</v>
      </c>
      <c r="G864" s="4">
        <v>10</v>
      </c>
      <c r="H864" s="1">
        <v>53331</v>
      </c>
      <c r="I864" s="3" t="s">
        <v>21</v>
      </c>
      <c r="J864" s="4">
        <v>4</v>
      </c>
    </row>
    <row r="865" spans="1:10" x14ac:dyDescent="0.35">
      <c r="A865" s="2" t="s">
        <v>901</v>
      </c>
      <c r="B865" s="4">
        <v>21</v>
      </c>
      <c r="C865" t="s">
        <v>11</v>
      </c>
      <c r="D865" t="s">
        <v>33</v>
      </c>
      <c r="E865" t="s">
        <v>19</v>
      </c>
      <c r="F865" t="s">
        <v>30</v>
      </c>
      <c r="G865" s="4">
        <v>7</v>
      </c>
      <c r="H865" s="1">
        <v>11938</v>
      </c>
      <c r="I865" s="3" t="s">
        <v>15</v>
      </c>
      <c r="J865" s="4">
        <v>4</v>
      </c>
    </row>
    <row r="866" spans="1:10" x14ac:dyDescent="0.35">
      <c r="A866" s="2" t="s">
        <v>902</v>
      </c>
      <c r="B866" s="4">
        <v>66</v>
      </c>
      <c r="C866" t="s">
        <v>11</v>
      </c>
      <c r="D866" t="s">
        <v>36</v>
      </c>
      <c r="E866" t="s">
        <v>37</v>
      </c>
      <c r="F866" t="s">
        <v>30</v>
      </c>
      <c r="G866" s="4">
        <v>12</v>
      </c>
      <c r="H866" s="1">
        <v>35946</v>
      </c>
      <c r="I866" s="3" t="s">
        <v>21</v>
      </c>
      <c r="J866" s="4">
        <v>3</v>
      </c>
    </row>
    <row r="867" spans="1:10" x14ac:dyDescent="0.35">
      <c r="A867" s="2" t="s">
        <v>903</v>
      </c>
      <c r="B867" s="4">
        <v>7</v>
      </c>
      <c r="C867" t="s">
        <v>17</v>
      </c>
      <c r="D867" t="s">
        <v>28</v>
      </c>
      <c r="E867" t="s">
        <v>27</v>
      </c>
      <c r="F867" t="s">
        <v>14</v>
      </c>
      <c r="G867" s="4">
        <v>4</v>
      </c>
      <c r="H867" s="1">
        <v>67939</v>
      </c>
      <c r="I867" s="3" t="s">
        <v>21</v>
      </c>
      <c r="J867" s="4">
        <v>1</v>
      </c>
    </row>
    <row r="868" spans="1:10" x14ac:dyDescent="0.35">
      <c r="A868" s="2" t="s">
        <v>904</v>
      </c>
      <c r="B868" s="4">
        <v>8</v>
      </c>
      <c r="C868" t="s">
        <v>17</v>
      </c>
      <c r="D868" t="s">
        <v>23</v>
      </c>
      <c r="E868" t="s">
        <v>34</v>
      </c>
      <c r="F868" t="s">
        <v>20</v>
      </c>
      <c r="G868" s="4">
        <v>3</v>
      </c>
      <c r="H868" s="1">
        <v>54075</v>
      </c>
      <c r="I868" s="3" t="s">
        <v>21</v>
      </c>
      <c r="J868" s="4">
        <v>3</v>
      </c>
    </row>
    <row r="869" spans="1:10" x14ac:dyDescent="0.35">
      <c r="A869" s="2" t="s">
        <v>905</v>
      </c>
      <c r="B869" s="4">
        <v>43</v>
      </c>
      <c r="C869" t="s">
        <v>11</v>
      </c>
      <c r="D869" t="s">
        <v>28</v>
      </c>
      <c r="E869" t="s">
        <v>29</v>
      </c>
      <c r="F869" t="s">
        <v>14</v>
      </c>
      <c r="G869" s="4">
        <v>15</v>
      </c>
      <c r="H869" s="1">
        <v>72961</v>
      </c>
      <c r="I869" s="3" t="s">
        <v>21</v>
      </c>
      <c r="J869" s="4">
        <v>3</v>
      </c>
    </row>
    <row r="870" spans="1:10" x14ac:dyDescent="0.35">
      <c r="A870" s="2" t="s">
        <v>906</v>
      </c>
      <c r="B870" s="4">
        <v>39</v>
      </c>
      <c r="C870" t="s">
        <v>11</v>
      </c>
      <c r="D870" t="s">
        <v>39</v>
      </c>
      <c r="E870" t="s">
        <v>29</v>
      </c>
      <c r="F870" t="s">
        <v>30</v>
      </c>
      <c r="G870" s="4">
        <v>1</v>
      </c>
      <c r="H870" s="1">
        <v>47142</v>
      </c>
      <c r="I870" s="3" t="s">
        <v>21</v>
      </c>
      <c r="J870" s="4">
        <v>1</v>
      </c>
    </row>
    <row r="871" spans="1:10" x14ac:dyDescent="0.35">
      <c r="A871" s="2" t="s">
        <v>907</v>
      </c>
      <c r="B871" s="4">
        <v>75</v>
      </c>
      <c r="C871" t="s">
        <v>17</v>
      </c>
      <c r="D871" t="s">
        <v>12</v>
      </c>
      <c r="E871" t="s">
        <v>24</v>
      </c>
      <c r="F871" t="s">
        <v>14</v>
      </c>
      <c r="G871" s="4">
        <v>11</v>
      </c>
      <c r="H871" s="1">
        <v>72549</v>
      </c>
      <c r="I871" s="3" t="s">
        <v>15</v>
      </c>
      <c r="J871" s="4">
        <v>1</v>
      </c>
    </row>
    <row r="872" spans="1:10" x14ac:dyDescent="0.35">
      <c r="A872" s="2" t="s">
        <v>908</v>
      </c>
      <c r="B872" s="4">
        <v>14</v>
      </c>
      <c r="C872" t="s">
        <v>11</v>
      </c>
      <c r="D872" t="s">
        <v>33</v>
      </c>
      <c r="E872" t="s">
        <v>27</v>
      </c>
      <c r="F872" t="s">
        <v>30</v>
      </c>
      <c r="G872" s="4">
        <v>9</v>
      </c>
      <c r="H872" s="1">
        <v>92338</v>
      </c>
      <c r="I872" s="3" t="s">
        <v>21</v>
      </c>
      <c r="J872" s="4">
        <v>2</v>
      </c>
    </row>
    <row r="873" spans="1:10" x14ac:dyDescent="0.35">
      <c r="A873" s="2" t="s">
        <v>909</v>
      </c>
      <c r="B873" s="4">
        <v>26</v>
      </c>
      <c r="C873" t="s">
        <v>17</v>
      </c>
      <c r="D873" t="s">
        <v>33</v>
      </c>
      <c r="E873" t="s">
        <v>37</v>
      </c>
      <c r="F873" t="s">
        <v>30</v>
      </c>
      <c r="G873" s="4">
        <v>12</v>
      </c>
      <c r="H873" s="1">
        <v>44123</v>
      </c>
      <c r="I873" s="3" t="s">
        <v>21</v>
      </c>
      <c r="J873" s="4">
        <v>4</v>
      </c>
    </row>
    <row r="874" spans="1:10" x14ac:dyDescent="0.35">
      <c r="A874" s="2" t="s">
        <v>910</v>
      </c>
      <c r="B874" s="4">
        <v>29</v>
      </c>
      <c r="C874" t="s">
        <v>17</v>
      </c>
      <c r="D874" t="s">
        <v>33</v>
      </c>
      <c r="E874" t="s">
        <v>53</v>
      </c>
      <c r="F874" t="s">
        <v>14</v>
      </c>
      <c r="G874" s="4">
        <v>10</v>
      </c>
      <c r="H874" s="1">
        <v>13828</v>
      </c>
      <c r="I874" s="3" t="s">
        <v>15</v>
      </c>
      <c r="J874" s="4">
        <v>2</v>
      </c>
    </row>
    <row r="875" spans="1:10" x14ac:dyDescent="0.35">
      <c r="A875" s="2" t="s">
        <v>911</v>
      </c>
      <c r="B875" s="4">
        <v>86</v>
      </c>
      <c r="C875" t="s">
        <v>11</v>
      </c>
      <c r="D875" t="s">
        <v>26</v>
      </c>
      <c r="E875" t="s">
        <v>42</v>
      </c>
      <c r="F875" t="s">
        <v>14</v>
      </c>
      <c r="G875" s="4">
        <v>11</v>
      </c>
      <c r="H875" s="1">
        <v>84573</v>
      </c>
      <c r="I875" s="3" t="s">
        <v>15</v>
      </c>
      <c r="J875" s="4">
        <v>3</v>
      </c>
    </row>
    <row r="876" spans="1:10" x14ac:dyDescent="0.35">
      <c r="A876" s="2" t="s">
        <v>912</v>
      </c>
      <c r="B876" s="4">
        <v>62</v>
      </c>
      <c r="C876" t="s">
        <v>17</v>
      </c>
      <c r="D876" t="s">
        <v>12</v>
      </c>
      <c r="E876" t="s">
        <v>24</v>
      </c>
      <c r="F876" t="s">
        <v>14</v>
      </c>
      <c r="G876" s="4">
        <v>10</v>
      </c>
      <c r="H876" s="1">
        <v>85021</v>
      </c>
      <c r="I876" s="3" t="s">
        <v>15</v>
      </c>
      <c r="J876" s="4">
        <v>2</v>
      </c>
    </row>
    <row r="877" spans="1:10" x14ac:dyDescent="0.35">
      <c r="A877" s="2" t="s">
        <v>913</v>
      </c>
      <c r="B877" s="4">
        <v>72</v>
      </c>
      <c r="C877" t="s">
        <v>17</v>
      </c>
      <c r="D877" t="s">
        <v>41</v>
      </c>
      <c r="E877" t="s">
        <v>34</v>
      </c>
      <c r="F877" t="s">
        <v>30</v>
      </c>
      <c r="G877" s="4">
        <v>5</v>
      </c>
      <c r="H877" s="1">
        <v>19622</v>
      </c>
      <c r="I877" s="3" t="s">
        <v>21</v>
      </c>
      <c r="J877" s="4">
        <v>2</v>
      </c>
    </row>
    <row r="878" spans="1:10" x14ac:dyDescent="0.35">
      <c r="A878" s="2" t="s">
        <v>914</v>
      </c>
      <c r="B878" s="4">
        <v>59</v>
      </c>
      <c r="C878" t="s">
        <v>11</v>
      </c>
      <c r="D878" t="s">
        <v>26</v>
      </c>
      <c r="E878" t="s">
        <v>19</v>
      </c>
      <c r="F878" t="s">
        <v>20</v>
      </c>
      <c r="G878" s="4">
        <v>13</v>
      </c>
      <c r="H878" s="1">
        <v>95127</v>
      </c>
      <c r="I878" s="3" t="s">
        <v>15</v>
      </c>
      <c r="J878" s="4">
        <v>2</v>
      </c>
    </row>
    <row r="879" spans="1:10" x14ac:dyDescent="0.35">
      <c r="A879" s="2" t="s">
        <v>915</v>
      </c>
      <c r="B879" s="4">
        <v>43</v>
      </c>
      <c r="C879" t="s">
        <v>11</v>
      </c>
      <c r="D879" t="s">
        <v>26</v>
      </c>
      <c r="E879" t="s">
        <v>34</v>
      </c>
      <c r="F879" t="s">
        <v>30</v>
      </c>
      <c r="G879" s="4">
        <v>13</v>
      </c>
      <c r="H879" s="1">
        <v>42795</v>
      </c>
      <c r="I879" s="3" t="s">
        <v>21</v>
      </c>
      <c r="J879" s="4">
        <v>2</v>
      </c>
    </row>
    <row r="880" spans="1:10" x14ac:dyDescent="0.35">
      <c r="A880" s="2" t="s">
        <v>916</v>
      </c>
      <c r="B880" s="4">
        <v>32</v>
      </c>
      <c r="C880" t="s">
        <v>11</v>
      </c>
      <c r="D880" t="s">
        <v>18</v>
      </c>
      <c r="E880" t="s">
        <v>27</v>
      </c>
      <c r="F880" t="s">
        <v>20</v>
      </c>
      <c r="G880" s="4">
        <v>6</v>
      </c>
      <c r="H880" s="1">
        <v>12008</v>
      </c>
      <c r="I880" s="3" t="s">
        <v>21</v>
      </c>
      <c r="J880" s="4">
        <v>2</v>
      </c>
    </row>
    <row r="881" spans="1:10" x14ac:dyDescent="0.35">
      <c r="A881" s="2" t="s">
        <v>917</v>
      </c>
      <c r="B881" s="4">
        <v>60</v>
      </c>
      <c r="C881" t="s">
        <v>17</v>
      </c>
      <c r="D881" t="s">
        <v>33</v>
      </c>
      <c r="E881" t="s">
        <v>24</v>
      </c>
      <c r="F881" t="s">
        <v>20</v>
      </c>
      <c r="G881" s="4">
        <v>14</v>
      </c>
      <c r="H881" s="1">
        <v>53155</v>
      </c>
      <c r="I881" s="3" t="s">
        <v>21</v>
      </c>
      <c r="J881" s="4">
        <v>5</v>
      </c>
    </row>
    <row r="882" spans="1:10" x14ac:dyDescent="0.35">
      <c r="A882" s="2" t="s">
        <v>918</v>
      </c>
      <c r="B882" s="4">
        <v>74</v>
      </c>
      <c r="C882" t="s">
        <v>11</v>
      </c>
      <c r="D882" t="s">
        <v>26</v>
      </c>
      <c r="E882" t="s">
        <v>27</v>
      </c>
      <c r="F882" t="s">
        <v>30</v>
      </c>
      <c r="G882" s="4">
        <v>3</v>
      </c>
      <c r="H882" s="1">
        <v>30857</v>
      </c>
      <c r="I882" s="3" t="s">
        <v>15</v>
      </c>
      <c r="J882" s="4">
        <v>1</v>
      </c>
    </row>
    <row r="883" spans="1:10" x14ac:dyDescent="0.35">
      <c r="A883" s="2" t="s">
        <v>919</v>
      </c>
      <c r="B883" s="4">
        <v>57</v>
      </c>
      <c r="C883" t="s">
        <v>11</v>
      </c>
      <c r="D883" t="s">
        <v>33</v>
      </c>
      <c r="E883" t="s">
        <v>19</v>
      </c>
      <c r="F883" t="s">
        <v>30</v>
      </c>
      <c r="G883" s="4">
        <v>1</v>
      </c>
      <c r="H883" s="1">
        <v>77397</v>
      </c>
      <c r="I883" s="3" t="s">
        <v>15</v>
      </c>
      <c r="J883" s="4">
        <v>5</v>
      </c>
    </row>
    <row r="884" spans="1:10" x14ac:dyDescent="0.35">
      <c r="A884" s="2" t="s">
        <v>920</v>
      </c>
      <c r="B884" s="4">
        <v>3</v>
      </c>
      <c r="C884" t="s">
        <v>17</v>
      </c>
      <c r="D884" t="s">
        <v>18</v>
      </c>
      <c r="E884" t="s">
        <v>19</v>
      </c>
      <c r="F884" t="s">
        <v>30</v>
      </c>
      <c r="G884" s="4">
        <v>11</v>
      </c>
      <c r="H884" s="1">
        <v>32530</v>
      </c>
      <c r="I884" s="3" t="s">
        <v>15</v>
      </c>
      <c r="J884" s="4">
        <v>3</v>
      </c>
    </row>
    <row r="885" spans="1:10" x14ac:dyDescent="0.35">
      <c r="A885" s="2" t="s">
        <v>921</v>
      </c>
      <c r="B885" s="4">
        <v>43</v>
      </c>
      <c r="C885" t="s">
        <v>17</v>
      </c>
      <c r="D885" t="s">
        <v>41</v>
      </c>
      <c r="E885" t="s">
        <v>42</v>
      </c>
      <c r="F885" t="s">
        <v>14</v>
      </c>
      <c r="G885" s="4">
        <v>1</v>
      </c>
      <c r="H885" s="1">
        <v>13751</v>
      </c>
      <c r="I885" s="3" t="s">
        <v>21</v>
      </c>
      <c r="J885" s="4">
        <v>2</v>
      </c>
    </row>
    <row r="886" spans="1:10" x14ac:dyDescent="0.35">
      <c r="A886" s="2" t="s">
        <v>922</v>
      </c>
      <c r="B886" s="4">
        <v>72</v>
      </c>
      <c r="C886" t="s">
        <v>17</v>
      </c>
      <c r="D886" t="s">
        <v>18</v>
      </c>
      <c r="E886" t="s">
        <v>13</v>
      </c>
      <c r="F886" t="s">
        <v>30</v>
      </c>
      <c r="G886" s="4">
        <v>12</v>
      </c>
      <c r="H886" s="1">
        <v>86796</v>
      </c>
      <c r="I886" s="3" t="s">
        <v>21</v>
      </c>
      <c r="J886" s="4">
        <v>3</v>
      </c>
    </row>
    <row r="887" spans="1:10" x14ac:dyDescent="0.35">
      <c r="A887" s="2" t="s">
        <v>923</v>
      </c>
      <c r="B887" s="4">
        <v>76</v>
      </c>
      <c r="C887" t="s">
        <v>11</v>
      </c>
      <c r="D887" t="s">
        <v>26</v>
      </c>
      <c r="E887" t="s">
        <v>53</v>
      </c>
      <c r="F887" t="s">
        <v>14</v>
      </c>
      <c r="G887" s="4">
        <v>10</v>
      </c>
      <c r="H887" s="1">
        <v>47816</v>
      </c>
      <c r="I887" s="3" t="s">
        <v>15</v>
      </c>
      <c r="J887" s="4">
        <v>3</v>
      </c>
    </row>
    <row r="888" spans="1:10" x14ac:dyDescent="0.35">
      <c r="A888" s="2" t="s">
        <v>924</v>
      </c>
      <c r="B888" s="4">
        <v>82</v>
      </c>
      <c r="C888" t="s">
        <v>17</v>
      </c>
      <c r="D888" t="s">
        <v>41</v>
      </c>
      <c r="E888" t="s">
        <v>34</v>
      </c>
      <c r="F888" t="s">
        <v>14</v>
      </c>
      <c r="G888" s="4">
        <v>9</v>
      </c>
      <c r="H888" s="1">
        <v>94663</v>
      </c>
      <c r="I888" s="3" t="s">
        <v>21</v>
      </c>
      <c r="J888" s="4">
        <v>2</v>
      </c>
    </row>
    <row r="889" spans="1:10" x14ac:dyDescent="0.35">
      <c r="A889" s="2" t="s">
        <v>925</v>
      </c>
      <c r="B889" s="4">
        <v>49</v>
      </c>
      <c r="C889" t="s">
        <v>17</v>
      </c>
      <c r="D889" t="s">
        <v>49</v>
      </c>
      <c r="E889" t="s">
        <v>24</v>
      </c>
      <c r="F889" t="s">
        <v>14</v>
      </c>
      <c r="G889" s="4">
        <v>13</v>
      </c>
      <c r="H889" s="1">
        <v>56904</v>
      </c>
      <c r="I889" s="3" t="s">
        <v>21</v>
      </c>
      <c r="J889" s="4">
        <v>3</v>
      </c>
    </row>
    <row r="890" spans="1:10" x14ac:dyDescent="0.35">
      <c r="A890" s="2" t="s">
        <v>926</v>
      </c>
      <c r="B890" s="4">
        <v>6</v>
      </c>
      <c r="C890" t="s">
        <v>17</v>
      </c>
      <c r="D890" t="s">
        <v>28</v>
      </c>
      <c r="E890" t="s">
        <v>34</v>
      </c>
      <c r="F890" t="s">
        <v>20</v>
      </c>
      <c r="G890" s="4">
        <v>10</v>
      </c>
      <c r="H890" s="1">
        <v>56097</v>
      </c>
      <c r="I890" s="3" t="s">
        <v>15</v>
      </c>
      <c r="J890" s="4">
        <v>1</v>
      </c>
    </row>
    <row r="891" spans="1:10" x14ac:dyDescent="0.35">
      <c r="A891" s="2" t="s">
        <v>927</v>
      </c>
      <c r="B891" s="4">
        <v>76</v>
      </c>
      <c r="C891" t="s">
        <v>17</v>
      </c>
      <c r="D891" t="s">
        <v>12</v>
      </c>
      <c r="E891" t="s">
        <v>37</v>
      </c>
      <c r="F891" t="s">
        <v>20</v>
      </c>
      <c r="G891" s="4">
        <v>5</v>
      </c>
      <c r="H891" s="1">
        <v>65187</v>
      </c>
      <c r="I891" s="3" t="s">
        <v>21</v>
      </c>
      <c r="J891" s="4">
        <v>1</v>
      </c>
    </row>
    <row r="892" spans="1:10" x14ac:dyDescent="0.35">
      <c r="A892" s="2" t="s">
        <v>928</v>
      </c>
      <c r="B892" s="4">
        <v>69</v>
      </c>
      <c r="C892" t="s">
        <v>17</v>
      </c>
      <c r="D892" t="s">
        <v>23</v>
      </c>
      <c r="E892" t="s">
        <v>29</v>
      </c>
      <c r="F892" t="s">
        <v>20</v>
      </c>
      <c r="G892" s="4">
        <v>14</v>
      </c>
      <c r="H892" s="1">
        <v>90586</v>
      </c>
      <c r="I892" s="3" t="s">
        <v>21</v>
      </c>
      <c r="J892" s="4">
        <v>3</v>
      </c>
    </row>
    <row r="893" spans="1:10" x14ac:dyDescent="0.35">
      <c r="A893" s="2" t="s">
        <v>929</v>
      </c>
      <c r="B893" s="4">
        <v>14</v>
      </c>
      <c r="C893" t="s">
        <v>11</v>
      </c>
      <c r="D893" t="s">
        <v>23</v>
      </c>
      <c r="E893" t="s">
        <v>37</v>
      </c>
      <c r="F893" t="s">
        <v>20</v>
      </c>
      <c r="G893" s="4">
        <v>3</v>
      </c>
      <c r="H893" s="1">
        <v>89184</v>
      </c>
      <c r="I893" s="3" t="s">
        <v>15</v>
      </c>
      <c r="J893" s="4">
        <v>5</v>
      </c>
    </row>
    <row r="894" spans="1:10" x14ac:dyDescent="0.35">
      <c r="A894" s="2" t="s">
        <v>930</v>
      </c>
      <c r="B894" s="4">
        <v>90</v>
      </c>
      <c r="C894" t="s">
        <v>11</v>
      </c>
      <c r="D894" t="s">
        <v>28</v>
      </c>
      <c r="E894" t="s">
        <v>24</v>
      </c>
      <c r="F894" t="s">
        <v>30</v>
      </c>
      <c r="G894" s="4">
        <v>8</v>
      </c>
      <c r="H894" s="1">
        <v>36257</v>
      </c>
      <c r="I894" s="3" t="s">
        <v>21</v>
      </c>
      <c r="J894" s="4">
        <v>4</v>
      </c>
    </row>
    <row r="895" spans="1:10" x14ac:dyDescent="0.35">
      <c r="A895" s="2" t="s">
        <v>931</v>
      </c>
      <c r="B895" s="4">
        <v>47</v>
      </c>
      <c r="C895" t="s">
        <v>17</v>
      </c>
      <c r="D895" t="s">
        <v>18</v>
      </c>
      <c r="E895" t="s">
        <v>27</v>
      </c>
      <c r="F895" t="s">
        <v>14</v>
      </c>
      <c r="G895" s="4">
        <v>3</v>
      </c>
      <c r="H895" s="1">
        <v>68984</v>
      </c>
      <c r="I895" s="3" t="s">
        <v>21</v>
      </c>
      <c r="J895" s="4">
        <v>4</v>
      </c>
    </row>
    <row r="896" spans="1:10" x14ac:dyDescent="0.35">
      <c r="A896" s="2" t="s">
        <v>932</v>
      </c>
      <c r="B896" s="4">
        <v>51</v>
      </c>
      <c r="C896" t="s">
        <v>11</v>
      </c>
      <c r="D896" t="s">
        <v>33</v>
      </c>
      <c r="E896" t="s">
        <v>27</v>
      </c>
      <c r="F896" t="s">
        <v>30</v>
      </c>
      <c r="G896" s="4">
        <v>3</v>
      </c>
      <c r="H896" s="1">
        <v>56494</v>
      </c>
      <c r="I896" s="3" t="s">
        <v>15</v>
      </c>
      <c r="J896" s="4">
        <v>4</v>
      </c>
    </row>
    <row r="897" spans="1:10" x14ac:dyDescent="0.35">
      <c r="A897" s="2" t="s">
        <v>933</v>
      </c>
      <c r="B897" s="4">
        <v>6</v>
      </c>
      <c r="C897" t="s">
        <v>17</v>
      </c>
      <c r="D897" t="s">
        <v>18</v>
      </c>
      <c r="E897" t="s">
        <v>19</v>
      </c>
      <c r="F897" t="s">
        <v>20</v>
      </c>
      <c r="G897" s="4">
        <v>4</v>
      </c>
      <c r="H897" s="1">
        <v>68385</v>
      </c>
      <c r="I897" s="3" t="s">
        <v>21</v>
      </c>
      <c r="J897" s="4">
        <v>3</v>
      </c>
    </row>
    <row r="898" spans="1:10" x14ac:dyDescent="0.35">
      <c r="A898" s="2" t="s">
        <v>934</v>
      </c>
      <c r="B898" s="4">
        <v>13</v>
      </c>
      <c r="C898" t="s">
        <v>17</v>
      </c>
      <c r="D898" t="s">
        <v>49</v>
      </c>
      <c r="E898" t="s">
        <v>65</v>
      </c>
      <c r="F898" t="s">
        <v>14</v>
      </c>
      <c r="G898" s="4">
        <v>15</v>
      </c>
      <c r="H898" s="1">
        <v>80047</v>
      </c>
      <c r="I898" s="3" t="s">
        <v>21</v>
      </c>
      <c r="J898" s="4">
        <v>5</v>
      </c>
    </row>
    <row r="899" spans="1:10" x14ac:dyDescent="0.35">
      <c r="A899" s="2" t="s">
        <v>935</v>
      </c>
      <c r="B899" s="4">
        <v>86</v>
      </c>
      <c r="C899" t="s">
        <v>17</v>
      </c>
      <c r="D899" t="s">
        <v>36</v>
      </c>
      <c r="E899" t="s">
        <v>42</v>
      </c>
      <c r="F899" t="s">
        <v>30</v>
      </c>
      <c r="G899" s="4">
        <v>9</v>
      </c>
      <c r="H899" s="1">
        <v>41046</v>
      </c>
      <c r="I899" s="3" t="s">
        <v>21</v>
      </c>
      <c r="J899" s="4">
        <v>3</v>
      </c>
    </row>
    <row r="900" spans="1:10" x14ac:dyDescent="0.35">
      <c r="A900" s="2" t="s">
        <v>936</v>
      </c>
      <c r="B900" s="4">
        <v>65</v>
      </c>
      <c r="C900" t="s">
        <v>17</v>
      </c>
      <c r="D900" t="s">
        <v>49</v>
      </c>
      <c r="E900" t="s">
        <v>13</v>
      </c>
      <c r="F900" t="s">
        <v>30</v>
      </c>
      <c r="G900" s="4">
        <v>7</v>
      </c>
      <c r="H900" s="1">
        <v>77502</v>
      </c>
      <c r="I900" s="3" t="s">
        <v>21</v>
      </c>
      <c r="J900" s="4">
        <v>3</v>
      </c>
    </row>
    <row r="901" spans="1:10" x14ac:dyDescent="0.35">
      <c r="A901" s="2" t="s">
        <v>937</v>
      </c>
      <c r="B901" s="4">
        <v>31</v>
      </c>
      <c r="C901" t="s">
        <v>17</v>
      </c>
      <c r="D901" t="s">
        <v>28</v>
      </c>
      <c r="E901" t="s">
        <v>34</v>
      </c>
      <c r="F901" t="s">
        <v>20</v>
      </c>
      <c r="G901" s="4">
        <v>5</v>
      </c>
      <c r="H901" s="1">
        <v>72496</v>
      </c>
      <c r="I901" s="3" t="s">
        <v>21</v>
      </c>
      <c r="J901" s="4">
        <v>2</v>
      </c>
    </row>
    <row r="902" spans="1:10" x14ac:dyDescent="0.35">
      <c r="A902" s="2" t="s">
        <v>938</v>
      </c>
      <c r="B902" s="4">
        <v>44</v>
      </c>
      <c r="C902" t="s">
        <v>17</v>
      </c>
      <c r="D902" t="s">
        <v>49</v>
      </c>
      <c r="E902" t="s">
        <v>34</v>
      </c>
      <c r="F902" t="s">
        <v>20</v>
      </c>
      <c r="G902" s="4">
        <v>1</v>
      </c>
      <c r="H902" s="1">
        <v>5791</v>
      </c>
      <c r="I902" s="3" t="s">
        <v>15</v>
      </c>
      <c r="J902" s="4">
        <v>2</v>
      </c>
    </row>
    <row r="903" spans="1:10" x14ac:dyDescent="0.35">
      <c r="A903" s="2" t="s">
        <v>939</v>
      </c>
      <c r="B903" s="4">
        <v>53</v>
      </c>
      <c r="C903" t="s">
        <v>11</v>
      </c>
      <c r="D903" t="s">
        <v>41</v>
      </c>
      <c r="E903" t="s">
        <v>27</v>
      </c>
      <c r="F903" t="s">
        <v>20</v>
      </c>
      <c r="G903" s="4">
        <v>12</v>
      </c>
      <c r="H903" s="1">
        <v>17343</v>
      </c>
      <c r="I903" s="3" t="s">
        <v>15</v>
      </c>
      <c r="J903" s="4">
        <v>3</v>
      </c>
    </row>
    <row r="904" spans="1:10" x14ac:dyDescent="0.35">
      <c r="A904" s="2" t="s">
        <v>940</v>
      </c>
      <c r="B904" s="4">
        <v>11</v>
      </c>
      <c r="C904" t="s">
        <v>11</v>
      </c>
      <c r="D904" t="s">
        <v>33</v>
      </c>
      <c r="E904" t="s">
        <v>65</v>
      </c>
      <c r="F904" t="s">
        <v>14</v>
      </c>
      <c r="G904" s="4">
        <v>14</v>
      </c>
      <c r="H904" s="1">
        <v>48383</v>
      </c>
      <c r="I904" s="3" t="s">
        <v>21</v>
      </c>
      <c r="J904" s="4">
        <v>2</v>
      </c>
    </row>
    <row r="905" spans="1:10" x14ac:dyDescent="0.35">
      <c r="A905" s="2" t="s">
        <v>941</v>
      </c>
      <c r="B905" s="4">
        <v>46</v>
      </c>
      <c r="C905" t="s">
        <v>11</v>
      </c>
      <c r="D905" t="s">
        <v>28</v>
      </c>
      <c r="E905" t="s">
        <v>53</v>
      </c>
      <c r="F905" t="s">
        <v>30</v>
      </c>
      <c r="G905" s="4">
        <v>10</v>
      </c>
      <c r="H905" s="1">
        <v>97818</v>
      </c>
      <c r="I905" s="3" t="s">
        <v>15</v>
      </c>
      <c r="J905" s="4">
        <v>2</v>
      </c>
    </row>
    <row r="906" spans="1:10" x14ac:dyDescent="0.35">
      <c r="A906" s="2" t="s">
        <v>942</v>
      </c>
      <c r="B906" s="4">
        <v>25</v>
      </c>
      <c r="C906" t="s">
        <v>17</v>
      </c>
      <c r="D906" t="s">
        <v>41</v>
      </c>
      <c r="E906" t="s">
        <v>24</v>
      </c>
      <c r="F906" t="s">
        <v>20</v>
      </c>
      <c r="G906" s="4">
        <v>1</v>
      </c>
      <c r="H906" s="1">
        <v>74457</v>
      </c>
      <c r="I906" s="3" t="s">
        <v>21</v>
      </c>
      <c r="J906" s="4">
        <v>3</v>
      </c>
    </row>
    <row r="907" spans="1:10" x14ac:dyDescent="0.35">
      <c r="A907" s="2" t="s">
        <v>943</v>
      </c>
      <c r="B907" s="4">
        <v>33</v>
      </c>
      <c r="C907" t="s">
        <v>11</v>
      </c>
      <c r="D907" t="s">
        <v>41</v>
      </c>
      <c r="E907" t="s">
        <v>34</v>
      </c>
      <c r="F907" t="s">
        <v>30</v>
      </c>
      <c r="G907" s="4">
        <v>11</v>
      </c>
      <c r="H907" s="1">
        <v>35636</v>
      </c>
      <c r="I907" s="3" t="s">
        <v>15</v>
      </c>
      <c r="J907" s="4">
        <v>3</v>
      </c>
    </row>
    <row r="908" spans="1:10" x14ac:dyDescent="0.35">
      <c r="A908" s="2" t="s">
        <v>944</v>
      </c>
      <c r="B908" s="4">
        <v>57</v>
      </c>
      <c r="C908" t="s">
        <v>11</v>
      </c>
      <c r="D908" t="s">
        <v>33</v>
      </c>
      <c r="E908" t="s">
        <v>13</v>
      </c>
      <c r="F908" t="s">
        <v>14</v>
      </c>
      <c r="G908" s="4">
        <v>9</v>
      </c>
      <c r="H908" s="1">
        <v>12238</v>
      </c>
      <c r="I908" s="3" t="s">
        <v>21</v>
      </c>
      <c r="J908" s="4">
        <v>2</v>
      </c>
    </row>
    <row r="909" spans="1:10" x14ac:dyDescent="0.35">
      <c r="A909" s="2" t="s">
        <v>945</v>
      </c>
      <c r="B909" s="4">
        <v>25</v>
      </c>
      <c r="C909" t="s">
        <v>17</v>
      </c>
      <c r="D909" t="s">
        <v>49</v>
      </c>
      <c r="E909" t="s">
        <v>65</v>
      </c>
      <c r="F909" t="s">
        <v>14</v>
      </c>
      <c r="G909" s="4">
        <v>12</v>
      </c>
      <c r="H909" s="1">
        <v>50244</v>
      </c>
      <c r="I909" s="3" t="s">
        <v>21</v>
      </c>
      <c r="J909" s="4">
        <v>5</v>
      </c>
    </row>
    <row r="910" spans="1:10" x14ac:dyDescent="0.35">
      <c r="A910" s="2" t="s">
        <v>946</v>
      </c>
      <c r="B910" s="4">
        <v>69</v>
      </c>
      <c r="C910" t="s">
        <v>17</v>
      </c>
      <c r="D910" t="s">
        <v>28</v>
      </c>
      <c r="E910" t="s">
        <v>19</v>
      </c>
      <c r="F910" t="s">
        <v>30</v>
      </c>
      <c r="G910" s="4">
        <v>10</v>
      </c>
      <c r="H910" s="1">
        <v>37795</v>
      </c>
      <c r="I910" s="3" t="s">
        <v>15</v>
      </c>
      <c r="J910" s="4">
        <v>4</v>
      </c>
    </row>
    <row r="911" spans="1:10" x14ac:dyDescent="0.35">
      <c r="A911" s="2" t="s">
        <v>947</v>
      </c>
      <c r="B911" s="4">
        <v>16</v>
      </c>
      <c r="C911" t="s">
        <v>11</v>
      </c>
      <c r="D911" t="s">
        <v>28</v>
      </c>
      <c r="E911" t="s">
        <v>34</v>
      </c>
      <c r="F911" t="s">
        <v>14</v>
      </c>
      <c r="G911" s="4">
        <v>9</v>
      </c>
      <c r="H911" s="1">
        <v>97505</v>
      </c>
      <c r="I911" s="3" t="s">
        <v>21</v>
      </c>
      <c r="J911" s="4">
        <v>4</v>
      </c>
    </row>
    <row r="912" spans="1:10" x14ac:dyDescent="0.35">
      <c r="A912" s="2" t="s">
        <v>948</v>
      </c>
      <c r="B912" s="4">
        <v>87</v>
      </c>
      <c r="C912" t="s">
        <v>17</v>
      </c>
      <c r="D912" t="s">
        <v>36</v>
      </c>
      <c r="E912" t="s">
        <v>27</v>
      </c>
      <c r="F912" t="s">
        <v>30</v>
      </c>
      <c r="G912" s="4">
        <v>11</v>
      </c>
      <c r="H912" s="1">
        <v>74355</v>
      </c>
      <c r="I912" s="3" t="s">
        <v>15</v>
      </c>
      <c r="J912" s="4">
        <v>4</v>
      </c>
    </row>
    <row r="913" spans="1:10" x14ac:dyDescent="0.35">
      <c r="A913" s="2" t="s">
        <v>949</v>
      </c>
      <c r="B913" s="4">
        <v>3</v>
      </c>
      <c r="C913" t="s">
        <v>11</v>
      </c>
      <c r="D913" t="s">
        <v>18</v>
      </c>
      <c r="E913" t="s">
        <v>42</v>
      </c>
      <c r="F913" t="s">
        <v>14</v>
      </c>
      <c r="G913" s="4">
        <v>1</v>
      </c>
      <c r="H913" s="1">
        <v>83799</v>
      </c>
      <c r="I913" s="3" t="s">
        <v>15</v>
      </c>
      <c r="J913" s="4">
        <v>1</v>
      </c>
    </row>
    <row r="914" spans="1:10" x14ac:dyDescent="0.35">
      <c r="A914" s="2" t="s">
        <v>950</v>
      </c>
      <c r="B914" s="4">
        <v>21</v>
      </c>
      <c r="C914" t="s">
        <v>11</v>
      </c>
      <c r="D914" t="s">
        <v>49</v>
      </c>
      <c r="E914" t="s">
        <v>13</v>
      </c>
      <c r="F914" t="s">
        <v>20</v>
      </c>
      <c r="G914" s="4">
        <v>2</v>
      </c>
      <c r="H914" s="1">
        <v>36722</v>
      </c>
      <c r="I914" s="3" t="s">
        <v>15</v>
      </c>
      <c r="J914" s="4">
        <v>5</v>
      </c>
    </row>
    <row r="915" spans="1:10" x14ac:dyDescent="0.35">
      <c r="A915" s="2" t="s">
        <v>951</v>
      </c>
      <c r="B915" s="4">
        <v>5</v>
      </c>
      <c r="C915" t="s">
        <v>17</v>
      </c>
      <c r="D915" t="s">
        <v>18</v>
      </c>
      <c r="E915" t="s">
        <v>42</v>
      </c>
      <c r="F915" t="s">
        <v>20</v>
      </c>
      <c r="G915" s="4">
        <v>4</v>
      </c>
      <c r="H915" s="1">
        <v>39423</v>
      </c>
      <c r="I915" s="3" t="s">
        <v>21</v>
      </c>
      <c r="J915" s="4">
        <v>2</v>
      </c>
    </row>
    <row r="916" spans="1:10" x14ac:dyDescent="0.35">
      <c r="A916" s="2" t="s">
        <v>952</v>
      </c>
      <c r="B916" s="4">
        <v>3</v>
      </c>
      <c r="C916" t="s">
        <v>17</v>
      </c>
      <c r="D916" t="s">
        <v>28</v>
      </c>
      <c r="E916" t="s">
        <v>19</v>
      </c>
      <c r="F916" t="s">
        <v>30</v>
      </c>
      <c r="G916" s="4">
        <v>2</v>
      </c>
      <c r="H916" s="1">
        <v>5388</v>
      </c>
      <c r="I916" s="3" t="s">
        <v>15</v>
      </c>
      <c r="J916" s="4">
        <v>2</v>
      </c>
    </row>
    <row r="917" spans="1:10" x14ac:dyDescent="0.35">
      <c r="A917" s="2" t="s">
        <v>953</v>
      </c>
      <c r="B917" s="4">
        <v>88</v>
      </c>
      <c r="C917" t="s">
        <v>11</v>
      </c>
      <c r="D917" t="s">
        <v>23</v>
      </c>
      <c r="E917" t="s">
        <v>29</v>
      </c>
      <c r="F917" t="s">
        <v>20</v>
      </c>
      <c r="G917" s="4">
        <v>5</v>
      </c>
      <c r="H917" s="1">
        <v>40072</v>
      </c>
      <c r="I917" s="3" t="s">
        <v>15</v>
      </c>
      <c r="J917" s="4">
        <v>1</v>
      </c>
    </row>
    <row r="918" spans="1:10" x14ac:dyDescent="0.35">
      <c r="A918" s="2" t="s">
        <v>954</v>
      </c>
      <c r="B918" s="4">
        <v>17</v>
      </c>
      <c r="C918" t="s">
        <v>11</v>
      </c>
      <c r="D918" t="s">
        <v>23</v>
      </c>
      <c r="E918" t="s">
        <v>37</v>
      </c>
      <c r="F918" t="s">
        <v>14</v>
      </c>
      <c r="G918" s="4">
        <v>10</v>
      </c>
      <c r="H918" s="1">
        <v>78482</v>
      </c>
      <c r="I918" s="3" t="s">
        <v>15</v>
      </c>
      <c r="J918" s="4">
        <v>3</v>
      </c>
    </row>
    <row r="919" spans="1:10" x14ac:dyDescent="0.35">
      <c r="A919" s="2" t="s">
        <v>955</v>
      </c>
      <c r="B919" s="4">
        <v>68</v>
      </c>
      <c r="C919" t="s">
        <v>17</v>
      </c>
      <c r="D919" t="s">
        <v>39</v>
      </c>
      <c r="E919" t="s">
        <v>29</v>
      </c>
      <c r="F919" t="s">
        <v>20</v>
      </c>
      <c r="G919" s="4">
        <v>15</v>
      </c>
      <c r="H919" s="1">
        <v>66480</v>
      </c>
      <c r="I919" s="3" t="s">
        <v>15</v>
      </c>
      <c r="J919" s="4">
        <v>5</v>
      </c>
    </row>
    <row r="920" spans="1:10" x14ac:dyDescent="0.35">
      <c r="A920" s="2" t="s">
        <v>956</v>
      </c>
      <c r="B920" s="4">
        <v>89</v>
      </c>
      <c r="C920" t="s">
        <v>17</v>
      </c>
      <c r="D920" t="s">
        <v>39</v>
      </c>
      <c r="E920" t="s">
        <v>37</v>
      </c>
      <c r="F920" t="s">
        <v>14</v>
      </c>
      <c r="G920" s="4">
        <v>6</v>
      </c>
      <c r="H920" s="1">
        <v>35130</v>
      </c>
      <c r="I920" s="3" t="s">
        <v>15</v>
      </c>
      <c r="J920" s="4">
        <v>1</v>
      </c>
    </row>
    <row r="921" spans="1:10" x14ac:dyDescent="0.35">
      <c r="A921" s="2" t="s">
        <v>957</v>
      </c>
      <c r="B921" s="4">
        <v>21</v>
      </c>
      <c r="C921" t="s">
        <v>11</v>
      </c>
      <c r="D921" t="s">
        <v>49</v>
      </c>
      <c r="E921" t="s">
        <v>24</v>
      </c>
      <c r="F921" t="s">
        <v>30</v>
      </c>
      <c r="G921" s="4">
        <v>2</v>
      </c>
      <c r="H921" s="1">
        <v>55314</v>
      </c>
      <c r="I921" s="3" t="s">
        <v>15</v>
      </c>
      <c r="J921" s="4">
        <v>5</v>
      </c>
    </row>
    <row r="922" spans="1:10" x14ac:dyDescent="0.35">
      <c r="A922" s="2" t="s">
        <v>958</v>
      </c>
      <c r="B922" s="4">
        <v>75</v>
      </c>
      <c r="C922" t="s">
        <v>17</v>
      </c>
      <c r="D922" t="s">
        <v>12</v>
      </c>
      <c r="E922" t="s">
        <v>27</v>
      </c>
      <c r="F922" t="s">
        <v>30</v>
      </c>
      <c r="G922" s="4">
        <v>10</v>
      </c>
      <c r="H922" s="1">
        <v>49431</v>
      </c>
      <c r="I922" s="3" t="s">
        <v>21</v>
      </c>
      <c r="J922" s="4">
        <v>4</v>
      </c>
    </row>
    <row r="923" spans="1:10" x14ac:dyDescent="0.35">
      <c r="A923" s="2" t="s">
        <v>959</v>
      </c>
      <c r="B923" s="4">
        <v>65</v>
      </c>
      <c r="C923" t="s">
        <v>11</v>
      </c>
      <c r="D923" t="s">
        <v>18</v>
      </c>
      <c r="E923" t="s">
        <v>53</v>
      </c>
      <c r="F923" t="s">
        <v>14</v>
      </c>
      <c r="G923" s="4">
        <v>14</v>
      </c>
      <c r="H923" s="1">
        <v>73002</v>
      </c>
      <c r="I923" s="3" t="s">
        <v>21</v>
      </c>
      <c r="J923" s="4">
        <v>4</v>
      </c>
    </row>
    <row r="924" spans="1:10" x14ac:dyDescent="0.35">
      <c r="A924" s="2" t="s">
        <v>960</v>
      </c>
      <c r="B924" s="4">
        <v>62</v>
      </c>
      <c r="C924" t="s">
        <v>11</v>
      </c>
      <c r="D924" t="s">
        <v>12</v>
      </c>
      <c r="E924" t="s">
        <v>13</v>
      </c>
      <c r="F924" t="s">
        <v>14</v>
      </c>
      <c r="G924" s="4">
        <v>11</v>
      </c>
      <c r="H924" s="1">
        <v>80458</v>
      </c>
      <c r="I924" s="3" t="s">
        <v>21</v>
      </c>
      <c r="J924" s="4">
        <v>2</v>
      </c>
    </row>
    <row r="925" spans="1:10" x14ac:dyDescent="0.35">
      <c r="A925" s="2" t="s">
        <v>961</v>
      </c>
      <c r="B925" s="4">
        <v>57</v>
      </c>
      <c r="C925" t="s">
        <v>17</v>
      </c>
      <c r="D925" t="s">
        <v>12</v>
      </c>
      <c r="E925" t="s">
        <v>19</v>
      </c>
      <c r="F925" t="s">
        <v>30</v>
      </c>
      <c r="G925" s="4">
        <v>1</v>
      </c>
      <c r="H925" s="1">
        <v>11969</v>
      </c>
      <c r="I925" s="3" t="s">
        <v>21</v>
      </c>
      <c r="J925" s="4">
        <v>4</v>
      </c>
    </row>
    <row r="926" spans="1:10" x14ac:dyDescent="0.35">
      <c r="A926" s="2" t="s">
        <v>962</v>
      </c>
      <c r="B926" s="4">
        <v>75</v>
      </c>
      <c r="C926" t="s">
        <v>11</v>
      </c>
      <c r="D926" t="s">
        <v>41</v>
      </c>
      <c r="E926" t="s">
        <v>27</v>
      </c>
      <c r="F926" t="s">
        <v>14</v>
      </c>
      <c r="G926" s="4">
        <v>10</v>
      </c>
      <c r="H926" s="1">
        <v>53653</v>
      </c>
      <c r="I926" s="3" t="s">
        <v>21</v>
      </c>
      <c r="J926" s="4">
        <v>5</v>
      </c>
    </row>
    <row r="927" spans="1:10" x14ac:dyDescent="0.35">
      <c r="A927" s="2" t="s">
        <v>963</v>
      </c>
      <c r="B927" s="4">
        <v>6</v>
      </c>
      <c r="C927" t="s">
        <v>17</v>
      </c>
      <c r="D927" t="s">
        <v>26</v>
      </c>
      <c r="E927" t="s">
        <v>19</v>
      </c>
      <c r="F927" t="s">
        <v>14</v>
      </c>
      <c r="G927" s="4">
        <v>13</v>
      </c>
      <c r="H927" s="1">
        <v>5744</v>
      </c>
      <c r="I927" s="3" t="s">
        <v>15</v>
      </c>
      <c r="J927" s="4">
        <v>4</v>
      </c>
    </row>
    <row r="928" spans="1:10" x14ac:dyDescent="0.35">
      <c r="A928" s="2" t="s">
        <v>964</v>
      </c>
      <c r="B928" s="4">
        <v>41</v>
      </c>
      <c r="C928" t="s">
        <v>17</v>
      </c>
      <c r="D928" t="s">
        <v>12</v>
      </c>
      <c r="E928" t="s">
        <v>27</v>
      </c>
      <c r="F928" t="s">
        <v>14</v>
      </c>
      <c r="G928" s="4">
        <v>14</v>
      </c>
      <c r="H928" s="1">
        <v>41049</v>
      </c>
      <c r="I928" s="3" t="s">
        <v>21</v>
      </c>
      <c r="J928" s="4">
        <v>1</v>
      </c>
    </row>
    <row r="929" spans="1:10" x14ac:dyDescent="0.35">
      <c r="A929" s="2" t="s">
        <v>965</v>
      </c>
      <c r="B929" s="4">
        <v>68</v>
      </c>
      <c r="C929" t="s">
        <v>17</v>
      </c>
      <c r="D929" t="s">
        <v>41</v>
      </c>
      <c r="E929" t="s">
        <v>65</v>
      </c>
      <c r="F929" t="s">
        <v>20</v>
      </c>
      <c r="G929" s="4">
        <v>8</v>
      </c>
      <c r="H929" s="1">
        <v>39910</v>
      </c>
      <c r="I929" s="3" t="s">
        <v>21</v>
      </c>
      <c r="J929" s="4">
        <v>3</v>
      </c>
    </row>
    <row r="930" spans="1:10" x14ac:dyDescent="0.35">
      <c r="A930" s="2" t="s">
        <v>966</v>
      </c>
      <c r="B930" s="4">
        <v>17</v>
      </c>
      <c r="C930" t="s">
        <v>17</v>
      </c>
      <c r="D930" t="s">
        <v>33</v>
      </c>
      <c r="E930" t="s">
        <v>37</v>
      </c>
      <c r="F930" t="s">
        <v>30</v>
      </c>
      <c r="G930" s="4">
        <v>8</v>
      </c>
      <c r="H930" s="1">
        <v>8217</v>
      </c>
      <c r="I930" s="3" t="s">
        <v>21</v>
      </c>
      <c r="J930" s="4">
        <v>4</v>
      </c>
    </row>
    <row r="931" spans="1:10" x14ac:dyDescent="0.35">
      <c r="A931" s="2" t="s">
        <v>967</v>
      </c>
      <c r="B931" s="4">
        <v>58</v>
      </c>
      <c r="C931" t="s">
        <v>17</v>
      </c>
      <c r="D931" t="s">
        <v>39</v>
      </c>
      <c r="E931" t="s">
        <v>42</v>
      </c>
      <c r="F931" t="s">
        <v>20</v>
      </c>
      <c r="G931" s="4">
        <v>9</v>
      </c>
      <c r="H931" s="1">
        <v>80780</v>
      </c>
      <c r="I931" s="3" t="s">
        <v>15</v>
      </c>
      <c r="J931" s="4">
        <v>4</v>
      </c>
    </row>
    <row r="932" spans="1:10" x14ac:dyDescent="0.35">
      <c r="A932" s="2" t="s">
        <v>968</v>
      </c>
      <c r="B932" s="4">
        <v>45</v>
      </c>
      <c r="C932" t="s">
        <v>17</v>
      </c>
      <c r="D932" t="s">
        <v>33</v>
      </c>
      <c r="E932" t="s">
        <v>65</v>
      </c>
      <c r="F932" t="s">
        <v>14</v>
      </c>
      <c r="G932" s="4">
        <v>4</v>
      </c>
      <c r="H932" s="1">
        <v>14069</v>
      </c>
      <c r="I932" s="3" t="s">
        <v>21</v>
      </c>
      <c r="J932" s="4">
        <v>3</v>
      </c>
    </row>
    <row r="933" spans="1:10" x14ac:dyDescent="0.35">
      <c r="A933" s="2" t="s">
        <v>969</v>
      </c>
      <c r="B933" s="4">
        <v>67</v>
      </c>
      <c r="C933" t="s">
        <v>17</v>
      </c>
      <c r="D933" t="s">
        <v>18</v>
      </c>
      <c r="E933" t="s">
        <v>37</v>
      </c>
      <c r="F933" t="s">
        <v>20</v>
      </c>
      <c r="G933" s="4">
        <v>8</v>
      </c>
      <c r="H933" s="1">
        <v>17013</v>
      </c>
      <c r="I933" s="3" t="s">
        <v>21</v>
      </c>
      <c r="J933" s="4">
        <v>2</v>
      </c>
    </row>
    <row r="934" spans="1:10" x14ac:dyDescent="0.35">
      <c r="A934" s="2" t="s">
        <v>970</v>
      </c>
      <c r="B934" s="4">
        <v>47</v>
      </c>
      <c r="C934" t="s">
        <v>11</v>
      </c>
      <c r="D934" t="s">
        <v>41</v>
      </c>
      <c r="E934" t="s">
        <v>65</v>
      </c>
      <c r="F934" t="s">
        <v>20</v>
      </c>
      <c r="G934" s="4">
        <v>9</v>
      </c>
      <c r="H934" s="1">
        <v>20075</v>
      </c>
      <c r="I934" s="3" t="s">
        <v>15</v>
      </c>
      <c r="J934" s="4">
        <v>4</v>
      </c>
    </row>
    <row r="935" spans="1:10" x14ac:dyDescent="0.35">
      <c r="A935" s="2" t="s">
        <v>971</v>
      </c>
      <c r="B935" s="4">
        <v>65</v>
      </c>
      <c r="C935" t="s">
        <v>11</v>
      </c>
      <c r="D935" t="s">
        <v>28</v>
      </c>
      <c r="E935" t="s">
        <v>19</v>
      </c>
      <c r="F935" t="s">
        <v>30</v>
      </c>
      <c r="G935" s="4">
        <v>7</v>
      </c>
      <c r="H935" s="1">
        <v>99042</v>
      </c>
      <c r="I935" s="3" t="s">
        <v>15</v>
      </c>
      <c r="J935" s="4">
        <v>5</v>
      </c>
    </row>
    <row r="936" spans="1:10" x14ac:dyDescent="0.35">
      <c r="A936" s="2" t="s">
        <v>972</v>
      </c>
      <c r="B936" s="4">
        <v>29</v>
      </c>
      <c r="C936" t="s">
        <v>11</v>
      </c>
      <c r="D936" t="s">
        <v>39</v>
      </c>
      <c r="E936" t="s">
        <v>29</v>
      </c>
      <c r="F936" t="s">
        <v>20</v>
      </c>
      <c r="G936" s="4">
        <v>1</v>
      </c>
      <c r="H936" s="1">
        <v>82960</v>
      </c>
      <c r="I936" s="3" t="s">
        <v>21</v>
      </c>
      <c r="J936" s="4">
        <v>5</v>
      </c>
    </row>
    <row r="937" spans="1:10" x14ac:dyDescent="0.35">
      <c r="A937" s="2" t="s">
        <v>973</v>
      </c>
      <c r="B937" s="4">
        <v>50</v>
      </c>
      <c r="C937" t="s">
        <v>17</v>
      </c>
      <c r="D937" t="s">
        <v>41</v>
      </c>
      <c r="E937" t="s">
        <v>65</v>
      </c>
      <c r="F937" t="s">
        <v>20</v>
      </c>
      <c r="G937" s="4">
        <v>3</v>
      </c>
      <c r="H937" s="1">
        <v>41851</v>
      </c>
      <c r="I937" s="3" t="s">
        <v>15</v>
      </c>
      <c r="J937" s="4">
        <v>2</v>
      </c>
    </row>
    <row r="938" spans="1:10" x14ac:dyDescent="0.35">
      <c r="A938" s="2" t="s">
        <v>974</v>
      </c>
      <c r="B938" s="4">
        <v>41</v>
      </c>
      <c r="C938" t="s">
        <v>11</v>
      </c>
      <c r="D938" t="s">
        <v>12</v>
      </c>
      <c r="E938" t="s">
        <v>42</v>
      </c>
      <c r="F938" t="s">
        <v>20</v>
      </c>
      <c r="G938" s="4">
        <v>7</v>
      </c>
      <c r="H938" s="1">
        <v>11942</v>
      </c>
      <c r="I938" s="3" t="s">
        <v>15</v>
      </c>
      <c r="J938" s="4">
        <v>4</v>
      </c>
    </row>
    <row r="939" spans="1:10" x14ac:dyDescent="0.35">
      <c r="A939" s="2" t="s">
        <v>975</v>
      </c>
      <c r="B939" s="4">
        <v>81</v>
      </c>
      <c r="C939" t="s">
        <v>17</v>
      </c>
      <c r="D939" t="s">
        <v>18</v>
      </c>
      <c r="E939" t="s">
        <v>13</v>
      </c>
      <c r="F939" t="s">
        <v>14</v>
      </c>
      <c r="G939" s="4">
        <v>8</v>
      </c>
      <c r="H939" s="1">
        <v>43852</v>
      </c>
      <c r="I939" s="3" t="s">
        <v>15</v>
      </c>
      <c r="J939" s="4">
        <v>5</v>
      </c>
    </row>
    <row r="940" spans="1:10" x14ac:dyDescent="0.35">
      <c r="A940" s="2" t="s">
        <v>976</v>
      </c>
      <c r="B940" s="4">
        <v>50</v>
      </c>
      <c r="C940" t="s">
        <v>11</v>
      </c>
      <c r="D940" t="s">
        <v>28</v>
      </c>
      <c r="E940" t="s">
        <v>42</v>
      </c>
      <c r="F940" t="s">
        <v>30</v>
      </c>
      <c r="G940" s="4">
        <v>11</v>
      </c>
      <c r="H940" s="1">
        <v>41903</v>
      </c>
      <c r="I940" s="3" t="s">
        <v>15</v>
      </c>
      <c r="J940" s="4">
        <v>2</v>
      </c>
    </row>
    <row r="941" spans="1:10" x14ac:dyDescent="0.35">
      <c r="A941" s="2" t="s">
        <v>977</v>
      </c>
      <c r="B941" s="4">
        <v>7</v>
      </c>
      <c r="C941" t="s">
        <v>17</v>
      </c>
      <c r="D941" t="s">
        <v>36</v>
      </c>
      <c r="E941" t="s">
        <v>24</v>
      </c>
      <c r="F941" t="s">
        <v>30</v>
      </c>
      <c r="G941" s="4">
        <v>8</v>
      </c>
      <c r="H941" s="1">
        <v>16445</v>
      </c>
      <c r="I941" s="3" t="s">
        <v>15</v>
      </c>
      <c r="J941" s="4">
        <v>4</v>
      </c>
    </row>
    <row r="942" spans="1:10" x14ac:dyDescent="0.35">
      <c r="A942" s="2" t="s">
        <v>978</v>
      </c>
      <c r="B942" s="4">
        <v>8</v>
      </c>
      <c r="C942" t="s">
        <v>17</v>
      </c>
      <c r="D942" t="s">
        <v>41</v>
      </c>
      <c r="E942" t="s">
        <v>53</v>
      </c>
      <c r="F942" t="s">
        <v>30</v>
      </c>
      <c r="G942" s="4">
        <v>13</v>
      </c>
      <c r="H942" s="1">
        <v>88670</v>
      </c>
      <c r="I942" s="3" t="s">
        <v>15</v>
      </c>
      <c r="J942" s="4">
        <v>3</v>
      </c>
    </row>
    <row r="943" spans="1:10" x14ac:dyDescent="0.35">
      <c r="A943" s="2" t="s">
        <v>979</v>
      </c>
      <c r="B943" s="4">
        <v>79</v>
      </c>
      <c r="C943" t="s">
        <v>11</v>
      </c>
      <c r="D943" t="s">
        <v>49</v>
      </c>
      <c r="E943" t="s">
        <v>19</v>
      </c>
      <c r="F943" t="s">
        <v>30</v>
      </c>
      <c r="G943" s="4">
        <v>4</v>
      </c>
      <c r="H943" s="1">
        <v>94483</v>
      </c>
      <c r="I943" s="3" t="s">
        <v>15</v>
      </c>
      <c r="J943" s="4">
        <v>5</v>
      </c>
    </row>
    <row r="944" spans="1:10" x14ac:dyDescent="0.35">
      <c r="A944" s="2" t="s">
        <v>980</v>
      </c>
      <c r="B944" s="4">
        <v>19</v>
      </c>
      <c r="C944" t="s">
        <v>17</v>
      </c>
      <c r="D944" t="s">
        <v>33</v>
      </c>
      <c r="E944" t="s">
        <v>13</v>
      </c>
      <c r="F944" t="s">
        <v>30</v>
      </c>
      <c r="G944" s="4">
        <v>11</v>
      </c>
      <c r="H944" s="1">
        <v>40411</v>
      </c>
      <c r="I944" s="3" t="s">
        <v>15</v>
      </c>
      <c r="J944" s="4">
        <v>2</v>
      </c>
    </row>
    <row r="945" spans="1:10" x14ac:dyDescent="0.35">
      <c r="A945" s="2" t="s">
        <v>981</v>
      </c>
      <c r="B945" s="4">
        <v>88</v>
      </c>
      <c r="C945" t="s">
        <v>11</v>
      </c>
      <c r="D945" t="s">
        <v>26</v>
      </c>
      <c r="E945" t="s">
        <v>27</v>
      </c>
      <c r="F945" t="s">
        <v>14</v>
      </c>
      <c r="G945" s="4">
        <v>2</v>
      </c>
      <c r="H945" s="1">
        <v>57643</v>
      </c>
      <c r="I945" s="3" t="s">
        <v>21</v>
      </c>
      <c r="J945" s="4">
        <v>3</v>
      </c>
    </row>
    <row r="946" spans="1:10" x14ac:dyDescent="0.35">
      <c r="A946" s="2" t="s">
        <v>982</v>
      </c>
      <c r="B946" s="4">
        <v>7</v>
      </c>
      <c r="C946" t="s">
        <v>11</v>
      </c>
      <c r="D946" t="s">
        <v>36</v>
      </c>
      <c r="E946" t="s">
        <v>24</v>
      </c>
      <c r="F946" t="s">
        <v>14</v>
      </c>
      <c r="G946" s="4">
        <v>15</v>
      </c>
      <c r="H946" s="1">
        <v>26410</v>
      </c>
      <c r="I946" s="3" t="s">
        <v>15</v>
      </c>
      <c r="J946" s="4">
        <v>2</v>
      </c>
    </row>
    <row r="947" spans="1:10" x14ac:dyDescent="0.35">
      <c r="A947" s="2" t="s">
        <v>983</v>
      </c>
      <c r="B947" s="4">
        <v>50</v>
      </c>
      <c r="C947" t="s">
        <v>17</v>
      </c>
      <c r="D947" t="s">
        <v>36</v>
      </c>
      <c r="E947" t="s">
        <v>37</v>
      </c>
      <c r="F947" t="s">
        <v>20</v>
      </c>
      <c r="G947" s="4">
        <v>12</v>
      </c>
      <c r="H947" s="1">
        <v>55911</v>
      </c>
      <c r="I947" s="3" t="s">
        <v>21</v>
      </c>
      <c r="J947" s="4">
        <v>5</v>
      </c>
    </row>
    <row r="948" spans="1:10" x14ac:dyDescent="0.35">
      <c r="A948" s="2" t="s">
        <v>984</v>
      </c>
      <c r="B948" s="4">
        <v>31</v>
      </c>
      <c r="C948" t="s">
        <v>17</v>
      </c>
      <c r="D948" t="s">
        <v>39</v>
      </c>
      <c r="E948" t="s">
        <v>13</v>
      </c>
      <c r="F948" t="s">
        <v>30</v>
      </c>
      <c r="G948" s="4">
        <v>9</v>
      </c>
      <c r="H948" s="1">
        <v>81352</v>
      </c>
      <c r="I948" s="3" t="s">
        <v>15</v>
      </c>
      <c r="J948" s="4">
        <v>1</v>
      </c>
    </row>
    <row r="949" spans="1:10" x14ac:dyDescent="0.35">
      <c r="A949" s="2" t="s">
        <v>985</v>
      </c>
      <c r="B949" s="4">
        <v>39</v>
      </c>
      <c r="C949" t="s">
        <v>17</v>
      </c>
      <c r="D949" t="s">
        <v>26</v>
      </c>
      <c r="E949" t="s">
        <v>53</v>
      </c>
      <c r="F949" t="s">
        <v>14</v>
      </c>
      <c r="G949" s="4">
        <v>14</v>
      </c>
      <c r="H949" s="1">
        <v>64212</v>
      </c>
      <c r="I949" s="3" t="s">
        <v>15</v>
      </c>
      <c r="J949" s="4">
        <v>4</v>
      </c>
    </row>
    <row r="950" spans="1:10" x14ac:dyDescent="0.35">
      <c r="A950" s="2" t="s">
        <v>986</v>
      </c>
      <c r="B950" s="4">
        <v>65</v>
      </c>
      <c r="C950" t="s">
        <v>11</v>
      </c>
      <c r="D950" t="s">
        <v>28</v>
      </c>
      <c r="E950" t="s">
        <v>42</v>
      </c>
      <c r="F950" t="s">
        <v>30</v>
      </c>
      <c r="G950" s="4">
        <v>7</v>
      </c>
      <c r="H950" s="1">
        <v>35696</v>
      </c>
      <c r="I950" s="3" t="s">
        <v>21</v>
      </c>
      <c r="J950" s="4">
        <v>4</v>
      </c>
    </row>
    <row r="951" spans="1:10" x14ac:dyDescent="0.35">
      <c r="A951" s="2" t="s">
        <v>987</v>
      </c>
      <c r="B951" s="4">
        <v>90</v>
      </c>
      <c r="C951" t="s">
        <v>11</v>
      </c>
      <c r="D951" t="s">
        <v>39</v>
      </c>
      <c r="E951" t="s">
        <v>24</v>
      </c>
      <c r="F951" t="s">
        <v>30</v>
      </c>
      <c r="G951" s="4">
        <v>3</v>
      </c>
      <c r="H951" s="1">
        <v>91307</v>
      </c>
      <c r="I951" s="3" t="s">
        <v>21</v>
      </c>
      <c r="J951" s="4">
        <v>5</v>
      </c>
    </row>
    <row r="952" spans="1:10" x14ac:dyDescent="0.35">
      <c r="A952" s="2" t="s">
        <v>988</v>
      </c>
      <c r="B952" s="4">
        <v>61</v>
      </c>
      <c r="C952" t="s">
        <v>11</v>
      </c>
      <c r="D952" t="s">
        <v>26</v>
      </c>
      <c r="E952" t="s">
        <v>37</v>
      </c>
      <c r="F952" t="s">
        <v>20</v>
      </c>
      <c r="G952" s="4">
        <v>4</v>
      </c>
      <c r="H952" s="1">
        <v>94799</v>
      </c>
      <c r="I952" s="3" t="s">
        <v>21</v>
      </c>
      <c r="J952" s="4">
        <v>5</v>
      </c>
    </row>
    <row r="953" spans="1:10" x14ac:dyDescent="0.35">
      <c r="A953" s="2" t="s">
        <v>989</v>
      </c>
      <c r="B953" s="4">
        <v>35</v>
      </c>
      <c r="C953" t="s">
        <v>11</v>
      </c>
      <c r="D953" t="s">
        <v>12</v>
      </c>
      <c r="E953" t="s">
        <v>13</v>
      </c>
      <c r="F953" t="s">
        <v>14</v>
      </c>
      <c r="G953" s="4">
        <v>2</v>
      </c>
      <c r="H953" s="1">
        <v>64750</v>
      </c>
      <c r="I953" s="3" t="s">
        <v>21</v>
      </c>
      <c r="J953" s="4">
        <v>1</v>
      </c>
    </row>
    <row r="954" spans="1:10" x14ac:dyDescent="0.35">
      <c r="A954" s="2" t="s">
        <v>990</v>
      </c>
      <c r="B954" s="4">
        <v>12</v>
      </c>
      <c r="C954" t="s">
        <v>11</v>
      </c>
      <c r="D954" t="s">
        <v>49</v>
      </c>
      <c r="E954" t="s">
        <v>65</v>
      </c>
      <c r="F954" t="s">
        <v>30</v>
      </c>
      <c r="G954" s="4">
        <v>4</v>
      </c>
      <c r="H954" s="1">
        <v>26409</v>
      </c>
      <c r="I954" s="3" t="s">
        <v>21</v>
      </c>
      <c r="J954" s="4">
        <v>2</v>
      </c>
    </row>
    <row r="955" spans="1:10" x14ac:dyDescent="0.35">
      <c r="A955" s="2" t="s">
        <v>991</v>
      </c>
      <c r="B955" s="4">
        <v>78</v>
      </c>
      <c r="C955" t="s">
        <v>11</v>
      </c>
      <c r="D955" t="s">
        <v>39</v>
      </c>
      <c r="E955" t="s">
        <v>13</v>
      </c>
      <c r="F955" t="s">
        <v>14</v>
      </c>
      <c r="G955" s="4">
        <v>8</v>
      </c>
      <c r="H955" s="1">
        <v>20075</v>
      </c>
      <c r="I955" s="3" t="s">
        <v>15</v>
      </c>
      <c r="J955" s="4">
        <v>4</v>
      </c>
    </row>
    <row r="956" spans="1:10" x14ac:dyDescent="0.35">
      <c r="A956" s="2" t="s">
        <v>992</v>
      </c>
      <c r="B956" s="4">
        <v>52</v>
      </c>
      <c r="C956" t="s">
        <v>11</v>
      </c>
      <c r="D956" t="s">
        <v>39</v>
      </c>
      <c r="E956" t="s">
        <v>42</v>
      </c>
      <c r="F956" t="s">
        <v>30</v>
      </c>
      <c r="G956" s="4">
        <v>12</v>
      </c>
      <c r="H956" s="1">
        <v>17223</v>
      </c>
      <c r="I956" s="3" t="s">
        <v>21</v>
      </c>
      <c r="J956" s="4">
        <v>5</v>
      </c>
    </row>
    <row r="957" spans="1:10" x14ac:dyDescent="0.35">
      <c r="A957" s="2" t="s">
        <v>993</v>
      </c>
      <c r="B957" s="4">
        <v>77</v>
      </c>
      <c r="C957" t="s">
        <v>11</v>
      </c>
      <c r="D957" t="s">
        <v>23</v>
      </c>
      <c r="E957" t="s">
        <v>53</v>
      </c>
      <c r="F957" t="s">
        <v>20</v>
      </c>
      <c r="G957" s="4">
        <v>3</v>
      </c>
      <c r="H957" s="1">
        <v>9202</v>
      </c>
      <c r="I957" s="3" t="s">
        <v>21</v>
      </c>
      <c r="J957" s="4">
        <v>1</v>
      </c>
    </row>
    <row r="958" spans="1:10" x14ac:dyDescent="0.35">
      <c r="A958" s="2" t="s">
        <v>994</v>
      </c>
      <c r="B958" s="4">
        <v>65</v>
      </c>
      <c r="C958" t="s">
        <v>11</v>
      </c>
      <c r="D958" t="s">
        <v>26</v>
      </c>
      <c r="E958" t="s">
        <v>53</v>
      </c>
      <c r="F958" t="s">
        <v>20</v>
      </c>
      <c r="G958" s="4">
        <v>11</v>
      </c>
      <c r="H958" s="1">
        <v>20210</v>
      </c>
      <c r="I958" s="3" t="s">
        <v>21</v>
      </c>
      <c r="J958" s="4">
        <v>4</v>
      </c>
    </row>
    <row r="959" spans="1:10" x14ac:dyDescent="0.35">
      <c r="A959" s="2" t="s">
        <v>995</v>
      </c>
      <c r="B959" s="4">
        <v>69</v>
      </c>
      <c r="C959" t="s">
        <v>11</v>
      </c>
      <c r="D959" t="s">
        <v>33</v>
      </c>
      <c r="E959" t="s">
        <v>19</v>
      </c>
      <c r="F959" t="s">
        <v>30</v>
      </c>
      <c r="G959" s="4">
        <v>6</v>
      </c>
      <c r="H959" s="1">
        <v>73205</v>
      </c>
      <c r="I959" s="3" t="s">
        <v>21</v>
      </c>
      <c r="J959" s="4">
        <v>5</v>
      </c>
    </row>
    <row r="960" spans="1:10" x14ac:dyDescent="0.35">
      <c r="A960" s="2" t="s">
        <v>996</v>
      </c>
      <c r="B960" s="4">
        <v>74</v>
      </c>
      <c r="C960" t="s">
        <v>17</v>
      </c>
      <c r="D960" t="s">
        <v>12</v>
      </c>
      <c r="E960" t="s">
        <v>34</v>
      </c>
      <c r="F960" t="s">
        <v>20</v>
      </c>
      <c r="G960" s="4">
        <v>2</v>
      </c>
      <c r="H960" s="1">
        <v>73874</v>
      </c>
      <c r="I960" s="3" t="s">
        <v>21</v>
      </c>
      <c r="J960" s="4">
        <v>5</v>
      </c>
    </row>
    <row r="961" spans="1:10" x14ac:dyDescent="0.35">
      <c r="A961" s="2" t="s">
        <v>997</v>
      </c>
      <c r="B961" s="4">
        <v>28</v>
      </c>
      <c r="C961" t="s">
        <v>17</v>
      </c>
      <c r="D961" t="s">
        <v>41</v>
      </c>
      <c r="E961" t="s">
        <v>27</v>
      </c>
      <c r="F961" t="s">
        <v>20</v>
      </c>
      <c r="G961" s="4">
        <v>1</v>
      </c>
      <c r="H961" s="1">
        <v>84853</v>
      </c>
      <c r="I961" s="3" t="s">
        <v>15</v>
      </c>
      <c r="J961" s="4">
        <v>5</v>
      </c>
    </row>
    <row r="962" spans="1:10" x14ac:dyDescent="0.35">
      <c r="A962" s="2" t="s">
        <v>998</v>
      </c>
      <c r="B962" s="4">
        <v>7</v>
      </c>
      <c r="C962" t="s">
        <v>11</v>
      </c>
      <c r="D962" t="s">
        <v>49</v>
      </c>
      <c r="E962" t="s">
        <v>34</v>
      </c>
      <c r="F962" t="s">
        <v>20</v>
      </c>
      <c r="G962" s="4">
        <v>5</v>
      </c>
      <c r="H962" s="1">
        <v>39095</v>
      </c>
      <c r="I962" s="3" t="s">
        <v>15</v>
      </c>
      <c r="J962" s="4">
        <v>1</v>
      </c>
    </row>
    <row r="963" spans="1:10" x14ac:dyDescent="0.35">
      <c r="A963" s="2" t="s">
        <v>999</v>
      </c>
      <c r="B963" s="4">
        <v>25</v>
      </c>
      <c r="C963" t="s">
        <v>11</v>
      </c>
      <c r="D963" t="s">
        <v>49</v>
      </c>
      <c r="E963" t="s">
        <v>53</v>
      </c>
      <c r="F963" t="s">
        <v>30</v>
      </c>
      <c r="G963" s="4">
        <v>5</v>
      </c>
      <c r="H963" s="1">
        <v>14805</v>
      </c>
      <c r="I963" s="3" t="s">
        <v>15</v>
      </c>
      <c r="J963" s="4">
        <v>2</v>
      </c>
    </row>
    <row r="964" spans="1:10" x14ac:dyDescent="0.35">
      <c r="A964" s="2" t="s">
        <v>1000</v>
      </c>
      <c r="B964" s="4">
        <v>85</v>
      </c>
      <c r="C964" t="s">
        <v>17</v>
      </c>
      <c r="D964" t="s">
        <v>18</v>
      </c>
      <c r="E964" t="s">
        <v>65</v>
      </c>
      <c r="F964" t="s">
        <v>20</v>
      </c>
      <c r="G964" s="4">
        <v>8</v>
      </c>
      <c r="H964" s="1">
        <v>76554</v>
      </c>
      <c r="I964" s="3" t="s">
        <v>15</v>
      </c>
      <c r="J964" s="4">
        <v>5</v>
      </c>
    </row>
    <row r="965" spans="1:10" x14ac:dyDescent="0.35">
      <c r="A965" s="2" t="s">
        <v>1001</v>
      </c>
      <c r="B965" s="4">
        <v>48</v>
      </c>
      <c r="C965" t="s">
        <v>11</v>
      </c>
      <c r="D965" t="s">
        <v>41</v>
      </c>
      <c r="E965" t="s">
        <v>24</v>
      </c>
      <c r="F965" t="s">
        <v>14</v>
      </c>
      <c r="G965" s="4">
        <v>14</v>
      </c>
      <c r="H965" s="1">
        <v>84571</v>
      </c>
      <c r="I965" s="3" t="s">
        <v>21</v>
      </c>
      <c r="J965" s="4">
        <v>2</v>
      </c>
    </row>
    <row r="966" spans="1:10" x14ac:dyDescent="0.35">
      <c r="A966" s="2" t="s">
        <v>1002</v>
      </c>
      <c r="B966" s="4">
        <v>20</v>
      </c>
      <c r="C966" t="s">
        <v>11</v>
      </c>
      <c r="D966" t="s">
        <v>33</v>
      </c>
      <c r="E966" t="s">
        <v>29</v>
      </c>
      <c r="F966" t="s">
        <v>14</v>
      </c>
      <c r="G966" s="4">
        <v>3</v>
      </c>
      <c r="H966" s="1">
        <v>60428</v>
      </c>
      <c r="I966" s="3" t="s">
        <v>21</v>
      </c>
      <c r="J966" s="4">
        <v>5</v>
      </c>
    </row>
    <row r="967" spans="1:10" x14ac:dyDescent="0.35">
      <c r="A967" s="2" t="s">
        <v>1003</v>
      </c>
      <c r="B967" s="4">
        <v>50</v>
      </c>
      <c r="C967" t="s">
        <v>11</v>
      </c>
      <c r="D967" t="s">
        <v>41</v>
      </c>
      <c r="E967" t="s">
        <v>37</v>
      </c>
      <c r="F967" t="s">
        <v>30</v>
      </c>
      <c r="G967" s="4">
        <v>4</v>
      </c>
      <c r="H967" s="1">
        <v>12482</v>
      </c>
      <c r="I967" s="3" t="s">
        <v>21</v>
      </c>
      <c r="J967" s="4">
        <v>2</v>
      </c>
    </row>
    <row r="968" spans="1:10" x14ac:dyDescent="0.35">
      <c r="A968" s="2" t="s">
        <v>1004</v>
      </c>
      <c r="B968" s="4">
        <v>66</v>
      </c>
      <c r="C968" t="s">
        <v>17</v>
      </c>
      <c r="D968" t="s">
        <v>26</v>
      </c>
      <c r="E968" t="s">
        <v>19</v>
      </c>
      <c r="F968" t="s">
        <v>14</v>
      </c>
      <c r="G968" s="4">
        <v>3</v>
      </c>
      <c r="H968" s="1">
        <v>10340</v>
      </c>
      <c r="I968" s="3" t="s">
        <v>21</v>
      </c>
      <c r="J968" s="4">
        <v>5</v>
      </c>
    </row>
    <row r="969" spans="1:10" x14ac:dyDescent="0.35">
      <c r="A969" s="2" t="s">
        <v>1005</v>
      </c>
      <c r="B969" s="4">
        <v>23</v>
      </c>
      <c r="C969" t="s">
        <v>17</v>
      </c>
      <c r="D969" t="s">
        <v>12</v>
      </c>
      <c r="E969" t="s">
        <v>29</v>
      </c>
      <c r="F969" t="s">
        <v>14</v>
      </c>
      <c r="G969" s="4">
        <v>5</v>
      </c>
      <c r="H969" s="1">
        <v>93444</v>
      </c>
      <c r="I969" s="3" t="s">
        <v>15</v>
      </c>
      <c r="J969" s="4">
        <v>3</v>
      </c>
    </row>
    <row r="970" spans="1:10" x14ac:dyDescent="0.35">
      <c r="A970" s="2" t="s">
        <v>1006</v>
      </c>
      <c r="B970" s="4">
        <v>88</v>
      </c>
      <c r="C970" t="s">
        <v>17</v>
      </c>
      <c r="D970" t="s">
        <v>26</v>
      </c>
      <c r="E970" t="s">
        <v>29</v>
      </c>
      <c r="F970" t="s">
        <v>30</v>
      </c>
      <c r="G970" s="4">
        <v>14</v>
      </c>
      <c r="H970" s="1">
        <v>71122</v>
      </c>
      <c r="I970" s="3" t="s">
        <v>15</v>
      </c>
      <c r="J970" s="4">
        <v>1</v>
      </c>
    </row>
    <row r="971" spans="1:10" x14ac:dyDescent="0.35">
      <c r="A971" s="2" t="s">
        <v>1007</v>
      </c>
      <c r="B971" s="4">
        <v>78</v>
      </c>
      <c r="C971" t="s">
        <v>11</v>
      </c>
      <c r="D971" t="s">
        <v>28</v>
      </c>
      <c r="E971" t="s">
        <v>27</v>
      </c>
      <c r="F971" t="s">
        <v>30</v>
      </c>
      <c r="G971" s="4">
        <v>10</v>
      </c>
      <c r="H971" s="1">
        <v>86769</v>
      </c>
      <c r="I971" s="3" t="s">
        <v>21</v>
      </c>
      <c r="J971" s="4">
        <v>1</v>
      </c>
    </row>
    <row r="972" spans="1:10" x14ac:dyDescent="0.35">
      <c r="A972" s="2" t="s">
        <v>1008</v>
      </c>
      <c r="B972" s="4">
        <v>80</v>
      </c>
      <c r="C972" t="s">
        <v>17</v>
      </c>
      <c r="D972" t="s">
        <v>18</v>
      </c>
      <c r="E972" t="s">
        <v>13</v>
      </c>
      <c r="F972" t="s">
        <v>20</v>
      </c>
      <c r="G972" s="4">
        <v>14</v>
      </c>
      <c r="H972" s="1">
        <v>40347</v>
      </c>
      <c r="I972" s="3" t="s">
        <v>15</v>
      </c>
      <c r="J972" s="4">
        <v>4</v>
      </c>
    </row>
    <row r="973" spans="1:10" x14ac:dyDescent="0.35">
      <c r="A973" s="2" t="s">
        <v>1009</v>
      </c>
      <c r="B973" s="4">
        <v>68</v>
      </c>
      <c r="C973" t="s">
        <v>17</v>
      </c>
      <c r="D973" t="s">
        <v>39</v>
      </c>
      <c r="E973" t="s">
        <v>24</v>
      </c>
      <c r="F973" t="s">
        <v>20</v>
      </c>
      <c r="G973" s="4">
        <v>15</v>
      </c>
      <c r="H973" s="1">
        <v>44975</v>
      </c>
      <c r="I973" s="3" t="s">
        <v>21</v>
      </c>
      <c r="J973" s="4">
        <v>2</v>
      </c>
    </row>
    <row r="974" spans="1:10" x14ac:dyDescent="0.35">
      <c r="A974" s="2" t="s">
        <v>1010</v>
      </c>
      <c r="B974" s="4">
        <v>18</v>
      </c>
      <c r="C974" t="s">
        <v>11</v>
      </c>
      <c r="D974" t="s">
        <v>12</v>
      </c>
      <c r="E974" t="s">
        <v>27</v>
      </c>
      <c r="F974" t="s">
        <v>20</v>
      </c>
      <c r="G974" s="4">
        <v>10</v>
      </c>
      <c r="H974" s="1">
        <v>27906</v>
      </c>
      <c r="I974" s="3" t="s">
        <v>21</v>
      </c>
      <c r="J974" s="4">
        <v>4</v>
      </c>
    </row>
    <row r="975" spans="1:10" x14ac:dyDescent="0.35">
      <c r="A975" s="2" t="s">
        <v>1011</v>
      </c>
      <c r="B975" s="4">
        <v>7</v>
      </c>
      <c r="C975" t="s">
        <v>17</v>
      </c>
      <c r="D975" t="s">
        <v>23</v>
      </c>
      <c r="E975" t="s">
        <v>29</v>
      </c>
      <c r="F975" t="s">
        <v>14</v>
      </c>
      <c r="G975" s="4">
        <v>11</v>
      </c>
      <c r="H975" s="1">
        <v>58744</v>
      </c>
      <c r="I975" s="3" t="s">
        <v>21</v>
      </c>
      <c r="J975" s="4">
        <v>2</v>
      </c>
    </row>
    <row r="976" spans="1:10" x14ac:dyDescent="0.35">
      <c r="A976" s="2" t="s">
        <v>1012</v>
      </c>
      <c r="B976" s="4">
        <v>35</v>
      </c>
      <c r="C976" t="s">
        <v>17</v>
      </c>
      <c r="D976" t="s">
        <v>23</v>
      </c>
      <c r="E976" t="s">
        <v>29</v>
      </c>
      <c r="F976" t="s">
        <v>30</v>
      </c>
      <c r="G976" s="4">
        <v>2</v>
      </c>
      <c r="H976" s="1">
        <v>9997</v>
      </c>
      <c r="I976" s="3" t="s">
        <v>21</v>
      </c>
      <c r="J976" s="4">
        <v>5</v>
      </c>
    </row>
    <row r="977" spans="1:10" x14ac:dyDescent="0.35">
      <c r="A977" s="2" t="s">
        <v>1013</v>
      </c>
      <c r="B977" s="4">
        <v>9</v>
      </c>
      <c r="C977" t="s">
        <v>11</v>
      </c>
      <c r="D977" t="s">
        <v>28</v>
      </c>
      <c r="E977" t="s">
        <v>34</v>
      </c>
      <c r="F977" t="s">
        <v>30</v>
      </c>
      <c r="G977" s="4">
        <v>2</v>
      </c>
      <c r="H977" s="1">
        <v>73251</v>
      </c>
      <c r="I977" s="3" t="s">
        <v>21</v>
      </c>
      <c r="J977" s="4">
        <v>1</v>
      </c>
    </row>
    <row r="978" spans="1:10" x14ac:dyDescent="0.35">
      <c r="A978" s="2" t="s">
        <v>1014</v>
      </c>
      <c r="B978" s="4">
        <v>16</v>
      </c>
      <c r="C978" t="s">
        <v>11</v>
      </c>
      <c r="D978" t="s">
        <v>18</v>
      </c>
      <c r="E978" t="s">
        <v>65</v>
      </c>
      <c r="F978" t="s">
        <v>30</v>
      </c>
      <c r="G978" s="4">
        <v>4</v>
      </c>
      <c r="H978" s="1">
        <v>95893</v>
      </c>
      <c r="I978" s="3" t="s">
        <v>21</v>
      </c>
      <c r="J978" s="4">
        <v>2</v>
      </c>
    </row>
    <row r="979" spans="1:10" x14ac:dyDescent="0.35">
      <c r="A979" s="2" t="s">
        <v>1015</v>
      </c>
      <c r="B979" s="4">
        <v>50</v>
      </c>
      <c r="C979" t="s">
        <v>17</v>
      </c>
      <c r="D979" t="s">
        <v>18</v>
      </c>
      <c r="E979" t="s">
        <v>29</v>
      </c>
      <c r="F979" t="s">
        <v>14</v>
      </c>
      <c r="G979" s="4">
        <v>8</v>
      </c>
      <c r="H979" s="1">
        <v>76001</v>
      </c>
      <c r="I979" s="3" t="s">
        <v>21</v>
      </c>
      <c r="J979" s="4">
        <v>3</v>
      </c>
    </row>
    <row r="980" spans="1:10" x14ac:dyDescent="0.35">
      <c r="A980" s="2" t="s">
        <v>1016</v>
      </c>
      <c r="B980" s="4">
        <v>45</v>
      </c>
      <c r="C980" t="s">
        <v>17</v>
      </c>
      <c r="D980" t="s">
        <v>26</v>
      </c>
      <c r="E980" t="s">
        <v>42</v>
      </c>
      <c r="F980" t="s">
        <v>20</v>
      </c>
      <c r="G980" s="4">
        <v>13</v>
      </c>
      <c r="H980" s="1">
        <v>95054</v>
      </c>
      <c r="I980" s="3" t="s">
        <v>15</v>
      </c>
      <c r="J980" s="4">
        <v>4</v>
      </c>
    </row>
    <row r="981" spans="1:10" x14ac:dyDescent="0.35">
      <c r="A981" s="2" t="s">
        <v>1017</v>
      </c>
      <c r="B981" s="4">
        <v>59</v>
      </c>
      <c r="C981" t="s">
        <v>17</v>
      </c>
      <c r="D981" t="s">
        <v>49</v>
      </c>
      <c r="E981" t="s">
        <v>34</v>
      </c>
      <c r="F981" t="s">
        <v>20</v>
      </c>
      <c r="G981" s="4">
        <v>1</v>
      </c>
      <c r="H981" s="1">
        <v>74925</v>
      </c>
      <c r="I981" s="3" t="s">
        <v>15</v>
      </c>
      <c r="J981" s="4">
        <v>3</v>
      </c>
    </row>
    <row r="982" spans="1:10" x14ac:dyDescent="0.35">
      <c r="A982" s="2" t="s">
        <v>1018</v>
      </c>
      <c r="B982" s="4">
        <v>84</v>
      </c>
      <c r="C982" t="s">
        <v>17</v>
      </c>
      <c r="D982" t="s">
        <v>41</v>
      </c>
      <c r="E982" t="s">
        <v>37</v>
      </c>
      <c r="F982" t="s">
        <v>14</v>
      </c>
      <c r="G982" s="4">
        <v>12</v>
      </c>
      <c r="H982" s="1">
        <v>63983</v>
      </c>
      <c r="I982" s="3" t="s">
        <v>21</v>
      </c>
      <c r="J982" s="4">
        <v>3</v>
      </c>
    </row>
    <row r="983" spans="1:10" x14ac:dyDescent="0.35">
      <c r="A983" s="2" t="s">
        <v>1019</v>
      </c>
      <c r="B983" s="4">
        <v>37</v>
      </c>
      <c r="C983" t="s">
        <v>17</v>
      </c>
      <c r="D983" t="s">
        <v>23</v>
      </c>
      <c r="E983" t="s">
        <v>42</v>
      </c>
      <c r="F983" t="s">
        <v>20</v>
      </c>
      <c r="G983" s="4">
        <v>1</v>
      </c>
      <c r="H983" s="1">
        <v>69313</v>
      </c>
      <c r="I983" s="3" t="s">
        <v>15</v>
      </c>
      <c r="J983" s="4">
        <v>3</v>
      </c>
    </row>
    <row r="984" spans="1:10" x14ac:dyDescent="0.35">
      <c r="A984" s="2" t="s">
        <v>1020</v>
      </c>
      <c r="B984" s="4">
        <v>76</v>
      </c>
      <c r="C984" t="s">
        <v>17</v>
      </c>
      <c r="D984" t="s">
        <v>36</v>
      </c>
      <c r="E984" t="s">
        <v>34</v>
      </c>
      <c r="F984" t="s">
        <v>20</v>
      </c>
      <c r="G984" s="4">
        <v>12</v>
      </c>
      <c r="H984" s="1">
        <v>72490</v>
      </c>
      <c r="I984" s="3" t="s">
        <v>15</v>
      </c>
      <c r="J984" s="4">
        <v>4</v>
      </c>
    </row>
    <row r="985" spans="1:10" x14ac:dyDescent="0.35">
      <c r="A985" s="2" t="s">
        <v>1021</v>
      </c>
      <c r="B985" s="4">
        <v>61</v>
      </c>
      <c r="C985" t="s">
        <v>11</v>
      </c>
      <c r="D985" t="s">
        <v>39</v>
      </c>
      <c r="E985" t="s">
        <v>19</v>
      </c>
      <c r="F985" t="s">
        <v>30</v>
      </c>
      <c r="G985" s="4">
        <v>7</v>
      </c>
      <c r="H985" s="1">
        <v>44432</v>
      </c>
      <c r="I985" s="3" t="s">
        <v>15</v>
      </c>
      <c r="J985" s="4">
        <v>1</v>
      </c>
    </row>
    <row r="986" spans="1:10" x14ac:dyDescent="0.35">
      <c r="A986" s="2" t="s">
        <v>1022</v>
      </c>
      <c r="B986" s="4">
        <v>61</v>
      </c>
      <c r="C986" t="s">
        <v>17</v>
      </c>
      <c r="D986" t="s">
        <v>41</v>
      </c>
      <c r="E986" t="s">
        <v>19</v>
      </c>
      <c r="F986" t="s">
        <v>30</v>
      </c>
      <c r="G986" s="4">
        <v>10</v>
      </c>
      <c r="H986" s="1">
        <v>38588</v>
      </c>
      <c r="I986" s="3" t="s">
        <v>15</v>
      </c>
      <c r="J986" s="4">
        <v>4</v>
      </c>
    </row>
    <row r="987" spans="1:10" x14ac:dyDescent="0.35">
      <c r="A987" s="2" t="s">
        <v>1023</v>
      </c>
      <c r="B987" s="4">
        <v>72</v>
      </c>
      <c r="C987" t="s">
        <v>11</v>
      </c>
      <c r="D987" t="s">
        <v>33</v>
      </c>
      <c r="E987" t="s">
        <v>65</v>
      </c>
      <c r="F987" t="s">
        <v>20</v>
      </c>
      <c r="G987" s="4">
        <v>15</v>
      </c>
      <c r="H987" s="1">
        <v>32673</v>
      </c>
      <c r="I987" s="3" t="s">
        <v>15</v>
      </c>
      <c r="J987" s="4">
        <v>1</v>
      </c>
    </row>
    <row r="988" spans="1:10" x14ac:dyDescent="0.35">
      <c r="A988" s="2" t="s">
        <v>1024</v>
      </c>
      <c r="B988" s="4">
        <v>36</v>
      </c>
      <c r="C988" t="s">
        <v>11</v>
      </c>
      <c r="D988" t="s">
        <v>33</v>
      </c>
      <c r="E988" t="s">
        <v>13</v>
      </c>
      <c r="F988" t="s">
        <v>30</v>
      </c>
      <c r="G988" s="4">
        <v>10</v>
      </c>
      <c r="H988" s="1">
        <v>12934</v>
      </c>
      <c r="I988" s="3" t="s">
        <v>21</v>
      </c>
      <c r="J988" s="4">
        <v>3</v>
      </c>
    </row>
    <row r="989" spans="1:10" x14ac:dyDescent="0.35">
      <c r="A989" s="2" t="s">
        <v>1025</v>
      </c>
      <c r="B989" s="4">
        <v>41</v>
      </c>
      <c r="C989" t="s">
        <v>17</v>
      </c>
      <c r="D989" t="s">
        <v>33</v>
      </c>
      <c r="E989" t="s">
        <v>19</v>
      </c>
      <c r="F989" t="s">
        <v>14</v>
      </c>
      <c r="G989" s="4">
        <v>7</v>
      </c>
      <c r="H989" s="1">
        <v>49819</v>
      </c>
      <c r="I989" s="3" t="s">
        <v>15</v>
      </c>
      <c r="J989" s="4">
        <v>2</v>
      </c>
    </row>
    <row r="990" spans="1:10" x14ac:dyDescent="0.35">
      <c r="A990" s="2" t="s">
        <v>1026</v>
      </c>
      <c r="B990" s="4">
        <v>77</v>
      </c>
      <c r="C990" t="s">
        <v>11</v>
      </c>
      <c r="D990" t="s">
        <v>39</v>
      </c>
      <c r="E990" t="s">
        <v>19</v>
      </c>
      <c r="F990" t="s">
        <v>30</v>
      </c>
      <c r="G990" s="4">
        <v>12</v>
      </c>
      <c r="H990" s="1">
        <v>80243</v>
      </c>
      <c r="I990" s="3" t="s">
        <v>15</v>
      </c>
      <c r="J990" s="4">
        <v>4</v>
      </c>
    </row>
    <row r="991" spans="1:10" x14ac:dyDescent="0.35">
      <c r="A991" s="2" t="s">
        <v>1027</v>
      </c>
      <c r="B991" s="4">
        <v>28</v>
      </c>
      <c r="C991" t="s">
        <v>17</v>
      </c>
      <c r="D991" t="s">
        <v>12</v>
      </c>
      <c r="E991" t="s">
        <v>27</v>
      </c>
      <c r="F991" t="s">
        <v>14</v>
      </c>
      <c r="G991" s="4">
        <v>15</v>
      </c>
      <c r="H991" s="1">
        <v>65137</v>
      </c>
      <c r="I991" s="3" t="s">
        <v>21</v>
      </c>
      <c r="J991" s="4">
        <v>2</v>
      </c>
    </row>
    <row r="992" spans="1:10" x14ac:dyDescent="0.35">
      <c r="A992" s="2" t="s">
        <v>1028</v>
      </c>
      <c r="B992" s="4">
        <v>37</v>
      </c>
      <c r="C992" t="s">
        <v>11</v>
      </c>
      <c r="D992" t="s">
        <v>12</v>
      </c>
      <c r="E992" t="s">
        <v>13</v>
      </c>
      <c r="F992" t="s">
        <v>20</v>
      </c>
      <c r="G992" s="4">
        <v>2</v>
      </c>
      <c r="H992" s="1">
        <v>71262</v>
      </c>
      <c r="I992" s="3" t="s">
        <v>15</v>
      </c>
      <c r="J992" s="4">
        <v>5</v>
      </c>
    </row>
    <row r="993" spans="1:10" x14ac:dyDescent="0.35">
      <c r="A993" s="2" t="s">
        <v>1029</v>
      </c>
      <c r="B993" s="4">
        <v>41</v>
      </c>
      <c r="C993" t="s">
        <v>17</v>
      </c>
      <c r="D993" t="s">
        <v>26</v>
      </c>
      <c r="E993" t="s">
        <v>34</v>
      </c>
      <c r="F993" t="s">
        <v>30</v>
      </c>
      <c r="G993" s="4">
        <v>10</v>
      </c>
      <c r="H993" s="1">
        <v>6027</v>
      </c>
      <c r="I993" s="3" t="s">
        <v>15</v>
      </c>
      <c r="J993" s="4">
        <v>1</v>
      </c>
    </row>
    <row r="994" spans="1:10" x14ac:dyDescent="0.35">
      <c r="A994" s="2" t="s">
        <v>1030</v>
      </c>
      <c r="B994" s="4">
        <v>75</v>
      </c>
      <c r="C994" t="s">
        <v>11</v>
      </c>
      <c r="D994" t="s">
        <v>18</v>
      </c>
      <c r="E994" t="s">
        <v>65</v>
      </c>
      <c r="F994" t="s">
        <v>30</v>
      </c>
      <c r="G994" s="4">
        <v>13</v>
      </c>
      <c r="H994" s="1">
        <v>27589</v>
      </c>
      <c r="I994" s="3" t="s">
        <v>15</v>
      </c>
      <c r="J994" s="4">
        <v>3</v>
      </c>
    </row>
    <row r="995" spans="1:10" x14ac:dyDescent="0.35">
      <c r="A995" s="2" t="s">
        <v>1031</v>
      </c>
      <c r="B995" s="4">
        <v>16</v>
      </c>
      <c r="C995" t="s">
        <v>11</v>
      </c>
      <c r="D995" t="s">
        <v>41</v>
      </c>
      <c r="E995" t="s">
        <v>19</v>
      </c>
      <c r="F995" t="s">
        <v>14</v>
      </c>
      <c r="G995" s="4">
        <v>6</v>
      </c>
      <c r="H995" s="1">
        <v>42115</v>
      </c>
      <c r="I995" s="3" t="s">
        <v>21</v>
      </c>
      <c r="J995" s="4">
        <v>3</v>
      </c>
    </row>
    <row r="996" spans="1:10" x14ac:dyDescent="0.35">
      <c r="A996" s="2" t="s">
        <v>1032</v>
      </c>
      <c r="B996" s="4">
        <v>81</v>
      </c>
      <c r="C996" t="s">
        <v>11</v>
      </c>
      <c r="D996" t="s">
        <v>39</v>
      </c>
      <c r="E996" t="s">
        <v>37</v>
      </c>
      <c r="F996" t="s">
        <v>20</v>
      </c>
      <c r="G996" s="4">
        <v>12</v>
      </c>
      <c r="H996" s="1">
        <v>89538</v>
      </c>
      <c r="I996" s="3" t="s">
        <v>21</v>
      </c>
      <c r="J996" s="4">
        <v>2</v>
      </c>
    </row>
    <row r="997" spans="1:10" x14ac:dyDescent="0.35">
      <c r="A997" s="2" t="s">
        <v>1033</v>
      </c>
      <c r="B997" s="4">
        <v>75</v>
      </c>
      <c r="C997" t="s">
        <v>11</v>
      </c>
      <c r="D997" t="s">
        <v>41</v>
      </c>
      <c r="E997" t="s">
        <v>13</v>
      </c>
      <c r="F997" t="s">
        <v>14</v>
      </c>
      <c r="G997" s="4">
        <v>8</v>
      </c>
      <c r="H997" s="1">
        <v>28939</v>
      </c>
      <c r="I997" s="3" t="s">
        <v>21</v>
      </c>
      <c r="J997" s="4">
        <v>5</v>
      </c>
    </row>
    <row r="998" spans="1:10" x14ac:dyDescent="0.35">
      <c r="A998" s="2" t="s">
        <v>1034</v>
      </c>
      <c r="B998" s="4">
        <v>26</v>
      </c>
      <c r="C998" t="s">
        <v>11</v>
      </c>
      <c r="D998" t="s">
        <v>36</v>
      </c>
      <c r="E998" t="s">
        <v>37</v>
      </c>
      <c r="F998" t="s">
        <v>14</v>
      </c>
      <c r="G998" s="4">
        <v>7</v>
      </c>
      <c r="H998" s="1">
        <v>98803</v>
      </c>
      <c r="I998" s="3" t="s">
        <v>15</v>
      </c>
      <c r="J998" s="4">
        <v>5</v>
      </c>
    </row>
    <row r="999" spans="1:10" x14ac:dyDescent="0.35">
      <c r="A999" s="2" t="s">
        <v>1035</v>
      </c>
      <c r="B999" s="4">
        <v>4</v>
      </c>
      <c r="C999" t="s">
        <v>11</v>
      </c>
      <c r="D999" t="s">
        <v>39</v>
      </c>
      <c r="E999" t="s">
        <v>27</v>
      </c>
      <c r="F999" t="s">
        <v>30</v>
      </c>
      <c r="G999" s="4">
        <v>15</v>
      </c>
      <c r="H999" s="1">
        <v>52295</v>
      </c>
      <c r="I999" s="3" t="s">
        <v>21</v>
      </c>
      <c r="J999" s="4">
        <v>2</v>
      </c>
    </row>
    <row r="1000" spans="1:10" x14ac:dyDescent="0.35">
      <c r="A1000" s="2" t="s">
        <v>1036</v>
      </c>
      <c r="B1000" s="4">
        <v>33</v>
      </c>
      <c r="C1000" t="s">
        <v>11</v>
      </c>
      <c r="D1000" t="s">
        <v>41</v>
      </c>
      <c r="E1000" t="s">
        <v>53</v>
      </c>
      <c r="F1000" t="s">
        <v>30</v>
      </c>
      <c r="G1000" s="4">
        <v>2</v>
      </c>
      <c r="H1000" s="1">
        <v>13144</v>
      </c>
      <c r="I1000" s="3" t="s">
        <v>15</v>
      </c>
      <c r="J1000" s="4">
        <v>4</v>
      </c>
    </row>
    <row r="1001" spans="1:10" x14ac:dyDescent="0.35">
      <c r="A1001" s="2" t="s">
        <v>1037</v>
      </c>
      <c r="B1001" s="4">
        <v>76</v>
      </c>
      <c r="C1001" t="s">
        <v>11</v>
      </c>
      <c r="D1001" t="s">
        <v>23</v>
      </c>
      <c r="E1001" t="s">
        <v>53</v>
      </c>
      <c r="F1001" t="s">
        <v>30</v>
      </c>
      <c r="G1001" s="4">
        <v>14</v>
      </c>
      <c r="H1001" s="1">
        <v>83876</v>
      </c>
      <c r="I1001" s="3" t="s">
        <v>21</v>
      </c>
      <c r="J1001" s="4">
        <v>3</v>
      </c>
    </row>
    <row r="1002" spans="1:10" x14ac:dyDescent="0.35">
      <c r="A1002" s="2" t="s">
        <v>1038</v>
      </c>
      <c r="B1002" s="4">
        <v>52</v>
      </c>
      <c r="C1002" t="s">
        <v>11</v>
      </c>
      <c r="D1002" t="s">
        <v>12</v>
      </c>
      <c r="E1002" t="s">
        <v>53</v>
      </c>
      <c r="F1002" t="s">
        <v>20</v>
      </c>
      <c r="G1002" s="4">
        <v>14</v>
      </c>
      <c r="H1002" s="1">
        <v>15412</v>
      </c>
      <c r="I1002" s="3" t="s">
        <v>15</v>
      </c>
      <c r="J1002" s="4">
        <v>2</v>
      </c>
    </row>
    <row r="1003" spans="1:10" x14ac:dyDescent="0.35">
      <c r="A1003" s="2" t="s">
        <v>1039</v>
      </c>
      <c r="B1003" s="4">
        <v>49</v>
      </c>
      <c r="C1003" t="s">
        <v>11</v>
      </c>
      <c r="D1003" t="s">
        <v>36</v>
      </c>
      <c r="E1003" t="s">
        <v>34</v>
      </c>
      <c r="F1003" t="s">
        <v>14</v>
      </c>
      <c r="G1003" s="4">
        <v>3</v>
      </c>
      <c r="H1003" s="1">
        <v>17289</v>
      </c>
      <c r="I1003" s="3" t="s">
        <v>15</v>
      </c>
      <c r="J1003" s="4">
        <v>3</v>
      </c>
    </row>
    <row r="1004" spans="1:10" x14ac:dyDescent="0.35">
      <c r="A1004" s="2" t="s">
        <v>1040</v>
      </c>
      <c r="B1004" s="4">
        <v>78</v>
      </c>
      <c r="C1004" t="s">
        <v>17</v>
      </c>
      <c r="D1004" t="s">
        <v>18</v>
      </c>
      <c r="E1004" t="s">
        <v>37</v>
      </c>
      <c r="F1004" t="s">
        <v>14</v>
      </c>
      <c r="G1004" s="4">
        <v>6</v>
      </c>
      <c r="H1004" s="1">
        <v>57124</v>
      </c>
      <c r="I1004" s="3" t="s">
        <v>15</v>
      </c>
      <c r="J1004" s="4">
        <v>4</v>
      </c>
    </row>
    <row r="1005" spans="1:10" x14ac:dyDescent="0.35">
      <c r="A1005" s="2" t="s">
        <v>1041</v>
      </c>
      <c r="B1005" s="4">
        <v>74</v>
      </c>
      <c r="C1005" t="s">
        <v>11</v>
      </c>
      <c r="D1005" t="s">
        <v>18</v>
      </c>
      <c r="E1005" t="s">
        <v>65</v>
      </c>
      <c r="F1005" t="s">
        <v>30</v>
      </c>
      <c r="G1005" s="4">
        <v>5</v>
      </c>
      <c r="H1005" s="1">
        <v>96139</v>
      </c>
      <c r="I1005" s="3" t="s">
        <v>15</v>
      </c>
      <c r="J1005" s="4">
        <v>5</v>
      </c>
    </row>
    <row r="1006" spans="1:10" x14ac:dyDescent="0.35">
      <c r="A1006" s="2" t="s">
        <v>1042</v>
      </c>
      <c r="B1006" s="4">
        <v>47</v>
      </c>
      <c r="C1006" t="s">
        <v>17</v>
      </c>
      <c r="D1006" t="s">
        <v>33</v>
      </c>
      <c r="E1006" t="s">
        <v>34</v>
      </c>
      <c r="F1006" t="s">
        <v>30</v>
      </c>
      <c r="G1006" s="4">
        <v>1</v>
      </c>
      <c r="H1006" s="1">
        <v>99757</v>
      </c>
      <c r="I1006" s="3" t="s">
        <v>21</v>
      </c>
      <c r="J1006" s="4">
        <v>5</v>
      </c>
    </row>
    <row r="1007" spans="1:10" x14ac:dyDescent="0.35">
      <c r="A1007" s="2" t="s">
        <v>1043</v>
      </c>
      <c r="B1007" s="4">
        <v>20</v>
      </c>
      <c r="C1007" t="s">
        <v>17</v>
      </c>
      <c r="D1007" t="s">
        <v>33</v>
      </c>
      <c r="E1007" t="s">
        <v>65</v>
      </c>
      <c r="F1007" t="s">
        <v>30</v>
      </c>
      <c r="G1007" s="4">
        <v>15</v>
      </c>
      <c r="H1007" s="1">
        <v>10438</v>
      </c>
      <c r="I1007" s="3" t="s">
        <v>21</v>
      </c>
      <c r="J1007" s="4">
        <v>3</v>
      </c>
    </row>
    <row r="1008" spans="1:10" x14ac:dyDescent="0.35">
      <c r="A1008" s="2" t="s">
        <v>1044</v>
      </c>
      <c r="B1008" s="4">
        <v>3</v>
      </c>
      <c r="C1008" t="s">
        <v>11</v>
      </c>
      <c r="D1008" t="s">
        <v>36</v>
      </c>
      <c r="E1008" t="s">
        <v>29</v>
      </c>
      <c r="F1008" t="s">
        <v>14</v>
      </c>
      <c r="G1008" s="4">
        <v>8</v>
      </c>
      <c r="H1008" s="1">
        <v>73914</v>
      </c>
      <c r="I1008" s="3" t="s">
        <v>15</v>
      </c>
      <c r="J1008" s="4">
        <v>1</v>
      </c>
    </row>
    <row r="1009" spans="1:10" x14ac:dyDescent="0.35">
      <c r="A1009" s="2" t="s">
        <v>1045</v>
      </c>
      <c r="B1009" s="4">
        <v>25</v>
      </c>
      <c r="C1009" t="s">
        <v>17</v>
      </c>
      <c r="D1009" t="s">
        <v>18</v>
      </c>
      <c r="E1009" t="s">
        <v>19</v>
      </c>
      <c r="F1009" t="s">
        <v>30</v>
      </c>
      <c r="G1009" s="4">
        <v>13</v>
      </c>
      <c r="H1009" s="1">
        <v>77760</v>
      </c>
      <c r="I1009" s="3" t="s">
        <v>15</v>
      </c>
      <c r="J1009" s="4">
        <v>2</v>
      </c>
    </row>
    <row r="1010" spans="1:10" x14ac:dyDescent="0.35">
      <c r="A1010" s="2" t="s">
        <v>1046</v>
      </c>
      <c r="B1010" s="4">
        <v>75</v>
      </c>
      <c r="C1010" t="s">
        <v>17</v>
      </c>
      <c r="D1010" t="s">
        <v>12</v>
      </c>
      <c r="E1010" t="s">
        <v>53</v>
      </c>
      <c r="F1010" t="s">
        <v>20</v>
      </c>
      <c r="G1010" s="4">
        <v>15</v>
      </c>
      <c r="H1010" s="1">
        <v>45947</v>
      </c>
      <c r="I1010" s="3" t="s">
        <v>21</v>
      </c>
      <c r="J1010" s="4">
        <v>2</v>
      </c>
    </row>
    <row r="1011" spans="1:10" x14ac:dyDescent="0.35">
      <c r="A1011" s="2" t="s">
        <v>1047</v>
      </c>
      <c r="B1011" s="4">
        <v>77</v>
      </c>
      <c r="C1011" t="s">
        <v>17</v>
      </c>
      <c r="D1011" t="s">
        <v>23</v>
      </c>
      <c r="E1011" t="s">
        <v>37</v>
      </c>
      <c r="F1011" t="s">
        <v>30</v>
      </c>
      <c r="G1011" s="4">
        <v>14</v>
      </c>
      <c r="H1011" s="1">
        <v>72198</v>
      </c>
      <c r="I1011" s="3" t="s">
        <v>21</v>
      </c>
      <c r="J1011" s="4">
        <v>4</v>
      </c>
    </row>
    <row r="1012" spans="1:10" x14ac:dyDescent="0.35">
      <c r="A1012" s="2" t="s">
        <v>1048</v>
      </c>
      <c r="B1012" s="4">
        <v>4</v>
      </c>
      <c r="C1012" t="s">
        <v>11</v>
      </c>
      <c r="D1012" t="s">
        <v>23</v>
      </c>
      <c r="E1012" t="s">
        <v>29</v>
      </c>
      <c r="F1012" t="s">
        <v>14</v>
      </c>
      <c r="G1012" s="4">
        <v>6</v>
      </c>
      <c r="H1012" s="1">
        <v>71989</v>
      </c>
      <c r="I1012" s="3" t="s">
        <v>21</v>
      </c>
      <c r="J1012" s="4">
        <v>5</v>
      </c>
    </row>
    <row r="1013" spans="1:10" x14ac:dyDescent="0.35">
      <c r="A1013" s="2" t="s">
        <v>1049</v>
      </c>
      <c r="B1013" s="4">
        <v>25</v>
      </c>
      <c r="C1013" t="s">
        <v>11</v>
      </c>
      <c r="D1013" t="s">
        <v>18</v>
      </c>
      <c r="E1013" t="s">
        <v>27</v>
      </c>
      <c r="F1013" t="s">
        <v>14</v>
      </c>
      <c r="G1013" s="4">
        <v>10</v>
      </c>
      <c r="H1013" s="1">
        <v>54886</v>
      </c>
      <c r="I1013" s="3" t="s">
        <v>21</v>
      </c>
      <c r="J1013" s="4">
        <v>4</v>
      </c>
    </row>
    <row r="1014" spans="1:10" x14ac:dyDescent="0.35">
      <c r="A1014" s="2" t="s">
        <v>1050</v>
      </c>
      <c r="B1014" s="4">
        <v>30</v>
      </c>
      <c r="C1014" t="s">
        <v>17</v>
      </c>
      <c r="D1014" t="s">
        <v>49</v>
      </c>
      <c r="E1014" t="s">
        <v>34</v>
      </c>
      <c r="F1014" t="s">
        <v>20</v>
      </c>
      <c r="G1014" s="4">
        <v>10</v>
      </c>
      <c r="H1014" s="1">
        <v>22135</v>
      </c>
      <c r="I1014" s="3" t="s">
        <v>15</v>
      </c>
      <c r="J1014" s="4">
        <v>5</v>
      </c>
    </row>
    <row r="1015" spans="1:10" x14ac:dyDescent="0.35">
      <c r="A1015" s="2" t="s">
        <v>1051</v>
      </c>
      <c r="B1015" s="4">
        <v>36</v>
      </c>
      <c r="C1015" t="s">
        <v>11</v>
      </c>
      <c r="D1015" t="s">
        <v>36</v>
      </c>
      <c r="E1015" t="s">
        <v>29</v>
      </c>
      <c r="F1015" t="s">
        <v>14</v>
      </c>
      <c r="G1015" s="4">
        <v>4</v>
      </c>
      <c r="H1015" s="1">
        <v>40729</v>
      </c>
      <c r="I1015" s="3" t="s">
        <v>15</v>
      </c>
      <c r="J1015" s="4">
        <v>3</v>
      </c>
    </row>
    <row r="1016" spans="1:10" x14ac:dyDescent="0.35">
      <c r="A1016" s="2" t="s">
        <v>1052</v>
      </c>
      <c r="B1016" s="4">
        <v>52</v>
      </c>
      <c r="C1016" t="s">
        <v>17</v>
      </c>
      <c r="D1016" t="s">
        <v>23</v>
      </c>
      <c r="E1016" t="s">
        <v>29</v>
      </c>
      <c r="F1016" t="s">
        <v>30</v>
      </c>
      <c r="G1016" s="4">
        <v>14</v>
      </c>
      <c r="H1016" s="1">
        <v>5452</v>
      </c>
      <c r="I1016" s="3" t="s">
        <v>15</v>
      </c>
      <c r="J1016" s="4">
        <v>4</v>
      </c>
    </row>
    <row r="1017" spans="1:10" x14ac:dyDescent="0.35">
      <c r="A1017" s="2" t="s">
        <v>1053</v>
      </c>
      <c r="B1017" s="4">
        <v>67</v>
      </c>
      <c r="C1017" t="s">
        <v>17</v>
      </c>
      <c r="D1017" t="s">
        <v>33</v>
      </c>
      <c r="E1017" t="s">
        <v>53</v>
      </c>
      <c r="F1017" t="s">
        <v>30</v>
      </c>
      <c r="G1017" s="4">
        <v>5</v>
      </c>
      <c r="H1017" s="1">
        <v>90343</v>
      </c>
      <c r="I1017" s="3" t="s">
        <v>15</v>
      </c>
      <c r="J1017" s="4">
        <v>1</v>
      </c>
    </row>
    <row r="1018" spans="1:10" x14ac:dyDescent="0.35">
      <c r="A1018" s="2" t="s">
        <v>1054</v>
      </c>
      <c r="B1018" s="4">
        <v>27</v>
      </c>
      <c r="C1018" t="s">
        <v>11</v>
      </c>
      <c r="D1018" t="s">
        <v>41</v>
      </c>
      <c r="E1018" t="s">
        <v>37</v>
      </c>
      <c r="F1018" t="s">
        <v>20</v>
      </c>
      <c r="G1018" s="4">
        <v>9</v>
      </c>
      <c r="H1018" s="1">
        <v>33578</v>
      </c>
      <c r="I1018" s="3" t="s">
        <v>21</v>
      </c>
      <c r="J1018" s="4">
        <v>5</v>
      </c>
    </row>
    <row r="1019" spans="1:10" x14ac:dyDescent="0.35">
      <c r="A1019" s="2" t="s">
        <v>1055</v>
      </c>
      <c r="B1019" s="4">
        <v>83</v>
      </c>
      <c r="C1019" t="s">
        <v>11</v>
      </c>
      <c r="D1019" t="s">
        <v>36</v>
      </c>
      <c r="E1019" t="s">
        <v>24</v>
      </c>
      <c r="F1019" t="s">
        <v>30</v>
      </c>
      <c r="G1019" s="4">
        <v>6</v>
      </c>
      <c r="H1019" s="1">
        <v>83204</v>
      </c>
      <c r="I1019" s="3" t="s">
        <v>21</v>
      </c>
      <c r="J1019" s="4">
        <v>5</v>
      </c>
    </row>
    <row r="1020" spans="1:10" x14ac:dyDescent="0.35">
      <c r="A1020" s="2" t="s">
        <v>1056</v>
      </c>
      <c r="B1020" s="4">
        <v>37</v>
      </c>
      <c r="C1020" t="s">
        <v>17</v>
      </c>
      <c r="D1020" t="s">
        <v>12</v>
      </c>
      <c r="E1020" t="s">
        <v>37</v>
      </c>
      <c r="F1020" t="s">
        <v>20</v>
      </c>
      <c r="G1020" s="4">
        <v>2</v>
      </c>
      <c r="H1020" s="1">
        <v>27061</v>
      </c>
      <c r="I1020" s="3" t="s">
        <v>21</v>
      </c>
      <c r="J1020" s="4">
        <v>4</v>
      </c>
    </row>
    <row r="1021" spans="1:10" x14ac:dyDescent="0.35">
      <c r="A1021" s="2" t="s">
        <v>1057</v>
      </c>
      <c r="B1021" s="4">
        <v>71</v>
      </c>
      <c r="C1021" t="s">
        <v>17</v>
      </c>
      <c r="D1021" t="s">
        <v>36</v>
      </c>
      <c r="E1021" t="s">
        <v>27</v>
      </c>
      <c r="F1021" t="s">
        <v>20</v>
      </c>
      <c r="G1021" s="4">
        <v>9</v>
      </c>
      <c r="H1021" s="1">
        <v>20473</v>
      </c>
      <c r="I1021" s="3" t="s">
        <v>15</v>
      </c>
      <c r="J1021" s="4">
        <v>1</v>
      </c>
    </row>
    <row r="1022" spans="1:10" x14ac:dyDescent="0.35">
      <c r="A1022" s="2" t="s">
        <v>1058</v>
      </c>
      <c r="B1022" s="4">
        <v>30</v>
      </c>
      <c r="C1022" t="s">
        <v>11</v>
      </c>
      <c r="D1022" t="s">
        <v>36</v>
      </c>
      <c r="E1022" t="s">
        <v>27</v>
      </c>
      <c r="F1022" t="s">
        <v>14</v>
      </c>
      <c r="G1022" s="4">
        <v>5</v>
      </c>
      <c r="H1022" s="1">
        <v>10265</v>
      </c>
      <c r="I1022" s="3" t="s">
        <v>21</v>
      </c>
      <c r="J1022" s="4">
        <v>5</v>
      </c>
    </row>
    <row r="1023" spans="1:10" x14ac:dyDescent="0.35">
      <c r="A1023" s="2" t="s">
        <v>1059</v>
      </c>
      <c r="B1023" s="4">
        <v>21</v>
      </c>
      <c r="C1023" t="s">
        <v>17</v>
      </c>
      <c r="D1023" t="s">
        <v>28</v>
      </c>
      <c r="E1023" t="s">
        <v>65</v>
      </c>
      <c r="F1023" t="s">
        <v>20</v>
      </c>
      <c r="G1023" s="4">
        <v>4</v>
      </c>
      <c r="H1023" s="1">
        <v>5714</v>
      </c>
      <c r="I1023" s="3" t="s">
        <v>15</v>
      </c>
      <c r="J1023" s="4">
        <v>3</v>
      </c>
    </row>
    <row r="1024" spans="1:10" x14ac:dyDescent="0.35">
      <c r="A1024" s="2" t="s">
        <v>1060</v>
      </c>
      <c r="B1024" s="4">
        <v>6</v>
      </c>
      <c r="C1024" t="s">
        <v>11</v>
      </c>
      <c r="D1024" t="s">
        <v>23</v>
      </c>
      <c r="E1024" t="s">
        <v>13</v>
      </c>
      <c r="F1024" t="s">
        <v>14</v>
      </c>
      <c r="G1024" s="4">
        <v>9</v>
      </c>
      <c r="H1024" s="1">
        <v>85292</v>
      </c>
      <c r="I1024" s="3" t="s">
        <v>21</v>
      </c>
      <c r="J1024" s="4">
        <v>1</v>
      </c>
    </row>
    <row r="1025" spans="1:10" x14ac:dyDescent="0.35">
      <c r="A1025" s="2" t="s">
        <v>1061</v>
      </c>
      <c r="B1025" s="4">
        <v>12</v>
      </c>
      <c r="C1025" t="s">
        <v>11</v>
      </c>
      <c r="D1025" t="s">
        <v>39</v>
      </c>
      <c r="E1025" t="s">
        <v>19</v>
      </c>
      <c r="F1025" t="s">
        <v>30</v>
      </c>
      <c r="G1025" s="4">
        <v>8</v>
      </c>
      <c r="H1025" s="1">
        <v>60421</v>
      </c>
      <c r="I1025" s="3" t="s">
        <v>15</v>
      </c>
      <c r="J1025" s="4">
        <v>1</v>
      </c>
    </row>
    <row r="1026" spans="1:10" x14ac:dyDescent="0.35">
      <c r="A1026" s="2" t="s">
        <v>1062</v>
      </c>
      <c r="B1026" s="4">
        <v>47</v>
      </c>
      <c r="C1026" t="s">
        <v>11</v>
      </c>
      <c r="D1026" t="s">
        <v>18</v>
      </c>
      <c r="E1026" t="s">
        <v>29</v>
      </c>
      <c r="F1026" t="s">
        <v>30</v>
      </c>
      <c r="G1026" s="4">
        <v>14</v>
      </c>
      <c r="H1026" s="1">
        <v>15306</v>
      </c>
      <c r="I1026" s="3" t="s">
        <v>15</v>
      </c>
      <c r="J1026" s="4">
        <v>3</v>
      </c>
    </row>
    <row r="1027" spans="1:10" x14ac:dyDescent="0.35">
      <c r="A1027" s="2" t="s">
        <v>1063</v>
      </c>
      <c r="B1027" s="4">
        <v>40</v>
      </c>
      <c r="C1027" t="s">
        <v>11</v>
      </c>
      <c r="D1027" t="s">
        <v>28</v>
      </c>
      <c r="E1027" t="s">
        <v>27</v>
      </c>
      <c r="F1027" t="s">
        <v>14</v>
      </c>
      <c r="G1027" s="4">
        <v>14</v>
      </c>
      <c r="H1027" s="1">
        <v>31056</v>
      </c>
      <c r="I1027" s="3" t="s">
        <v>15</v>
      </c>
      <c r="J1027" s="4">
        <v>5</v>
      </c>
    </row>
    <row r="1028" spans="1:10" x14ac:dyDescent="0.35">
      <c r="A1028" s="2" t="s">
        <v>1064</v>
      </c>
      <c r="B1028" s="4">
        <v>15</v>
      </c>
      <c r="C1028" t="s">
        <v>11</v>
      </c>
      <c r="D1028" t="s">
        <v>36</v>
      </c>
      <c r="E1028" t="s">
        <v>37</v>
      </c>
      <c r="F1028" t="s">
        <v>20</v>
      </c>
      <c r="G1028" s="4">
        <v>1</v>
      </c>
      <c r="H1028" s="1">
        <v>95547</v>
      </c>
      <c r="I1028" s="3" t="s">
        <v>21</v>
      </c>
      <c r="J1028" s="4">
        <v>1</v>
      </c>
    </row>
    <row r="1029" spans="1:10" x14ac:dyDescent="0.35">
      <c r="A1029" s="2" t="s">
        <v>1065</v>
      </c>
      <c r="B1029" s="4">
        <v>13</v>
      </c>
      <c r="C1029" t="s">
        <v>11</v>
      </c>
      <c r="D1029" t="s">
        <v>41</v>
      </c>
      <c r="E1029" t="s">
        <v>29</v>
      </c>
      <c r="F1029" t="s">
        <v>20</v>
      </c>
      <c r="G1029" s="4">
        <v>3</v>
      </c>
      <c r="H1029" s="1">
        <v>65566</v>
      </c>
      <c r="I1029" s="3" t="s">
        <v>21</v>
      </c>
      <c r="J1029" s="4">
        <v>5</v>
      </c>
    </row>
    <row r="1030" spans="1:10" x14ac:dyDescent="0.35">
      <c r="A1030" s="2" t="s">
        <v>1066</v>
      </c>
      <c r="B1030" s="4">
        <v>79</v>
      </c>
      <c r="C1030" t="s">
        <v>17</v>
      </c>
      <c r="D1030" t="s">
        <v>23</v>
      </c>
      <c r="E1030" t="s">
        <v>27</v>
      </c>
      <c r="F1030" t="s">
        <v>30</v>
      </c>
      <c r="G1030" s="4">
        <v>10</v>
      </c>
      <c r="H1030" s="1">
        <v>64162</v>
      </c>
      <c r="I1030" s="3" t="s">
        <v>15</v>
      </c>
      <c r="J1030" s="4">
        <v>5</v>
      </c>
    </row>
    <row r="1031" spans="1:10" x14ac:dyDescent="0.35">
      <c r="A1031" s="2" t="s">
        <v>1067</v>
      </c>
      <c r="B1031" s="4">
        <v>33</v>
      </c>
      <c r="C1031" t="s">
        <v>11</v>
      </c>
      <c r="D1031" t="s">
        <v>33</v>
      </c>
      <c r="E1031" t="s">
        <v>53</v>
      </c>
      <c r="F1031" t="s">
        <v>14</v>
      </c>
      <c r="G1031" s="4">
        <v>15</v>
      </c>
      <c r="H1031" s="1">
        <v>28327</v>
      </c>
      <c r="I1031" s="3" t="s">
        <v>15</v>
      </c>
      <c r="J1031" s="4">
        <v>1</v>
      </c>
    </row>
    <row r="1032" spans="1:10" x14ac:dyDescent="0.35">
      <c r="A1032" s="2" t="s">
        <v>1068</v>
      </c>
      <c r="B1032" s="4">
        <v>54</v>
      </c>
      <c r="C1032" t="s">
        <v>11</v>
      </c>
      <c r="D1032" t="s">
        <v>18</v>
      </c>
      <c r="E1032" t="s">
        <v>19</v>
      </c>
      <c r="F1032" t="s">
        <v>20</v>
      </c>
      <c r="G1032" s="4">
        <v>7</v>
      </c>
      <c r="H1032" s="1">
        <v>16948</v>
      </c>
      <c r="I1032" s="3" t="s">
        <v>21</v>
      </c>
      <c r="J1032" s="4">
        <v>4</v>
      </c>
    </row>
    <row r="1033" spans="1:10" x14ac:dyDescent="0.35">
      <c r="A1033" s="2" t="s">
        <v>1069</v>
      </c>
      <c r="B1033" s="4">
        <v>1</v>
      </c>
      <c r="C1033" t="s">
        <v>17</v>
      </c>
      <c r="D1033" t="s">
        <v>41</v>
      </c>
      <c r="E1033" t="s">
        <v>29</v>
      </c>
      <c r="F1033" t="s">
        <v>14</v>
      </c>
      <c r="G1033" s="4">
        <v>12</v>
      </c>
      <c r="H1033" s="1">
        <v>16039</v>
      </c>
      <c r="I1033" s="3" t="s">
        <v>15</v>
      </c>
      <c r="J1033" s="4">
        <v>5</v>
      </c>
    </row>
    <row r="1034" spans="1:10" x14ac:dyDescent="0.35">
      <c r="A1034" s="2" t="s">
        <v>1070</v>
      </c>
      <c r="B1034" s="4">
        <v>40</v>
      </c>
      <c r="C1034" t="s">
        <v>11</v>
      </c>
      <c r="D1034" t="s">
        <v>49</v>
      </c>
      <c r="E1034" t="s">
        <v>27</v>
      </c>
      <c r="F1034" t="s">
        <v>20</v>
      </c>
      <c r="G1034" s="4">
        <v>8</v>
      </c>
      <c r="H1034" s="1">
        <v>13310</v>
      </c>
      <c r="I1034" s="3" t="s">
        <v>21</v>
      </c>
      <c r="J1034" s="4">
        <v>1</v>
      </c>
    </row>
    <row r="1035" spans="1:10" x14ac:dyDescent="0.35">
      <c r="A1035" s="2" t="s">
        <v>1071</v>
      </c>
      <c r="B1035" s="4">
        <v>1</v>
      </c>
      <c r="C1035" t="s">
        <v>17</v>
      </c>
      <c r="D1035" t="s">
        <v>26</v>
      </c>
      <c r="E1035" t="s">
        <v>65</v>
      </c>
      <c r="F1035" t="s">
        <v>14</v>
      </c>
      <c r="G1035" s="4">
        <v>6</v>
      </c>
      <c r="H1035" s="1">
        <v>62649</v>
      </c>
      <c r="I1035" s="3" t="s">
        <v>21</v>
      </c>
      <c r="J1035" s="4">
        <v>5</v>
      </c>
    </row>
    <row r="1036" spans="1:10" x14ac:dyDescent="0.35">
      <c r="A1036" s="2" t="s">
        <v>1072</v>
      </c>
      <c r="B1036" s="4">
        <v>90</v>
      </c>
      <c r="C1036" t="s">
        <v>17</v>
      </c>
      <c r="D1036" t="s">
        <v>41</v>
      </c>
      <c r="E1036" t="s">
        <v>37</v>
      </c>
      <c r="F1036" t="s">
        <v>30</v>
      </c>
      <c r="G1036" s="4">
        <v>8</v>
      </c>
      <c r="H1036" s="1">
        <v>93009</v>
      </c>
      <c r="I1036" s="3" t="s">
        <v>21</v>
      </c>
      <c r="J1036" s="4">
        <v>5</v>
      </c>
    </row>
    <row r="1037" spans="1:10" x14ac:dyDescent="0.35">
      <c r="A1037" s="2" t="s">
        <v>1073</v>
      </c>
      <c r="B1037" s="4">
        <v>43</v>
      </c>
      <c r="C1037" t="s">
        <v>17</v>
      </c>
      <c r="D1037" t="s">
        <v>23</v>
      </c>
      <c r="E1037" t="s">
        <v>27</v>
      </c>
      <c r="F1037" t="s">
        <v>20</v>
      </c>
      <c r="G1037" s="4">
        <v>14</v>
      </c>
      <c r="H1037" s="1">
        <v>35196</v>
      </c>
      <c r="I1037" s="3" t="s">
        <v>15</v>
      </c>
      <c r="J1037" s="4">
        <v>3</v>
      </c>
    </row>
    <row r="1038" spans="1:10" x14ac:dyDescent="0.35">
      <c r="A1038" s="2" t="s">
        <v>1074</v>
      </c>
      <c r="B1038" s="4">
        <v>75</v>
      </c>
      <c r="C1038" t="s">
        <v>17</v>
      </c>
      <c r="D1038" t="s">
        <v>33</v>
      </c>
      <c r="E1038" t="s">
        <v>13</v>
      </c>
      <c r="F1038" t="s">
        <v>30</v>
      </c>
      <c r="G1038" s="4">
        <v>10</v>
      </c>
      <c r="H1038" s="1">
        <v>87857</v>
      </c>
      <c r="I1038" s="3" t="s">
        <v>15</v>
      </c>
      <c r="J1038" s="4">
        <v>3</v>
      </c>
    </row>
    <row r="1039" spans="1:10" x14ac:dyDescent="0.35">
      <c r="A1039" s="2" t="s">
        <v>1075</v>
      </c>
      <c r="B1039" s="4">
        <v>33</v>
      </c>
      <c r="C1039" t="s">
        <v>11</v>
      </c>
      <c r="D1039" t="s">
        <v>36</v>
      </c>
      <c r="E1039" t="s">
        <v>13</v>
      </c>
      <c r="F1039" t="s">
        <v>20</v>
      </c>
      <c r="G1039" s="4">
        <v>5</v>
      </c>
      <c r="H1039" s="1">
        <v>80783</v>
      </c>
      <c r="I1039" s="3" t="s">
        <v>21</v>
      </c>
      <c r="J1039" s="4">
        <v>4</v>
      </c>
    </row>
    <row r="1040" spans="1:10" x14ac:dyDescent="0.35">
      <c r="A1040" s="2" t="s">
        <v>1076</v>
      </c>
      <c r="B1040" s="4">
        <v>46</v>
      </c>
      <c r="C1040" t="s">
        <v>17</v>
      </c>
      <c r="D1040" t="s">
        <v>39</v>
      </c>
      <c r="E1040" t="s">
        <v>27</v>
      </c>
      <c r="F1040" t="s">
        <v>20</v>
      </c>
      <c r="G1040" s="4">
        <v>14</v>
      </c>
      <c r="H1040" s="1">
        <v>81044</v>
      </c>
      <c r="I1040" s="3" t="s">
        <v>15</v>
      </c>
      <c r="J1040" s="4">
        <v>1</v>
      </c>
    </row>
    <row r="1041" spans="1:10" x14ac:dyDescent="0.35">
      <c r="A1041" s="2" t="s">
        <v>1077</v>
      </c>
      <c r="B1041" s="4">
        <v>47</v>
      </c>
      <c r="C1041" t="s">
        <v>11</v>
      </c>
      <c r="D1041" t="s">
        <v>41</v>
      </c>
      <c r="E1041" t="s">
        <v>29</v>
      </c>
      <c r="F1041" t="s">
        <v>14</v>
      </c>
      <c r="G1041" s="4">
        <v>8</v>
      </c>
      <c r="H1041" s="1">
        <v>30933</v>
      </c>
      <c r="I1041" s="3" t="s">
        <v>21</v>
      </c>
      <c r="J1041" s="4">
        <v>4</v>
      </c>
    </row>
    <row r="1042" spans="1:10" x14ac:dyDescent="0.35">
      <c r="A1042" s="2" t="s">
        <v>1078</v>
      </c>
      <c r="B1042" s="4">
        <v>6</v>
      </c>
      <c r="C1042" t="s">
        <v>17</v>
      </c>
      <c r="D1042" t="s">
        <v>36</v>
      </c>
      <c r="E1042" t="s">
        <v>37</v>
      </c>
      <c r="F1042" t="s">
        <v>30</v>
      </c>
      <c r="G1042" s="4">
        <v>1</v>
      </c>
      <c r="H1042" s="1">
        <v>55399</v>
      </c>
      <c r="I1042" s="3" t="s">
        <v>21</v>
      </c>
      <c r="J1042" s="4">
        <v>5</v>
      </c>
    </row>
    <row r="1043" spans="1:10" x14ac:dyDescent="0.35">
      <c r="A1043" s="2" t="s">
        <v>1079</v>
      </c>
      <c r="B1043" s="4">
        <v>17</v>
      </c>
      <c r="C1043" t="s">
        <v>17</v>
      </c>
      <c r="D1043" t="s">
        <v>26</v>
      </c>
      <c r="E1043" t="s">
        <v>53</v>
      </c>
      <c r="F1043" t="s">
        <v>14</v>
      </c>
      <c r="G1043" s="4">
        <v>12</v>
      </c>
      <c r="H1043" s="1">
        <v>9258</v>
      </c>
      <c r="I1043" s="3" t="s">
        <v>15</v>
      </c>
      <c r="J1043" s="4">
        <v>3</v>
      </c>
    </row>
    <row r="1044" spans="1:10" x14ac:dyDescent="0.35">
      <c r="A1044" s="2" t="s">
        <v>1080</v>
      </c>
      <c r="B1044" s="4">
        <v>54</v>
      </c>
      <c r="C1044" t="s">
        <v>17</v>
      </c>
      <c r="D1044" t="s">
        <v>12</v>
      </c>
      <c r="E1044" t="s">
        <v>27</v>
      </c>
      <c r="F1044" t="s">
        <v>30</v>
      </c>
      <c r="G1044" s="4">
        <v>6</v>
      </c>
      <c r="H1044" s="1">
        <v>23109</v>
      </c>
      <c r="I1044" s="3" t="s">
        <v>21</v>
      </c>
      <c r="J1044" s="4">
        <v>1</v>
      </c>
    </row>
    <row r="1045" spans="1:10" x14ac:dyDescent="0.35">
      <c r="A1045" s="2" t="s">
        <v>1081</v>
      </c>
      <c r="B1045" s="4">
        <v>86</v>
      </c>
      <c r="C1045" t="s">
        <v>17</v>
      </c>
      <c r="D1045" t="s">
        <v>28</v>
      </c>
      <c r="E1045" t="s">
        <v>29</v>
      </c>
      <c r="F1045" t="s">
        <v>14</v>
      </c>
      <c r="G1045" s="4">
        <v>10</v>
      </c>
      <c r="H1045" s="1">
        <v>91118</v>
      </c>
      <c r="I1045" s="3" t="s">
        <v>15</v>
      </c>
      <c r="J1045" s="4">
        <v>1</v>
      </c>
    </row>
    <row r="1046" spans="1:10" x14ac:dyDescent="0.35">
      <c r="A1046" s="2" t="s">
        <v>1082</v>
      </c>
      <c r="B1046" s="4">
        <v>43</v>
      </c>
      <c r="C1046" t="s">
        <v>17</v>
      </c>
      <c r="D1046" t="s">
        <v>28</v>
      </c>
      <c r="E1046" t="s">
        <v>37</v>
      </c>
      <c r="F1046" t="s">
        <v>30</v>
      </c>
      <c r="G1046" s="4">
        <v>7</v>
      </c>
      <c r="H1046" s="1">
        <v>70624</v>
      </c>
      <c r="I1046" s="3" t="s">
        <v>21</v>
      </c>
      <c r="J1046" s="4">
        <v>3</v>
      </c>
    </row>
    <row r="1047" spans="1:10" x14ac:dyDescent="0.35">
      <c r="A1047" s="2" t="s">
        <v>1083</v>
      </c>
      <c r="B1047" s="4">
        <v>15</v>
      </c>
      <c r="C1047" t="s">
        <v>17</v>
      </c>
      <c r="D1047" t="s">
        <v>28</v>
      </c>
      <c r="E1047" t="s">
        <v>27</v>
      </c>
      <c r="F1047" t="s">
        <v>30</v>
      </c>
      <c r="G1047" s="4">
        <v>15</v>
      </c>
      <c r="H1047" s="1">
        <v>17749</v>
      </c>
      <c r="I1047" s="3" t="s">
        <v>21</v>
      </c>
      <c r="J1047" s="4">
        <v>3</v>
      </c>
    </row>
    <row r="1048" spans="1:10" x14ac:dyDescent="0.35">
      <c r="A1048" s="2" t="s">
        <v>1084</v>
      </c>
      <c r="B1048" s="4">
        <v>52</v>
      </c>
      <c r="C1048" t="s">
        <v>17</v>
      </c>
      <c r="D1048" t="s">
        <v>26</v>
      </c>
      <c r="E1048" t="s">
        <v>65</v>
      </c>
      <c r="F1048" t="s">
        <v>30</v>
      </c>
      <c r="G1048" s="4">
        <v>6</v>
      </c>
      <c r="H1048" s="1">
        <v>84721</v>
      </c>
      <c r="I1048" s="3" t="s">
        <v>21</v>
      </c>
      <c r="J1048" s="4">
        <v>1</v>
      </c>
    </row>
    <row r="1049" spans="1:10" x14ac:dyDescent="0.35">
      <c r="A1049" s="2" t="s">
        <v>1085</v>
      </c>
      <c r="B1049" s="4">
        <v>84</v>
      </c>
      <c r="C1049" t="s">
        <v>17</v>
      </c>
      <c r="D1049" t="s">
        <v>49</v>
      </c>
      <c r="E1049" t="s">
        <v>42</v>
      </c>
      <c r="F1049" t="s">
        <v>14</v>
      </c>
      <c r="G1049" s="4">
        <v>15</v>
      </c>
      <c r="H1049" s="1">
        <v>94611</v>
      </c>
      <c r="I1049" s="3" t="s">
        <v>21</v>
      </c>
      <c r="J1049" s="4">
        <v>3</v>
      </c>
    </row>
    <row r="1050" spans="1:10" x14ac:dyDescent="0.35">
      <c r="A1050" s="2" t="s">
        <v>1086</v>
      </c>
      <c r="B1050" s="4">
        <v>55</v>
      </c>
      <c r="C1050" t="s">
        <v>11</v>
      </c>
      <c r="D1050" t="s">
        <v>39</v>
      </c>
      <c r="E1050" t="s">
        <v>19</v>
      </c>
      <c r="F1050" t="s">
        <v>30</v>
      </c>
      <c r="G1050" s="4">
        <v>15</v>
      </c>
      <c r="H1050" s="1">
        <v>31273</v>
      </c>
      <c r="I1050" s="3" t="s">
        <v>15</v>
      </c>
      <c r="J1050" s="4">
        <v>3</v>
      </c>
    </row>
    <row r="1051" spans="1:10" x14ac:dyDescent="0.35">
      <c r="A1051" s="2" t="s">
        <v>1087</v>
      </c>
      <c r="B1051" s="4">
        <v>18</v>
      </c>
      <c r="C1051" t="s">
        <v>17</v>
      </c>
      <c r="D1051" t="s">
        <v>12</v>
      </c>
      <c r="E1051" t="s">
        <v>29</v>
      </c>
      <c r="F1051" t="s">
        <v>14</v>
      </c>
      <c r="G1051" s="4">
        <v>7</v>
      </c>
      <c r="H1051" s="1">
        <v>88688</v>
      </c>
      <c r="I1051" s="3" t="s">
        <v>21</v>
      </c>
      <c r="J1051" s="4">
        <v>1</v>
      </c>
    </row>
    <row r="1052" spans="1:10" x14ac:dyDescent="0.35">
      <c r="A1052" s="2" t="s">
        <v>1088</v>
      </c>
      <c r="B1052" s="4">
        <v>81</v>
      </c>
      <c r="C1052" t="s">
        <v>11</v>
      </c>
      <c r="D1052" t="s">
        <v>23</v>
      </c>
      <c r="E1052" t="s">
        <v>27</v>
      </c>
      <c r="F1052" t="s">
        <v>14</v>
      </c>
      <c r="G1052" s="4">
        <v>1</v>
      </c>
      <c r="H1052" s="1">
        <v>75481</v>
      </c>
      <c r="I1052" s="3" t="s">
        <v>21</v>
      </c>
      <c r="J1052" s="4">
        <v>4</v>
      </c>
    </row>
    <row r="1053" spans="1:10" x14ac:dyDescent="0.35">
      <c r="A1053" s="2" t="s">
        <v>1089</v>
      </c>
      <c r="B1053" s="4">
        <v>77</v>
      </c>
      <c r="C1053" t="s">
        <v>11</v>
      </c>
      <c r="D1053" t="s">
        <v>26</v>
      </c>
      <c r="E1053" t="s">
        <v>24</v>
      </c>
      <c r="F1053" t="s">
        <v>14</v>
      </c>
      <c r="G1053" s="4">
        <v>7</v>
      </c>
      <c r="H1053" s="1">
        <v>97229</v>
      </c>
      <c r="I1053" s="3" t="s">
        <v>21</v>
      </c>
      <c r="J1053" s="4">
        <v>5</v>
      </c>
    </row>
    <row r="1054" spans="1:10" x14ac:dyDescent="0.35">
      <c r="A1054" s="2" t="s">
        <v>1090</v>
      </c>
      <c r="B1054" s="4">
        <v>48</v>
      </c>
      <c r="C1054" t="s">
        <v>17</v>
      </c>
      <c r="D1054" t="s">
        <v>26</v>
      </c>
      <c r="E1054" t="s">
        <v>65</v>
      </c>
      <c r="F1054" t="s">
        <v>20</v>
      </c>
      <c r="G1054" s="4">
        <v>3</v>
      </c>
      <c r="H1054" s="1">
        <v>96020</v>
      </c>
      <c r="I1054" s="3" t="s">
        <v>21</v>
      </c>
      <c r="J1054" s="4">
        <v>1</v>
      </c>
    </row>
    <row r="1055" spans="1:10" x14ac:dyDescent="0.35">
      <c r="A1055" s="2" t="s">
        <v>1091</v>
      </c>
      <c r="B1055" s="4">
        <v>61</v>
      </c>
      <c r="C1055" t="s">
        <v>17</v>
      </c>
      <c r="D1055" t="s">
        <v>12</v>
      </c>
      <c r="E1055" t="s">
        <v>13</v>
      </c>
      <c r="F1055" t="s">
        <v>30</v>
      </c>
      <c r="G1055" s="4">
        <v>4</v>
      </c>
      <c r="H1055" s="1">
        <v>20858</v>
      </c>
      <c r="I1055" s="3" t="s">
        <v>15</v>
      </c>
      <c r="J1055" s="4">
        <v>2</v>
      </c>
    </row>
    <row r="1056" spans="1:10" x14ac:dyDescent="0.35">
      <c r="A1056" s="2" t="s">
        <v>1092</v>
      </c>
      <c r="B1056" s="4">
        <v>51</v>
      </c>
      <c r="C1056" t="s">
        <v>17</v>
      </c>
      <c r="D1056" t="s">
        <v>23</v>
      </c>
      <c r="E1056" t="s">
        <v>27</v>
      </c>
      <c r="F1056" t="s">
        <v>20</v>
      </c>
      <c r="G1056" s="4">
        <v>7</v>
      </c>
      <c r="H1056" s="1">
        <v>22385</v>
      </c>
      <c r="I1056" s="3" t="s">
        <v>15</v>
      </c>
      <c r="J1056" s="4">
        <v>4</v>
      </c>
    </row>
    <row r="1057" spans="1:10" x14ac:dyDescent="0.35">
      <c r="A1057" s="2" t="s">
        <v>1093</v>
      </c>
      <c r="B1057" s="4">
        <v>84</v>
      </c>
      <c r="C1057" t="s">
        <v>11</v>
      </c>
      <c r="D1057" t="s">
        <v>26</v>
      </c>
      <c r="E1057" t="s">
        <v>13</v>
      </c>
      <c r="F1057" t="s">
        <v>14</v>
      </c>
      <c r="G1057" s="4">
        <v>1</v>
      </c>
      <c r="H1057" s="1">
        <v>59701</v>
      </c>
      <c r="I1057" s="3" t="s">
        <v>21</v>
      </c>
      <c r="J1057" s="4">
        <v>3</v>
      </c>
    </row>
    <row r="1058" spans="1:10" x14ac:dyDescent="0.35">
      <c r="A1058" s="2" t="s">
        <v>1094</v>
      </c>
      <c r="B1058" s="4">
        <v>1</v>
      </c>
      <c r="C1058" t="s">
        <v>11</v>
      </c>
      <c r="D1058" t="s">
        <v>26</v>
      </c>
      <c r="E1058" t="s">
        <v>19</v>
      </c>
      <c r="F1058" t="s">
        <v>14</v>
      </c>
      <c r="G1058" s="4">
        <v>6</v>
      </c>
      <c r="H1058" s="1">
        <v>66901</v>
      </c>
      <c r="I1058" s="3" t="s">
        <v>21</v>
      </c>
      <c r="J1058" s="4">
        <v>4</v>
      </c>
    </row>
    <row r="1059" spans="1:10" x14ac:dyDescent="0.35">
      <c r="A1059" s="2" t="s">
        <v>1095</v>
      </c>
      <c r="B1059" s="4">
        <v>50</v>
      </c>
      <c r="C1059" t="s">
        <v>17</v>
      </c>
      <c r="D1059" t="s">
        <v>26</v>
      </c>
      <c r="E1059" t="s">
        <v>24</v>
      </c>
      <c r="F1059" t="s">
        <v>20</v>
      </c>
      <c r="G1059" s="4">
        <v>7</v>
      </c>
      <c r="H1059" s="1">
        <v>54946</v>
      </c>
      <c r="I1059" s="3" t="s">
        <v>21</v>
      </c>
      <c r="J1059" s="4">
        <v>5</v>
      </c>
    </row>
    <row r="1060" spans="1:10" x14ac:dyDescent="0.35">
      <c r="A1060" s="2" t="s">
        <v>1096</v>
      </c>
      <c r="B1060" s="4">
        <v>29</v>
      </c>
      <c r="C1060" t="s">
        <v>11</v>
      </c>
      <c r="D1060" t="s">
        <v>26</v>
      </c>
      <c r="E1060" t="s">
        <v>13</v>
      </c>
      <c r="F1060" t="s">
        <v>14</v>
      </c>
      <c r="G1060" s="4">
        <v>10</v>
      </c>
      <c r="H1060" s="1">
        <v>17595</v>
      </c>
      <c r="I1060" s="3" t="s">
        <v>15</v>
      </c>
      <c r="J1060" s="4">
        <v>1</v>
      </c>
    </row>
    <row r="1061" spans="1:10" x14ac:dyDescent="0.35">
      <c r="A1061" s="2" t="s">
        <v>1097</v>
      </c>
      <c r="B1061" s="4">
        <v>52</v>
      </c>
      <c r="C1061" t="s">
        <v>11</v>
      </c>
      <c r="D1061" t="s">
        <v>12</v>
      </c>
      <c r="E1061" t="s">
        <v>34</v>
      </c>
      <c r="F1061" t="s">
        <v>20</v>
      </c>
      <c r="G1061" s="4">
        <v>11</v>
      </c>
      <c r="H1061" s="1">
        <v>24569</v>
      </c>
      <c r="I1061" s="3" t="s">
        <v>15</v>
      </c>
      <c r="J1061" s="4">
        <v>1</v>
      </c>
    </row>
    <row r="1062" spans="1:10" x14ac:dyDescent="0.35">
      <c r="A1062" s="2" t="s">
        <v>1098</v>
      </c>
      <c r="B1062" s="4">
        <v>8</v>
      </c>
      <c r="C1062" t="s">
        <v>17</v>
      </c>
      <c r="D1062" t="s">
        <v>49</v>
      </c>
      <c r="E1062" t="s">
        <v>34</v>
      </c>
      <c r="F1062" t="s">
        <v>20</v>
      </c>
      <c r="G1062" s="4">
        <v>12</v>
      </c>
      <c r="H1062" s="1">
        <v>25441</v>
      </c>
      <c r="I1062" s="3" t="s">
        <v>15</v>
      </c>
      <c r="J1062" s="4">
        <v>1</v>
      </c>
    </row>
    <row r="1063" spans="1:10" x14ac:dyDescent="0.35">
      <c r="A1063" s="2" t="s">
        <v>1099</v>
      </c>
      <c r="B1063" s="4">
        <v>47</v>
      </c>
      <c r="C1063" t="s">
        <v>17</v>
      </c>
      <c r="D1063" t="s">
        <v>41</v>
      </c>
      <c r="E1063" t="s">
        <v>29</v>
      </c>
      <c r="F1063" t="s">
        <v>20</v>
      </c>
      <c r="G1063" s="4">
        <v>1</v>
      </c>
      <c r="H1063" s="1">
        <v>24336</v>
      </c>
      <c r="I1063" s="3" t="s">
        <v>21</v>
      </c>
      <c r="J1063" s="4">
        <v>3</v>
      </c>
    </row>
    <row r="1064" spans="1:10" x14ac:dyDescent="0.35">
      <c r="A1064" s="2" t="s">
        <v>1100</v>
      </c>
      <c r="B1064" s="4">
        <v>84</v>
      </c>
      <c r="C1064" t="s">
        <v>17</v>
      </c>
      <c r="D1064" t="s">
        <v>49</v>
      </c>
      <c r="E1064" t="s">
        <v>37</v>
      </c>
      <c r="F1064" t="s">
        <v>20</v>
      </c>
      <c r="G1064" s="4">
        <v>7</v>
      </c>
      <c r="H1064" s="1">
        <v>6706</v>
      </c>
      <c r="I1064" s="3" t="s">
        <v>21</v>
      </c>
      <c r="J1064" s="4">
        <v>3</v>
      </c>
    </row>
    <row r="1065" spans="1:10" x14ac:dyDescent="0.35">
      <c r="A1065" s="2" t="s">
        <v>1101</v>
      </c>
      <c r="B1065" s="4">
        <v>14</v>
      </c>
      <c r="C1065" t="s">
        <v>17</v>
      </c>
      <c r="D1065" t="s">
        <v>33</v>
      </c>
      <c r="E1065" t="s">
        <v>13</v>
      </c>
      <c r="F1065" t="s">
        <v>14</v>
      </c>
      <c r="G1065" s="4">
        <v>5</v>
      </c>
      <c r="H1065" s="1">
        <v>21686</v>
      </c>
      <c r="I1065" s="3" t="s">
        <v>21</v>
      </c>
      <c r="J1065" s="4">
        <v>3</v>
      </c>
    </row>
    <row r="1066" spans="1:10" x14ac:dyDescent="0.35">
      <c r="A1066" s="2" t="s">
        <v>1102</v>
      </c>
      <c r="B1066" s="4">
        <v>81</v>
      </c>
      <c r="C1066" t="s">
        <v>17</v>
      </c>
      <c r="D1066" t="s">
        <v>26</v>
      </c>
      <c r="E1066" t="s">
        <v>53</v>
      </c>
      <c r="F1066" t="s">
        <v>14</v>
      </c>
      <c r="G1066" s="4">
        <v>11</v>
      </c>
      <c r="H1066" s="1">
        <v>72737</v>
      </c>
      <c r="I1066" s="3" t="s">
        <v>21</v>
      </c>
      <c r="J1066" s="4">
        <v>1</v>
      </c>
    </row>
    <row r="1067" spans="1:10" x14ac:dyDescent="0.35">
      <c r="A1067" s="2" t="s">
        <v>1103</v>
      </c>
      <c r="B1067" s="4">
        <v>26</v>
      </c>
      <c r="C1067" t="s">
        <v>11</v>
      </c>
      <c r="D1067" t="s">
        <v>39</v>
      </c>
      <c r="E1067" t="s">
        <v>27</v>
      </c>
      <c r="F1067" t="s">
        <v>14</v>
      </c>
      <c r="G1067" s="4">
        <v>13</v>
      </c>
      <c r="H1067" s="1">
        <v>42924</v>
      </c>
      <c r="I1067" s="3" t="s">
        <v>15</v>
      </c>
      <c r="J1067" s="4">
        <v>3</v>
      </c>
    </row>
    <row r="1068" spans="1:10" x14ac:dyDescent="0.35">
      <c r="A1068" s="2" t="s">
        <v>1104</v>
      </c>
      <c r="B1068" s="4">
        <v>53</v>
      </c>
      <c r="C1068" t="s">
        <v>17</v>
      </c>
      <c r="D1068" t="s">
        <v>23</v>
      </c>
      <c r="E1068" t="s">
        <v>19</v>
      </c>
      <c r="F1068" t="s">
        <v>20</v>
      </c>
      <c r="G1068" s="4">
        <v>14</v>
      </c>
      <c r="H1068" s="1">
        <v>97329</v>
      </c>
      <c r="I1068" s="3" t="s">
        <v>15</v>
      </c>
      <c r="J1068" s="4">
        <v>3</v>
      </c>
    </row>
    <row r="1069" spans="1:10" x14ac:dyDescent="0.35">
      <c r="A1069" s="2" t="s">
        <v>1105</v>
      </c>
      <c r="B1069" s="4">
        <v>86</v>
      </c>
      <c r="C1069" t="s">
        <v>11</v>
      </c>
      <c r="D1069" t="s">
        <v>26</v>
      </c>
      <c r="E1069" t="s">
        <v>34</v>
      </c>
      <c r="F1069" t="s">
        <v>20</v>
      </c>
      <c r="G1069" s="4">
        <v>7</v>
      </c>
      <c r="H1069" s="1">
        <v>24135</v>
      </c>
      <c r="I1069" s="3" t="s">
        <v>21</v>
      </c>
      <c r="J1069" s="4">
        <v>3</v>
      </c>
    </row>
    <row r="1070" spans="1:10" x14ac:dyDescent="0.35">
      <c r="A1070" s="2" t="s">
        <v>1106</v>
      </c>
      <c r="B1070" s="4">
        <v>21</v>
      </c>
      <c r="C1070" t="s">
        <v>11</v>
      </c>
      <c r="D1070" t="s">
        <v>39</v>
      </c>
      <c r="E1070" t="s">
        <v>29</v>
      </c>
      <c r="F1070" t="s">
        <v>30</v>
      </c>
      <c r="G1070" s="4">
        <v>2</v>
      </c>
      <c r="H1070" s="1">
        <v>84553</v>
      </c>
      <c r="I1070" s="3" t="s">
        <v>21</v>
      </c>
      <c r="J1070" s="4">
        <v>3</v>
      </c>
    </row>
    <row r="1071" spans="1:10" x14ac:dyDescent="0.35">
      <c r="A1071" s="2" t="s">
        <v>1107</v>
      </c>
      <c r="B1071" s="4">
        <v>86</v>
      </c>
      <c r="C1071" t="s">
        <v>11</v>
      </c>
      <c r="D1071" t="s">
        <v>41</v>
      </c>
      <c r="E1071" t="s">
        <v>65</v>
      </c>
      <c r="F1071" t="s">
        <v>20</v>
      </c>
      <c r="G1071" s="4">
        <v>2</v>
      </c>
      <c r="H1071" s="1">
        <v>15741</v>
      </c>
      <c r="I1071" s="3" t="s">
        <v>15</v>
      </c>
      <c r="J1071" s="4">
        <v>4</v>
      </c>
    </row>
    <row r="1072" spans="1:10" x14ac:dyDescent="0.35">
      <c r="A1072" s="2" t="s">
        <v>1108</v>
      </c>
      <c r="B1072" s="4">
        <v>81</v>
      </c>
      <c r="C1072" t="s">
        <v>17</v>
      </c>
      <c r="D1072" t="s">
        <v>23</v>
      </c>
      <c r="E1072" t="s">
        <v>27</v>
      </c>
      <c r="F1072" t="s">
        <v>14</v>
      </c>
      <c r="G1072" s="4">
        <v>1</v>
      </c>
      <c r="H1072" s="1">
        <v>74154</v>
      </c>
      <c r="I1072" s="3" t="s">
        <v>21</v>
      </c>
      <c r="J1072" s="4">
        <v>3</v>
      </c>
    </row>
    <row r="1073" spans="1:10" x14ac:dyDescent="0.35">
      <c r="A1073" s="2" t="s">
        <v>1109</v>
      </c>
      <c r="B1073" s="4">
        <v>4</v>
      </c>
      <c r="C1073" t="s">
        <v>17</v>
      </c>
      <c r="D1073" t="s">
        <v>39</v>
      </c>
      <c r="E1073" t="s">
        <v>19</v>
      </c>
      <c r="F1073" t="s">
        <v>30</v>
      </c>
      <c r="G1073" s="4">
        <v>2</v>
      </c>
      <c r="H1073" s="1">
        <v>22869</v>
      </c>
      <c r="I1073" s="3" t="s">
        <v>21</v>
      </c>
      <c r="J1073" s="4">
        <v>2</v>
      </c>
    </row>
    <row r="1074" spans="1:10" x14ac:dyDescent="0.35">
      <c r="A1074" s="2" t="s">
        <v>1110</v>
      </c>
      <c r="B1074" s="4">
        <v>48</v>
      </c>
      <c r="C1074" t="s">
        <v>11</v>
      </c>
      <c r="D1074" t="s">
        <v>18</v>
      </c>
      <c r="E1074" t="s">
        <v>34</v>
      </c>
      <c r="F1074" t="s">
        <v>20</v>
      </c>
      <c r="G1074" s="4">
        <v>14</v>
      </c>
      <c r="H1074" s="1">
        <v>15540</v>
      </c>
      <c r="I1074" s="3" t="s">
        <v>21</v>
      </c>
      <c r="J1074" s="4">
        <v>5</v>
      </c>
    </row>
    <row r="1075" spans="1:10" x14ac:dyDescent="0.35">
      <c r="A1075" s="2" t="s">
        <v>1111</v>
      </c>
      <c r="B1075" s="4">
        <v>42</v>
      </c>
      <c r="C1075" t="s">
        <v>17</v>
      </c>
      <c r="D1075" t="s">
        <v>36</v>
      </c>
      <c r="E1075" t="s">
        <v>19</v>
      </c>
      <c r="F1075" t="s">
        <v>14</v>
      </c>
      <c r="G1075" s="4">
        <v>5</v>
      </c>
      <c r="H1075" s="1">
        <v>95459</v>
      </c>
      <c r="I1075" s="3" t="s">
        <v>15</v>
      </c>
      <c r="J1075" s="4">
        <v>1</v>
      </c>
    </row>
    <row r="1076" spans="1:10" x14ac:dyDescent="0.35">
      <c r="A1076" s="2" t="s">
        <v>1112</v>
      </c>
      <c r="B1076" s="4">
        <v>25</v>
      </c>
      <c r="C1076" t="s">
        <v>17</v>
      </c>
      <c r="D1076" t="s">
        <v>36</v>
      </c>
      <c r="E1076" t="s">
        <v>37</v>
      </c>
      <c r="F1076" t="s">
        <v>14</v>
      </c>
      <c r="G1076" s="4">
        <v>4</v>
      </c>
      <c r="H1076" s="1">
        <v>35870</v>
      </c>
      <c r="I1076" s="3" t="s">
        <v>21</v>
      </c>
      <c r="J1076" s="4">
        <v>4</v>
      </c>
    </row>
    <row r="1077" spans="1:10" x14ac:dyDescent="0.35">
      <c r="A1077" s="2" t="s">
        <v>1113</v>
      </c>
      <c r="B1077" s="4">
        <v>4</v>
      </c>
      <c r="C1077" t="s">
        <v>17</v>
      </c>
      <c r="D1077" t="s">
        <v>23</v>
      </c>
      <c r="E1077" t="s">
        <v>24</v>
      </c>
      <c r="F1077" t="s">
        <v>30</v>
      </c>
      <c r="G1077" s="4">
        <v>1</v>
      </c>
      <c r="H1077" s="1">
        <v>85934</v>
      </c>
      <c r="I1077" s="3" t="s">
        <v>21</v>
      </c>
      <c r="J1077" s="4">
        <v>3</v>
      </c>
    </row>
    <row r="1078" spans="1:10" x14ac:dyDescent="0.35">
      <c r="A1078" s="2" t="s">
        <v>1114</v>
      </c>
      <c r="B1078" s="4">
        <v>64</v>
      </c>
      <c r="C1078" t="s">
        <v>17</v>
      </c>
      <c r="D1078" t="s">
        <v>12</v>
      </c>
      <c r="E1078" t="s">
        <v>53</v>
      </c>
      <c r="F1078" t="s">
        <v>20</v>
      </c>
      <c r="G1078" s="4">
        <v>4</v>
      </c>
      <c r="H1078" s="1">
        <v>76669</v>
      </c>
      <c r="I1078" s="3" t="s">
        <v>21</v>
      </c>
      <c r="J1078" s="4">
        <v>1</v>
      </c>
    </row>
    <row r="1079" spans="1:10" x14ac:dyDescent="0.35">
      <c r="A1079" s="2" t="s">
        <v>1115</v>
      </c>
      <c r="B1079" s="4">
        <v>72</v>
      </c>
      <c r="C1079" t="s">
        <v>17</v>
      </c>
      <c r="D1079" t="s">
        <v>28</v>
      </c>
      <c r="E1079" t="s">
        <v>37</v>
      </c>
      <c r="F1079" t="s">
        <v>30</v>
      </c>
      <c r="G1079" s="4">
        <v>13</v>
      </c>
      <c r="H1079" s="1">
        <v>89038</v>
      </c>
      <c r="I1079" s="3" t="s">
        <v>21</v>
      </c>
      <c r="J1079" s="4">
        <v>5</v>
      </c>
    </row>
    <row r="1080" spans="1:10" x14ac:dyDescent="0.35">
      <c r="A1080" s="2" t="s">
        <v>1116</v>
      </c>
      <c r="B1080" s="4">
        <v>77</v>
      </c>
      <c r="C1080" t="s">
        <v>17</v>
      </c>
      <c r="D1080" t="s">
        <v>41</v>
      </c>
      <c r="E1080" t="s">
        <v>65</v>
      </c>
      <c r="F1080" t="s">
        <v>14</v>
      </c>
      <c r="G1080" s="4">
        <v>8</v>
      </c>
      <c r="H1080" s="1">
        <v>68458</v>
      </c>
      <c r="I1080" s="3" t="s">
        <v>15</v>
      </c>
      <c r="J1080" s="4">
        <v>2</v>
      </c>
    </row>
    <row r="1081" spans="1:10" x14ac:dyDescent="0.35">
      <c r="A1081" s="2" t="s">
        <v>1117</v>
      </c>
      <c r="B1081" s="4">
        <v>20</v>
      </c>
      <c r="C1081" t="s">
        <v>17</v>
      </c>
      <c r="D1081" t="s">
        <v>12</v>
      </c>
      <c r="E1081" t="s">
        <v>27</v>
      </c>
      <c r="F1081" t="s">
        <v>30</v>
      </c>
      <c r="G1081" s="4">
        <v>15</v>
      </c>
      <c r="H1081" s="1">
        <v>88753</v>
      </c>
      <c r="I1081" s="3" t="s">
        <v>15</v>
      </c>
      <c r="J1081" s="4">
        <v>3</v>
      </c>
    </row>
    <row r="1082" spans="1:10" x14ac:dyDescent="0.35">
      <c r="A1082" s="2" t="s">
        <v>1118</v>
      </c>
      <c r="B1082" s="4">
        <v>64</v>
      </c>
      <c r="C1082" t="s">
        <v>17</v>
      </c>
      <c r="D1082" t="s">
        <v>12</v>
      </c>
      <c r="E1082" t="s">
        <v>24</v>
      </c>
      <c r="F1082" t="s">
        <v>14</v>
      </c>
      <c r="G1082" s="4">
        <v>10</v>
      </c>
      <c r="H1082" s="1">
        <v>81891</v>
      </c>
      <c r="I1082" s="3" t="s">
        <v>21</v>
      </c>
      <c r="J1082" s="4">
        <v>1</v>
      </c>
    </row>
    <row r="1083" spans="1:10" x14ac:dyDescent="0.35">
      <c r="A1083" s="2" t="s">
        <v>1119</v>
      </c>
      <c r="B1083" s="4">
        <v>10</v>
      </c>
      <c r="C1083" t="s">
        <v>17</v>
      </c>
      <c r="D1083" t="s">
        <v>49</v>
      </c>
      <c r="E1083" t="s">
        <v>19</v>
      </c>
      <c r="F1083" t="s">
        <v>20</v>
      </c>
      <c r="G1083" s="4">
        <v>12</v>
      </c>
      <c r="H1083" s="1">
        <v>51974</v>
      </c>
      <c r="I1083" s="3" t="s">
        <v>21</v>
      </c>
      <c r="J1083" s="4">
        <v>3</v>
      </c>
    </row>
    <row r="1084" spans="1:10" x14ac:dyDescent="0.35">
      <c r="A1084" s="2" t="s">
        <v>1120</v>
      </c>
      <c r="B1084" s="4">
        <v>65</v>
      </c>
      <c r="C1084" t="s">
        <v>17</v>
      </c>
      <c r="D1084" t="s">
        <v>28</v>
      </c>
      <c r="E1084" t="s">
        <v>19</v>
      </c>
      <c r="F1084" t="s">
        <v>14</v>
      </c>
      <c r="G1084" s="4">
        <v>5</v>
      </c>
      <c r="H1084" s="1">
        <v>14718</v>
      </c>
      <c r="I1084" s="3" t="s">
        <v>21</v>
      </c>
      <c r="J1084" s="4">
        <v>3</v>
      </c>
    </row>
    <row r="1085" spans="1:10" x14ac:dyDescent="0.35">
      <c r="A1085" s="2" t="s">
        <v>1121</v>
      </c>
      <c r="B1085" s="4">
        <v>39</v>
      </c>
      <c r="C1085" t="s">
        <v>11</v>
      </c>
      <c r="D1085" t="s">
        <v>33</v>
      </c>
      <c r="E1085" t="s">
        <v>27</v>
      </c>
      <c r="F1085" t="s">
        <v>20</v>
      </c>
      <c r="G1085" s="4">
        <v>5</v>
      </c>
      <c r="H1085" s="1">
        <v>97181</v>
      </c>
      <c r="I1085" s="3" t="s">
        <v>15</v>
      </c>
      <c r="J1085" s="4">
        <v>1</v>
      </c>
    </row>
    <row r="1086" spans="1:10" x14ac:dyDescent="0.35">
      <c r="A1086" s="2" t="s">
        <v>1122</v>
      </c>
      <c r="B1086" s="4">
        <v>60</v>
      </c>
      <c r="C1086" t="s">
        <v>11</v>
      </c>
      <c r="D1086" t="s">
        <v>12</v>
      </c>
      <c r="E1086" t="s">
        <v>34</v>
      </c>
      <c r="F1086" t="s">
        <v>30</v>
      </c>
      <c r="G1086" s="4">
        <v>12</v>
      </c>
      <c r="H1086" s="1">
        <v>54237</v>
      </c>
      <c r="I1086" s="3" t="s">
        <v>21</v>
      </c>
      <c r="J1086" s="4">
        <v>4</v>
      </c>
    </row>
    <row r="1087" spans="1:10" x14ac:dyDescent="0.35">
      <c r="A1087" s="2" t="s">
        <v>1123</v>
      </c>
      <c r="B1087" s="4">
        <v>71</v>
      </c>
      <c r="C1087" t="s">
        <v>11</v>
      </c>
      <c r="D1087" t="s">
        <v>49</v>
      </c>
      <c r="E1087" t="s">
        <v>13</v>
      </c>
      <c r="F1087" t="s">
        <v>14</v>
      </c>
      <c r="G1087" s="4">
        <v>12</v>
      </c>
      <c r="H1087" s="1">
        <v>43172</v>
      </c>
      <c r="I1087" s="3" t="s">
        <v>15</v>
      </c>
      <c r="J1087" s="4">
        <v>3</v>
      </c>
    </row>
    <row r="1088" spans="1:10" x14ac:dyDescent="0.35">
      <c r="A1088" s="2" t="s">
        <v>1124</v>
      </c>
      <c r="B1088" s="4">
        <v>86</v>
      </c>
      <c r="C1088" t="s">
        <v>17</v>
      </c>
      <c r="D1088" t="s">
        <v>49</v>
      </c>
      <c r="E1088" t="s">
        <v>37</v>
      </c>
      <c r="F1088" t="s">
        <v>20</v>
      </c>
      <c r="G1088" s="4">
        <v>6</v>
      </c>
      <c r="H1088" s="1">
        <v>37053</v>
      </c>
      <c r="I1088" s="3" t="s">
        <v>15</v>
      </c>
      <c r="J1088" s="4">
        <v>2</v>
      </c>
    </row>
    <row r="1089" spans="1:10" x14ac:dyDescent="0.35">
      <c r="A1089" s="2" t="s">
        <v>1125</v>
      </c>
      <c r="B1089" s="4">
        <v>72</v>
      </c>
      <c r="C1089" t="s">
        <v>17</v>
      </c>
      <c r="D1089" t="s">
        <v>12</v>
      </c>
      <c r="E1089" t="s">
        <v>42</v>
      </c>
      <c r="F1089" t="s">
        <v>20</v>
      </c>
      <c r="G1089" s="4">
        <v>15</v>
      </c>
      <c r="H1089" s="1">
        <v>77509</v>
      </c>
      <c r="I1089" s="3" t="s">
        <v>15</v>
      </c>
      <c r="J1089" s="4">
        <v>4</v>
      </c>
    </row>
    <row r="1090" spans="1:10" x14ac:dyDescent="0.35">
      <c r="A1090" s="2" t="s">
        <v>1126</v>
      </c>
      <c r="B1090" s="4">
        <v>78</v>
      </c>
      <c r="C1090" t="s">
        <v>17</v>
      </c>
      <c r="D1090" t="s">
        <v>36</v>
      </c>
      <c r="E1090" t="s">
        <v>29</v>
      </c>
      <c r="F1090" t="s">
        <v>20</v>
      </c>
      <c r="G1090" s="4">
        <v>12</v>
      </c>
      <c r="H1090" s="1">
        <v>33658</v>
      </c>
      <c r="I1090" s="3" t="s">
        <v>21</v>
      </c>
      <c r="J1090" s="4">
        <v>2</v>
      </c>
    </row>
    <row r="1091" spans="1:10" x14ac:dyDescent="0.35">
      <c r="A1091" s="2" t="s">
        <v>1127</v>
      </c>
      <c r="B1091" s="4">
        <v>19</v>
      </c>
      <c r="C1091" t="s">
        <v>11</v>
      </c>
      <c r="D1091" t="s">
        <v>49</v>
      </c>
      <c r="E1091" t="s">
        <v>65</v>
      </c>
      <c r="F1091" t="s">
        <v>30</v>
      </c>
      <c r="G1091" s="4">
        <v>12</v>
      </c>
      <c r="H1091" s="1">
        <v>9145</v>
      </c>
      <c r="I1091" s="3" t="s">
        <v>21</v>
      </c>
      <c r="J1091" s="4">
        <v>5</v>
      </c>
    </row>
    <row r="1092" spans="1:10" x14ac:dyDescent="0.35">
      <c r="A1092" s="2" t="s">
        <v>1128</v>
      </c>
      <c r="B1092" s="4">
        <v>31</v>
      </c>
      <c r="C1092" t="s">
        <v>17</v>
      </c>
      <c r="D1092" t="s">
        <v>41</v>
      </c>
      <c r="E1092" t="s">
        <v>13</v>
      </c>
      <c r="F1092" t="s">
        <v>20</v>
      </c>
      <c r="G1092" s="4">
        <v>6</v>
      </c>
      <c r="H1092" s="1">
        <v>27560</v>
      </c>
      <c r="I1092" s="3" t="s">
        <v>21</v>
      </c>
      <c r="J1092" s="4">
        <v>5</v>
      </c>
    </row>
    <row r="1093" spans="1:10" x14ac:dyDescent="0.35">
      <c r="A1093" s="2" t="s">
        <v>1129</v>
      </c>
      <c r="B1093" s="4">
        <v>38</v>
      </c>
      <c r="C1093" t="s">
        <v>17</v>
      </c>
      <c r="D1093" t="s">
        <v>36</v>
      </c>
      <c r="E1093" t="s">
        <v>42</v>
      </c>
      <c r="F1093" t="s">
        <v>14</v>
      </c>
      <c r="G1093" s="4">
        <v>11</v>
      </c>
      <c r="H1093" s="1">
        <v>92417</v>
      </c>
      <c r="I1093" s="3" t="s">
        <v>21</v>
      </c>
      <c r="J1093" s="4">
        <v>1</v>
      </c>
    </row>
    <row r="1094" spans="1:10" x14ac:dyDescent="0.35">
      <c r="A1094" s="2" t="s">
        <v>1130</v>
      </c>
      <c r="B1094" s="4">
        <v>35</v>
      </c>
      <c r="C1094" t="s">
        <v>17</v>
      </c>
      <c r="D1094" t="s">
        <v>41</v>
      </c>
      <c r="E1094" t="s">
        <v>13</v>
      </c>
      <c r="F1094" t="s">
        <v>20</v>
      </c>
      <c r="G1094" s="4">
        <v>6</v>
      </c>
      <c r="H1094" s="1">
        <v>33724</v>
      </c>
      <c r="I1094" s="3" t="s">
        <v>21</v>
      </c>
      <c r="J1094" s="4">
        <v>1</v>
      </c>
    </row>
    <row r="1095" spans="1:10" x14ac:dyDescent="0.35">
      <c r="A1095" s="2" t="s">
        <v>1131</v>
      </c>
      <c r="B1095" s="4">
        <v>49</v>
      </c>
      <c r="C1095" t="s">
        <v>11</v>
      </c>
      <c r="D1095" t="s">
        <v>33</v>
      </c>
      <c r="E1095" t="s">
        <v>29</v>
      </c>
      <c r="F1095" t="s">
        <v>14</v>
      </c>
      <c r="G1095" s="4">
        <v>12</v>
      </c>
      <c r="H1095" s="1">
        <v>93811</v>
      </c>
      <c r="I1095" s="3" t="s">
        <v>21</v>
      </c>
      <c r="J1095" s="4">
        <v>3</v>
      </c>
    </row>
    <row r="1096" spans="1:10" x14ac:dyDescent="0.35">
      <c r="A1096" s="2" t="s">
        <v>1132</v>
      </c>
      <c r="B1096" s="4">
        <v>11</v>
      </c>
      <c r="C1096" t="s">
        <v>11</v>
      </c>
      <c r="D1096" t="s">
        <v>49</v>
      </c>
      <c r="E1096" t="s">
        <v>24</v>
      </c>
      <c r="F1096" t="s">
        <v>30</v>
      </c>
      <c r="G1096" s="4">
        <v>2</v>
      </c>
      <c r="H1096" s="1">
        <v>80413</v>
      </c>
      <c r="I1096" s="3" t="s">
        <v>15</v>
      </c>
      <c r="J1096" s="4">
        <v>1</v>
      </c>
    </row>
    <row r="1097" spans="1:10" x14ac:dyDescent="0.35">
      <c r="A1097" s="2" t="s">
        <v>1133</v>
      </c>
      <c r="B1097" s="4">
        <v>13</v>
      </c>
      <c r="C1097" t="s">
        <v>11</v>
      </c>
      <c r="D1097" t="s">
        <v>36</v>
      </c>
      <c r="E1097" t="s">
        <v>19</v>
      </c>
      <c r="F1097" t="s">
        <v>14</v>
      </c>
      <c r="G1097" s="4">
        <v>10</v>
      </c>
      <c r="H1097" s="1">
        <v>64747</v>
      </c>
      <c r="I1097" s="3" t="s">
        <v>21</v>
      </c>
      <c r="J1097" s="4">
        <v>4</v>
      </c>
    </row>
    <row r="1098" spans="1:10" x14ac:dyDescent="0.35">
      <c r="A1098" s="2" t="s">
        <v>1134</v>
      </c>
      <c r="B1098" s="4">
        <v>8</v>
      </c>
      <c r="C1098" t="s">
        <v>17</v>
      </c>
      <c r="D1098" t="s">
        <v>36</v>
      </c>
      <c r="E1098" t="s">
        <v>53</v>
      </c>
      <c r="F1098" t="s">
        <v>14</v>
      </c>
      <c r="G1098" s="4">
        <v>9</v>
      </c>
      <c r="H1098" s="1">
        <v>94329</v>
      </c>
      <c r="I1098" s="3" t="s">
        <v>15</v>
      </c>
      <c r="J1098" s="4">
        <v>3</v>
      </c>
    </row>
    <row r="1099" spans="1:10" x14ac:dyDescent="0.35">
      <c r="A1099" s="2" t="s">
        <v>1135</v>
      </c>
      <c r="B1099" s="4">
        <v>37</v>
      </c>
      <c r="C1099" t="s">
        <v>17</v>
      </c>
      <c r="D1099" t="s">
        <v>23</v>
      </c>
      <c r="E1099" t="s">
        <v>34</v>
      </c>
      <c r="F1099" t="s">
        <v>14</v>
      </c>
      <c r="G1099" s="4">
        <v>3</v>
      </c>
      <c r="H1099" s="1">
        <v>68232</v>
      </c>
      <c r="I1099" s="3" t="s">
        <v>21</v>
      </c>
      <c r="J1099" s="4">
        <v>5</v>
      </c>
    </row>
    <row r="1100" spans="1:10" x14ac:dyDescent="0.35">
      <c r="A1100" s="2" t="s">
        <v>1136</v>
      </c>
      <c r="B1100" s="4">
        <v>53</v>
      </c>
      <c r="C1100" t="s">
        <v>11</v>
      </c>
      <c r="D1100" t="s">
        <v>28</v>
      </c>
      <c r="E1100" t="s">
        <v>13</v>
      </c>
      <c r="F1100" t="s">
        <v>14</v>
      </c>
      <c r="G1100" s="4">
        <v>2</v>
      </c>
      <c r="H1100" s="1">
        <v>60680</v>
      </c>
      <c r="I1100" s="3" t="s">
        <v>15</v>
      </c>
      <c r="J1100" s="4">
        <v>5</v>
      </c>
    </row>
    <row r="1101" spans="1:10" x14ac:dyDescent="0.35">
      <c r="A1101" s="2" t="s">
        <v>1137</v>
      </c>
      <c r="B1101" s="4">
        <v>21</v>
      </c>
      <c r="C1101" t="s">
        <v>17</v>
      </c>
      <c r="D1101" t="s">
        <v>33</v>
      </c>
      <c r="E1101" t="s">
        <v>24</v>
      </c>
      <c r="F1101" t="s">
        <v>20</v>
      </c>
      <c r="G1101" s="4">
        <v>11</v>
      </c>
      <c r="H1101" s="1">
        <v>92489</v>
      </c>
      <c r="I1101" s="3" t="s">
        <v>15</v>
      </c>
      <c r="J1101" s="4">
        <v>1</v>
      </c>
    </row>
    <row r="1102" spans="1:10" x14ac:dyDescent="0.35">
      <c r="A1102" s="2" t="s">
        <v>1138</v>
      </c>
      <c r="B1102" s="4">
        <v>64</v>
      </c>
      <c r="C1102" t="s">
        <v>11</v>
      </c>
      <c r="D1102" t="s">
        <v>18</v>
      </c>
      <c r="E1102" t="s">
        <v>27</v>
      </c>
      <c r="F1102" t="s">
        <v>20</v>
      </c>
      <c r="G1102" s="4">
        <v>6</v>
      </c>
      <c r="H1102" s="1">
        <v>29126</v>
      </c>
      <c r="I1102" s="3" t="s">
        <v>15</v>
      </c>
      <c r="J1102" s="4">
        <v>1</v>
      </c>
    </row>
    <row r="1103" spans="1:10" x14ac:dyDescent="0.35">
      <c r="A1103" s="2" t="s">
        <v>1139</v>
      </c>
      <c r="B1103" s="4">
        <v>41</v>
      </c>
      <c r="C1103" t="s">
        <v>17</v>
      </c>
      <c r="D1103" t="s">
        <v>18</v>
      </c>
      <c r="E1103" t="s">
        <v>53</v>
      </c>
      <c r="F1103" t="s">
        <v>14</v>
      </c>
      <c r="G1103" s="4">
        <v>7</v>
      </c>
      <c r="H1103" s="1">
        <v>78292</v>
      </c>
      <c r="I1103" s="3" t="s">
        <v>21</v>
      </c>
      <c r="J1103" s="4">
        <v>1</v>
      </c>
    </row>
    <row r="1104" spans="1:10" x14ac:dyDescent="0.35">
      <c r="A1104" s="2" t="s">
        <v>1140</v>
      </c>
      <c r="B1104" s="4">
        <v>79</v>
      </c>
      <c r="C1104" t="s">
        <v>17</v>
      </c>
      <c r="D1104" t="s">
        <v>36</v>
      </c>
      <c r="E1104" t="s">
        <v>24</v>
      </c>
      <c r="F1104" t="s">
        <v>30</v>
      </c>
      <c r="G1104" s="4">
        <v>8</v>
      </c>
      <c r="H1104" s="1">
        <v>37490</v>
      </c>
      <c r="I1104" s="3" t="s">
        <v>21</v>
      </c>
      <c r="J1104" s="4">
        <v>1</v>
      </c>
    </row>
    <row r="1105" spans="1:10" x14ac:dyDescent="0.35">
      <c r="A1105" s="2" t="s">
        <v>1141</v>
      </c>
      <c r="B1105" s="4">
        <v>57</v>
      </c>
      <c r="C1105" t="s">
        <v>11</v>
      </c>
      <c r="D1105" t="s">
        <v>23</v>
      </c>
      <c r="E1105" t="s">
        <v>24</v>
      </c>
      <c r="F1105" t="s">
        <v>20</v>
      </c>
      <c r="G1105" s="4">
        <v>15</v>
      </c>
      <c r="H1105" s="1">
        <v>96373</v>
      </c>
      <c r="I1105" s="3" t="s">
        <v>21</v>
      </c>
      <c r="J1105" s="4">
        <v>4</v>
      </c>
    </row>
    <row r="1106" spans="1:10" x14ac:dyDescent="0.35">
      <c r="A1106" s="2" t="s">
        <v>1142</v>
      </c>
      <c r="B1106" s="4">
        <v>70</v>
      </c>
      <c r="C1106" t="s">
        <v>17</v>
      </c>
      <c r="D1106" t="s">
        <v>39</v>
      </c>
      <c r="E1106" t="s">
        <v>34</v>
      </c>
      <c r="F1106" t="s">
        <v>30</v>
      </c>
      <c r="G1106" s="4">
        <v>2</v>
      </c>
      <c r="H1106" s="1">
        <v>28222</v>
      </c>
      <c r="I1106" s="3" t="s">
        <v>15</v>
      </c>
      <c r="J1106" s="4">
        <v>4</v>
      </c>
    </row>
    <row r="1107" spans="1:10" x14ac:dyDescent="0.35">
      <c r="A1107" s="2" t="s">
        <v>1143</v>
      </c>
      <c r="B1107" s="4">
        <v>79</v>
      </c>
      <c r="C1107" t="s">
        <v>17</v>
      </c>
      <c r="D1107" t="s">
        <v>23</v>
      </c>
      <c r="E1107" t="s">
        <v>53</v>
      </c>
      <c r="F1107" t="s">
        <v>20</v>
      </c>
      <c r="G1107" s="4">
        <v>15</v>
      </c>
      <c r="H1107" s="1">
        <v>33901</v>
      </c>
      <c r="I1107" s="3" t="s">
        <v>21</v>
      </c>
      <c r="J1107" s="4">
        <v>1</v>
      </c>
    </row>
    <row r="1108" spans="1:10" x14ac:dyDescent="0.35">
      <c r="A1108" s="2" t="s">
        <v>1144</v>
      </c>
      <c r="B1108" s="4">
        <v>80</v>
      </c>
      <c r="C1108" t="s">
        <v>17</v>
      </c>
      <c r="D1108" t="s">
        <v>18</v>
      </c>
      <c r="E1108" t="s">
        <v>42</v>
      </c>
      <c r="F1108" t="s">
        <v>14</v>
      </c>
      <c r="G1108" s="4">
        <v>6</v>
      </c>
      <c r="H1108" s="1">
        <v>22875</v>
      </c>
      <c r="I1108" s="3" t="s">
        <v>15</v>
      </c>
      <c r="J1108" s="4">
        <v>1</v>
      </c>
    </row>
    <row r="1109" spans="1:10" x14ac:dyDescent="0.35">
      <c r="A1109" s="2" t="s">
        <v>1145</v>
      </c>
      <c r="B1109" s="4">
        <v>35</v>
      </c>
      <c r="C1109" t="s">
        <v>11</v>
      </c>
      <c r="D1109" t="s">
        <v>12</v>
      </c>
      <c r="E1109" t="s">
        <v>34</v>
      </c>
      <c r="F1109" t="s">
        <v>14</v>
      </c>
      <c r="G1109" s="4">
        <v>9</v>
      </c>
      <c r="H1109" s="1">
        <v>68604</v>
      </c>
      <c r="I1109" s="3" t="s">
        <v>21</v>
      </c>
      <c r="J1109" s="4">
        <v>4</v>
      </c>
    </row>
    <row r="1110" spans="1:10" x14ac:dyDescent="0.35">
      <c r="A1110" s="2" t="s">
        <v>1146</v>
      </c>
      <c r="B1110" s="4">
        <v>70</v>
      </c>
      <c r="C1110" t="s">
        <v>11</v>
      </c>
      <c r="D1110" t="s">
        <v>41</v>
      </c>
      <c r="E1110" t="s">
        <v>65</v>
      </c>
      <c r="F1110" t="s">
        <v>20</v>
      </c>
      <c r="G1110" s="4">
        <v>7</v>
      </c>
      <c r="H1110" s="1">
        <v>42853</v>
      </c>
      <c r="I1110" s="3" t="s">
        <v>21</v>
      </c>
      <c r="J1110" s="4">
        <v>3</v>
      </c>
    </row>
    <row r="1111" spans="1:10" x14ac:dyDescent="0.35">
      <c r="A1111" s="2" t="s">
        <v>1147</v>
      </c>
      <c r="B1111" s="4">
        <v>85</v>
      </c>
      <c r="C1111" t="s">
        <v>17</v>
      </c>
      <c r="D1111" t="s">
        <v>28</v>
      </c>
      <c r="E1111" t="s">
        <v>53</v>
      </c>
      <c r="F1111" t="s">
        <v>30</v>
      </c>
      <c r="G1111" s="4">
        <v>8</v>
      </c>
      <c r="H1111" s="1">
        <v>34487</v>
      </c>
      <c r="I1111" s="3" t="s">
        <v>21</v>
      </c>
      <c r="J1111" s="4">
        <v>4</v>
      </c>
    </row>
    <row r="1112" spans="1:10" x14ac:dyDescent="0.35">
      <c r="A1112" s="2" t="s">
        <v>1148</v>
      </c>
      <c r="B1112" s="4">
        <v>5</v>
      </c>
      <c r="C1112" t="s">
        <v>17</v>
      </c>
      <c r="D1112" t="s">
        <v>18</v>
      </c>
      <c r="E1112" t="s">
        <v>29</v>
      </c>
      <c r="F1112" t="s">
        <v>20</v>
      </c>
      <c r="G1112" s="4">
        <v>7</v>
      </c>
      <c r="H1112" s="1">
        <v>98440</v>
      </c>
      <c r="I1112" s="3" t="s">
        <v>15</v>
      </c>
      <c r="J1112" s="4">
        <v>2</v>
      </c>
    </row>
    <row r="1113" spans="1:10" x14ac:dyDescent="0.35">
      <c r="A1113" s="2" t="s">
        <v>1149</v>
      </c>
      <c r="B1113" s="4">
        <v>21</v>
      </c>
      <c r="C1113" t="s">
        <v>17</v>
      </c>
      <c r="D1113" t="s">
        <v>18</v>
      </c>
      <c r="E1113" t="s">
        <v>34</v>
      </c>
      <c r="F1113" t="s">
        <v>20</v>
      </c>
      <c r="G1113" s="4">
        <v>11</v>
      </c>
      <c r="H1113" s="1">
        <v>32640</v>
      </c>
      <c r="I1113" s="3" t="s">
        <v>21</v>
      </c>
      <c r="J1113" s="4">
        <v>1</v>
      </c>
    </row>
    <row r="1114" spans="1:10" x14ac:dyDescent="0.35">
      <c r="A1114" s="2" t="s">
        <v>1150</v>
      </c>
      <c r="B1114" s="4">
        <v>90</v>
      </c>
      <c r="C1114" t="s">
        <v>17</v>
      </c>
      <c r="D1114" t="s">
        <v>39</v>
      </c>
      <c r="E1114" t="s">
        <v>27</v>
      </c>
      <c r="F1114" t="s">
        <v>30</v>
      </c>
      <c r="G1114" s="4">
        <v>6</v>
      </c>
      <c r="H1114" s="1">
        <v>25728</v>
      </c>
      <c r="I1114" s="3" t="s">
        <v>15</v>
      </c>
      <c r="J1114" s="4">
        <v>4</v>
      </c>
    </row>
    <row r="1115" spans="1:10" x14ac:dyDescent="0.35">
      <c r="A1115" s="2" t="s">
        <v>1151</v>
      </c>
      <c r="B1115" s="4">
        <v>35</v>
      </c>
      <c r="C1115" t="s">
        <v>17</v>
      </c>
      <c r="D1115" t="s">
        <v>39</v>
      </c>
      <c r="E1115" t="s">
        <v>42</v>
      </c>
      <c r="F1115" t="s">
        <v>14</v>
      </c>
      <c r="G1115" s="4">
        <v>2</v>
      </c>
      <c r="H1115" s="1">
        <v>75880</v>
      </c>
      <c r="I1115" s="3" t="s">
        <v>21</v>
      </c>
      <c r="J1115" s="4">
        <v>4</v>
      </c>
    </row>
    <row r="1116" spans="1:10" x14ac:dyDescent="0.35">
      <c r="A1116" s="2" t="s">
        <v>1152</v>
      </c>
      <c r="B1116" s="4">
        <v>3</v>
      </c>
      <c r="C1116" t="s">
        <v>17</v>
      </c>
      <c r="D1116" t="s">
        <v>23</v>
      </c>
      <c r="E1116" t="s">
        <v>19</v>
      </c>
      <c r="F1116" t="s">
        <v>20</v>
      </c>
      <c r="G1116" s="4">
        <v>14</v>
      </c>
      <c r="H1116" s="1">
        <v>17442</v>
      </c>
      <c r="I1116" s="3" t="s">
        <v>15</v>
      </c>
      <c r="J1116" s="4">
        <v>1</v>
      </c>
    </row>
    <row r="1117" spans="1:10" x14ac:dyDescent="0.35">
      <c r="A1117" s="2" t="s">
        <v>1153</v>
      </c>
      <c r="B1117" s="4">
        <v>22</v>
      </c>
      <c r="C1117" t="s">
        <v>11</v>
      </c>
      <c r="D1117" t="s">
        <v>36</v>
      </c>
      <c r="E1117" t="s">
        <v>34</v>
      </c>
      <c r="F1117" t="s">
        <v>20</v>
      </c>
      <c r="G1117" s="4">
        <v>2</v>
      </c>
      <c r="H1117" s="1">
        <v>53766</v>
      </c>
      <c r="I1117" s="3" t="s">
        <v>15</v>
      </c>
      <c r="J1117" s="4">
        <v>5</v>
      </c>
    </row>
    <row r="1118" spans="1:10" x14ac:dyDescent="0.35">
      <c r="A1118" s="2" t="s">
        <v>1154</v>
      </c>
      <c r="B1118" s="4">
        <v>10</v>
      </c>
      <c r="C1118" t="s">
        <v>17</v>
      </c>
      <c r="D1118" t="s">
        <v>41</v>
      </c>
      <c r="E1118" t="s">
        <v>24</v>
      </c>
      <c r="F1118" t="s">
        <v>14</v>
      </c>
      <c r="G1118" s="4">
        <v>1</v>
      </c>
      <c r="H1118" s="1">
        <v>40116</v>
      </c>
      <c r="I1118" s="3" t="s">
        <v>15</v>
      </c>
      <c r="J1118" s="4">
        <v>4</v>
      </c>
    </row>
    <row r="1119" spans="1:10" x14ac:dyDescent="0.35">
      <c r="A1119" s="2" t="s">
        <v>1155</v>
      </c>
      <c r="B1119" s="4">
        <v>4</v>
      </c>
      <c r="C1119" t="s">
        <v>17</v>
      </c>
      <c r="D1119" t="s">
        <v>49</v>
      </c>
      <c r="E1119" t="s">
        <v>37</v>
      </c>
      <c r="F1119" t="s">
        <v>20</v>
      </c>
      <c r="G1119" s="4">
        <v>15</v>
      </c>
      <c r="H1119" s="1">
        <v>15869</v>
      </c>
      <c r="I1119" s="3" t="s">
        <v>15</v>
      </c>
      <c r="J1119" s="4">
        <v>2</v>
      </c>
    </row>
    <row r="1120" spans="1:10" x14ac:dyDescent="0.35">
      <c r="A1120" s="2" t="s">
        <v>1156</v>
      </c>
      <c r="B1120" s="4">
        <v>76</v>
      </c>
      <c r="C1120" t="s">
        <v>11</v>
      </c>
      <c r="D1120" t="s">
        <v>28</v>
      </c>
      <c r="E1120" t="s">
        <v>19</v>
      </c>
      <c r="F1120" t="s">
        <v>14</v>
      </c>
      <c r="G1120" s="4">
        <v>3</v>
      </c>
      <c r="H1120" s="1">
        <v>78488</v>
      </c>
      <c r="I1120" s="3" t="s">
        <v>15</v>
      </c>
      <c r="J1120" s="4">
        <v>5</v>
      </c>
    </row>
    <row r="1121" spans="1:10" x14ac:dyDescent="0.35">
      <c r="A1121" s="2" t="s">
        <v>1157</v>
      </c>
      <c r="B1121" s="4">
        <v>11</v>
      </c>
      <c r="C1121" t="s">
        <v>11</v>
      </c>
      <c r="D1121" t="s">
        <v>23</v>
      </c>
      <c r="E1121" t="s">
        <v>13</v>
      </c>
      <c r="F1121" t="s">
        <v>20</v>
      </c>
      <c r="G1121" s="4">
        <v>13</v>
      </c>
      <c r="H1121" s="1">
        <v>97515</v>
      </c>
      <c r="I1121" s="3" t="s">
        <v>21</v>
      </c>
      <c r="J1121" s="4">
        <v>5</v>
      </c>
    </row>
    <row r="1122" spans="1:10" x14ac:dyDescent="0.35">
      <c r="A1122" s="2" t="s">
        <v>1158</v>
      </c>
      <c r="B1122" s="4">
        <v>35</v>
      </c>
      <c r="C1122" t="s">
        <v>11</v>
      </c>
      <c r="D1122" t="s">
        <v>26</v>
      </c>
      <c r="E1122" t="s">
        <v>29</v>
      </c>
      <c r="F1122" t="s">
        <v>30</v>
      </c>
      <c r="G1122" s="4">
        <v>14</v>
      </c>
      <c r="H1122" s="1">
        <v>89284</v>
      </c>
      <c r="I1122" s="3" t="s">
        <v>15</v>
      </c>
      <c r="J1122" s="4">
        <v>1</v>
      </c>
    </row>
    <row r="1123" spans="1:10" x14ac:dyDescent="0.35">
      <c r="A1123" s="2" t="s">
        <v>1159</v>
      </c>
      <c r="B1123" s="4">
        <v>31</v>
      </c>
      <c r="C1123" t="s">
        <v>17</v>
      </c>
      <c r="D1123" t="s">
        <v>36</v>
      </c>
      <c r="E1123" t="s">
        <v>24</v>
      </c>
      <c r="F1123" t="s">
        <v>20</v>
      </c>
      <c r="G1123" s="4">
        <v>6</v>
      </c>
      <c r="H1123" s="1">
        <v>60766</v>
      </c>
      <c r="I1123" s="3" t="s">
        <v>15</v>
      </c>
      <c r="J1123" s="4">
        <v>1</v>
      </c>
    </row>
    <row r="1124" spans="1:10" x14ac:dyDescent="0.35">
      <c r="A1124" s="2" t="s">
        <v>1160</v>
      </c>
      <c r="B1124" s="4">
        <v>1</v>
      </c>
      <c r="C1124" t="s">
        <v>11</v>
      </c>
      <c r="D1124" t="s">
        <v>18</v>
      </c>
      <c r="E1124" t="s">
        <v>29</v>
      </c>
      <c r="F1124" t="s">
        <v>20</v>
      </c>
      <c r="G1124" s="4">
        <v>8</v>
      </c>
      <c r="H1124" s="1">
        <v>40725</v>
      </c>
      <c r="I1124" s="3" t="s">
        <v>15</v>
      </c>
      <c r="J1124" s="4">
        <v>5</v>
      </c>
    </row>
    <row r="1125" spans="1:10" x14ac:dyDescent="0.35">
      <c r="A1125" s="2" t="s">
        <v>1161</v>
      </c>
      <c r="B1125" s="4">
        <v>11</v>
      </c>
      <c r="C1125" t="s">
        <v>11</v>
      </c>
      <c r="D1125" t="s">
        <v>12</v>
      </c>
      <c r="E1125" t="s">
        <v>19</v>
      </c>
      <c r="F1125" t="s">
        <v>14</v>
      </c>
      <c r="G1125" s="4">
        <v>9</v>
      </c>
      <c r="H1125" s="1">
        <v>20390</v>
      </c>
      <c r="I1125" s="3" t="s">
        <v>21</v>
      </c>
      <c r="J1125" s="4">
        <v>5</v>
      </c>
    </row>
    <row r="1126" spans="1:10" x14ac:dyDescent="0.35">
      <c r="A1126" s="2" t="s">
        <v>1162</v>
      </c>
      <c r="B1126" s="4">
        <v>39</v>
      </c>
      <c r="C1126" t="s">
        <v>11</v>
      </c>
      <c r="D1126" t="s">
        <v>18</v>
      </c>
      <c r="E1126" t="s">
        <v>19</v>
      </c>
      <c r="F1126" t="s">
        <v>14</v>
      </c>
      <c r="G1126" s="4">
        <v>3</v>
      </c>
      <c r="H1126" s="1">
        <v>60467</v>
      </c>
      <c r="I1126" s="3" t="s">
        <v>15</v>
      </c>
      <c r="J1126" s="4">
        <v>4</v>
      </c>
    </row>
    <row r="1127" spans="1:10" x14ac:dyDescent="0.35">
      <c r="A1127" s="2" t="s">
        <v>1163</v>
      </c>
      <c r="B1127" s="4">
        <v>62</v>
      </c>
      <c r="C1127" t="s">
        <v>17</v>
      </c>
      <c r="D1127" t="s">
        <v>18</v>
      </c>
      <c r="E1127" t="s">
        <v>27</v>
      </c>
      <c r="F1127" t="s">
        <v>14</v>
      </c>
      <c r="G1127" s="4">
        <v>8</v>
      </c>
      <c r="H1127" s="1">
        <v>81674</v>
      </c>
      <c r="I1127" s="3" t="s">
        <v>21</v>
      </c>
      <c r="J1127" s="4">
        <v>3</v>
      </c>
    </row>
    <row r="1128" spans="1:10" x14ac:dyDescent="0.35">
      <c r="A1128" s="2" t="s">
        <v>1164</v>
      </c>
      <c r="B1128" s="4">
        <v>33</v>
      </c>
      <c r="C1128" t="s">
        <v>17</v>
      </c>
      <c r="D1128" t="s">
        <v>41</v>
      </c>
      <c r="E1128" t="s">
        <v>34</v>
      </c>
      <c r="F1128" t="s">
        <v>30</v>
      </c>
      <c r="G1128" s="4">
        <v>5</v>
      </c>
      <c r="H1128" s="1">
        <v>41074</v>
      </c>
      <c r="I1128" s="3" t="s">
        <v>21</v>
      </c>
      <c r="J1128" s="4">
        <v>4</v>
      </c>
    </row>
    <row r="1129" spans="1:10" x14ac:dyDescent="0.35">
      <c r="A1129" s="2" t="s">
        <v>1165</v>
      </c>
      <c r="B1129" s="4">
        <v>60</v>
      </c>
      <c r="C1129" t="s">
        <v>17</v>
      </c>
      <c r="D1129" t="s">
        <v>36</v>
      </c>
      <c r="E1129" t="s">
        <v>29</v>
      </c>
      <c r="F1129" t="s">
        <v>20</v>
      </c>
      <c r="G1129" s="4">
        <v>13</v>
      </c>
      <c r="H1129" s="1">
        <v>28372</v>
      </c>
      <c r="I1129" s="3" t="s">
        <v>15</v>
      </c>
      <c r="J1129" s="4">
        <v>1</v>
      </c>
    </row>
    <row r="1130" spans="1:10" x14ac:dyDescent="0.35">
      <c r="A1130" s="2" t="s">
        <v>1166</v>
      </c>
      <c r="B1130" s="4">
        <v>18</v>
      </c>
      <c r="C1130" t="s">
        <v>17</v>
      </c>
      <c r="D1130" t="s">
        <v>49</v>
      </c>
      <c r="E1130" t="s">
        <v>27</v>
      </c>
      <c r="F1130" t="s">
        <v>30</v>
      </c>
      <c r="G1130" s="4">
        <v>5</v>
      </c>
      <c r="H1130" s="1">
        <v>9532</v>
      </c>
      <c r="I1130" s="3" t="s">
        <v>21</v>
      </c>
      <c r="J1130" s="4">
        <v>5</v>
      </c>
    </row>
    <row r="1131" spans="1:10" x14ac:dyDescent="0.35">
      <c r="A1131" s="2" t="s">
        <v>1167</v>
      </c>
      <c r="B1131" s="4">
        <v>12</v>
      </c>
      <c r="C1131" t="s">
        <v>17</v>
      </c>
      <c r="D1131" t="s">
        <v>12</v>
      </c>
      <c r="E1131" t="s">
        <v>19</v>
      </c>
      <c r="F1131" t="s">
        <v>30</v>
      </c>
      <c r="G1131" s="4">
        <v>14</v>
      </c>
      <c r="H1131" s="1">
        <v>5249</v>
      </c>
      <c r="I1131" s="3" t="s">
        <v>21</v>
      </c>
      <c r="J1131" s="4">
        <v>1</v>
      </c>
    </row>
    <row r="1132" spans="1:10" x14ac:dyDescent="0.35">
      <c r="A1132" s="2" t="s">
        <v>1168</v>
      </c>
      <c r="B1132" s="4">
        <v>75</v>
      </c>
      <c r="C1132" t="s">
        <v>11</v>
      </c>
      <c r="D1132" t="s">
        <v>28</v>
      </c>
      <c r="E1132" t="s">
        <v>13</v>
      </c>
      <c r="F1132" t="s">
        <v>20</v>
      </c>
      <c r="G1132" s="4">
        <v>9</v>
      </c>
      <c r="H1132" s="1">
        <v>18403</v>
      </c>
      <c r="I1132" s="3" t="s">
        <v>15</v>
      </c>
      <c r="J1132" s="4">
        <v>1</v>
      </c>
    </row>
    <row r="1133" spans="1:10" x14ac:dyDescent="0.35">
      <c r="A1133" s="2" t="s">
        <v>1169</v>
      </c>
      <c r="B1133" s="4">
        <v>29</v>
      </c>
      <c r="C1133" t="s">
        <v>11</v>
      </c>
      <c r="D1133" t="s">
        <v>41</v>
      </c>
      <c r="E1133" t="s">
        <v>42</v>
      </c>
      <c r="F1133" t="s">
        <v>20</v>
      </c>
      <c r="G1133" s="4">
        <v>6</v>
      </c>
      <c r="H1133" s="1">
        <v>34663</v>
      </c>
      <c r="I1133" s="3" t="s">
        <v>15</v>
      </c>
      <c r="J1133" s="4">
        <v>4</v>
      </c>
    </row>
    <row r="1134" spans="1:10" x14ac:dyDescent="0.35">
      <c r="A1134" s="2" t="s">
        <v>1170</v>
      </c>
      <c r="B1134" s="4">
        <v>31</v>
      </c>
      <c r="C1134" t="s">
        <v>17</v>
      </c>
      <c r="D1134" t="s">
        <v>33</v>
      </c>
      <c r="E1134" t="s">
        <v>37</v>
      </c>
      <c r="F1134" t="s">
        <v>20</v>
      </c>
      <c r="G1134" s="4">
        <v>4</v>
      </c>
      <c r="H1134" s="1">
        <v>63664</v>
      </c>
      <c r="I1134" s="3" t="s">
        <v>21</v>
      </c>
      <c r="J1134" s="4">
        <v>3</v>
      </c>
    </row>
    <row r="1135" spans="1:10" x14ac:dyDescent="0.35">
      <c r="A1135" s="2" t="s">
        <v>1171</v>
      </c>
      <c r="B1135" s="4">
        <v>65</v>
      </c>
      <c r="C1135" t="s">
        <v>17</v>
      </c>
      <c r="D1135" t="s">
        <v>36</v>
      </c>
      <c r="E1135" t="s">
        <v>65</v>
      </c>
      <c r="F1135" t="s">
        <v>30</v>
      </c>
      <c r="G1135" s="4">
        <v>10</v>
      </c>
      <c r="H1135" s="1">
        <v>81420</v>
      </c>
      <c r="I1135" s="3" t="s">
        <v>15</v>
      </c>
      <c r="J1135" s="4">
        <v>3</v>
      </c>
    </row>
    <row r="1136" spans="1:10" x14ac:dyDescent="0.35">
      <c r="A1136" s="2" t="s">
        <v>1172</v>
      </c>
      <c r="B1136" s="4">
        <v>56</v>
      </c>
      <c r="C1136" t="s">
        <v>11</v>
      </c>
      <c r="D1136" t="s">
        <v>28</v>
      </c>
      <c r="E1136" t="s">
        <v>29</v>
      </c>
      <c r="F1136" t="s">
        <v>14</v>
      </c>
      <c r="G1136" s="4">
        <v>12</v>
      </c>
      <c r="H1136" s="1">
        <v>91667</v>
      </c>
      <c r="I1136" s="3" t="s">
        <v>21</v>
      </c>
      <c r="J1136" s="4">
        <v>5</v>
      </c>
    </row>
    <row r="1137" spans="1:10" x14ac:dyDescent="0.35">
      <c r="A1137" s="2" t="s">
        <v>1173</v>
      </c>
      <c r="B1137" s="4">
        <v>33</v>
      </c>
      <c r="C1137" t="s">
        <v>17</v>
      </c>
      <c r="D1137" t="s">
        <v>12</v>
      </c>
      <c r="E1137" t="s">
        <v>42</v>
      </c>
      <c r="F1137" t="s">
        <v>30</v>
      </c>
      <c r="G1137" s="4">
        <v>13</v>
      </c>
      <c r="H1137" s="1">
        <v>63666</v>
      </c>
      <c r="I1137" s="3" t="s">
        <v>15</v>
      </c>
      <c r="J1137" s="4">
        <v>5</v>
      </c>
    </row>
    <row r="1138" spans="1:10" x14ac:dyDescent="0.35">
      <c r="A1138" s="2" t="s">
        <v>1174</v>
      </c>
      <c r="B1138" s="4">
        <v>55</v>
      </c>
      <c r="C1138" t="s">
        <v>17</v>
      </c>
      <c r="D1138" t="s">
        <v>49</v>
      </c>
      <c r="E1138" t="s">
        <v>29</v>
      </c>
      <c r="F1138" t="s">
        <v>14</v>
      </c>
      <c r="G1138" s="4">
        <v>2</v>
      </c>
      <c r="H1138" s="1">
        <v>99913</v>
      </c>
      <c r="I1138" s="3" t="s">
        <v>21</v>
      </c>
      <c r="J1138" s="4">
        <v>3</v>
      </c>
    </row>
    <row r="1139" spans="1:10" x14ac:dyDescent="0.35">
      <c r="A1139" s="2" t="s">
        <v>1175</v>
      </c>
      <c r="B1139" s="4">
        <v>84</v>
      </c>
      <c r="C1139" t="s">
        <v>17</v>
      </c>
      <c r="D1139" t="s">
        <v>12</v>
      </c>
      <c r="E1139" t="s">
        <v>34</v>
      </c>
      <c r="F1139" t="s">
        <v>30</v>
      </c>
      <c r="G1139" s="4">
        <v>13</v>
      </c>
      <c r="H1139" s="1">
        <v>5991</v>
      </c>
      <c r="I1139" s="3" t="s">
        <v>15</v>
      </c>
      <c r="J1139" s="4">
        <v>1</v>
      </c>
    </row>
    <row r="1140" spans="1:10" x14ac:dyDescent="0.35">
      <c r="A1140" s="2" t="s">
        <v>1176</v>
      </c>
      <c r="B1140" s="4">
        <v>47</v>
      </c>
      <c r="C1140" t="s">
        <v>17</v>
      </c>
      <c r="D1140" t="s">
        <v>33</v>
      </c>
      <c r="E1140" t="s">
        <v>53</v>
      </c>
      <c r="F1140" t="s">
        <v>20</v>
      </c>
      <c r="G1140" s="4">
        <v>10</v>
      </c>
      <c r="H1140" s="1">
        <v>70207</v>
      </c>
      <c r="I1140" s="3" t="s">
        <v>15</v>
      </c>
      <c r="J1140" s="4">
        <v>3</v>
      </c>
    </row>
    <row r="1141" spans="1:10" x14ac:dyDescent="0.35">
      <c r="A1141" s="2" t="s">
        <v>1177</v>
      </c>
      <c r="B1141" s="4">
        <v>4</v>
      </c>
      <c r="C1141" t="s">
        <v>11</v>
      </c>
      <c r="D1141" t="s">
        <v>18</v>
      </c>
      <c r="E1141" t="s">
        <v>24</v>
      </c>
      <c r="F1141" t="s">
        <v>20</v>
      </c>
      <c r="G1141" s="4">
        <v>3</v>
      </c>
      <c r="H1141" s="1">
        <v>41096</v>
      </c>
      <c r="I1141" s="3" t="s">
        <v>15</v>
      </c>
      <c r="J1141" s="4">
        <v>5</v>
      </c>
    </row>
    <row r="1142" spans="1:10" x14ac:dyDescent="0.35">
      <c r="A1142" s="2" t="s">
        <v>1178</v>
      </c>
      <c r="B1142" s="4">
        <v>10</v>
      </c>
      <c r="C1142" t="s">
        <v>11</v>
      </c>
      <c r="D1142" t="s">
        <v>26</v>
      </c>
      <c r="E1142" t="s">
        <v>27</v>
      </c>
      <c r="F1142" t="s">
        <v>14</v>
      </c>
      <c r="G1142" s="4">
        <v>13</v>
      </c>
      <c r="H1142" s="1">
        <v>63456</v>
      </c>
      <c r="I1142" s="3" t="s">
        <v>21</v>
      </c>
      <c r="J1142" s="4">
        <v>5</v>
      </c>
    </row>
    <row r="1143" spans="1:10" x14ac:dyDescent="0.35">
      <c r="A1143" s="2" t="s">
        <v>1179</v>
      </c>
      <c r="B1143" s="4">
        <v>87</v>
      </c>
      <c r="C1143" t="s">
        <v>17</v>
      </c>
      <c r="D1143" t="s">
        <v>23</v>
      </c>
      <c r="E1143" t="s">
        <v>19</v>
      </c>
      <c r="F1143" t="s">
        <v>30</v>
      </c>
      <c r="G1143" s="4">
        <v>5</v>
      </c>
      <c r="H1143" s="1">
        <v>27144</v>
      </c>
      <c r="I1143" s="3" t="s">
        <v>15</v>
      </c>
      <c r="J1143" s="4">
        <v>3</v>
      </c>
    </row>
    <row r="1144" spans="1:10" x14ac:dyDescent="0.35">
      <c r="A1144" s="2" t="s">
        <v>1180</v>
      </c>
      <c r="B1144" s="4">
        <v>28</v>
      </c>
      <c r="C1144" t="s">
        <v>17</v>
      </c>
      <c r="D1144" t="s">
        <v>36</v>
      </c>
      <c r="E1144" t="s">
        <v>53</v>
      </c>
      <c r="F1144" t="s">
        <v>14</v>
      </c>
      <c r="G1144" s="4">
        <v>9</v>
      </c>
      <c r="H1144" s="1">
        <v>34832</v>
      </c>
      <c r="I1144" s="3" t="s">
        <v>15</v>
      </c>
      <c r="J1144" s="4">
        <v>3</v>
      </c>
    </row>
    <row r="1145" spans="1:10" x14ac:dyDescent="0.35">
      <c r="A1145" s="2" t="s">
        <v>1181</v>
      </c>
      <c r="B1145" s="4">
        <v>86</v>
      </c>
      <c r="C1145" t="s">
        <v>11</v>
      </c>
      <c r="D1145" t="s">
        <v>23</v>
      </c>
      <c r="E1145" t="s">
        <v>53</v>
      </c>
      <c r="F1145" t="s">
        <v>14</v>
      </c>
      <c r="G1145" s="4">
        <v>6</v>
      </c>
      <c r="H1145" s="1">
        <v>62286</v>
      </c>
      <c r="I1145" s="3" t="s">
        <v>15</v>
      </c>
      <c r="J1145" s="4">
        <v>2</v>
      </c>
    </row>
    <row r="1146" spans="1:10" x14ac:dyDescent="0.35">
      <c r="A1146" s="2" t="s">
        <v>1182</v>
      </c>
      <c r="B1146" s="4">
        <v>65</v>
      </c>
      <c r="C1146" t="s">
        <v>17</v>
      </c>
      <c r="D1146" t="s">
        <v>41</v>
      </c>
      <c r="E1146" t="s">
        <v>37</v>
      </c>
      <c r="F1146" t="s">
        <v>20</v>
      </c>
      <c r="G1146" s="4">
        <v>12</v>
      </c>
      <c r="H1146" s="1">
        <v>37230</v>
      </c>
      <c r="I1146" s="3" t="s">
        <v>15</v>
      </c>
      <c r="J1146" s="4">
        <v>1</v>
      </c>
    </row>
    <row r="1147" spans="1:10" x14ac:dyDescent="0.35">
      <c r="A1147" s="2" t="s">
        <v>1183</v>
      </c>
      <c r="B1147" s="4">
        <v>80</v>
      </c>
      <c r="C1147" t="s">
        <v>11</v>
      </c>
      <c r="D1147" t="s">
        <v>28</v>
      </c>
      <c r="E1147" t="s">
        <v>27</v>
      </c>
      <c r="F1147" t="s">
        <v>30</v>
      </c>
      <c r="G1147" s="4">
        <v>9</v>
      </c>
      <c r="H1147" s="1">
        <v>23064</v>
      </c>
      <c r="I1147" s="3" t="s">
        <v>15</v>
      </c>
      <c r="J1147" s="4">
        <v>2</v>
      </c>
    </row>
    <row r="1148" spans="1:10" x14ac:dyDescent="0.35">
      <c r="A1148" s="2" t="s">
        <v>1184</v>
      </c>
      <c r="B1148" s="4">
        <v>76</v>
      </c>
      <c r="C1148" t="s">
        <v>17</v>
      </c>
      <c r="D1148" t="s">
        <v>33</v>
      </c>
      <c r="E1148" t="s">
        <v>24</v>
      </c>
      <c r="F1148" t="s">
        <v>30</v>
      </c>
      <c r="G1148" s="4">
        <v>1</v>
      </c>
      <c r="H1148" s="1">
        <v>69839</v>
      </c>
      <c r="I1148" s="3" t="s">
        <v>15</v>
      </c>
      <c r="J1148" s="4">
        <v>1</v>
      </c>
    </row>
    <row r="1149" spans="1:10" x14ac:dyDescent="0.35">
      <c r="A1149" s="2" t="s">
        <v>1185</v>
      </c>
      <c r="B1149" s="4">
        <v>20</v>
      </c>
      <c r="C1149" t="s">
        <v>17</v>
      </c>
      <c r="D1149" t="s">
        <v>36</v>
      </c>
      <c r="E1149" t="s">
        <v>53</v>
      </c>
      <c r="F1149" t="s">
        <v>14</v>
      </c>
      <c r="G1149" s="4">
        <v>7</v>
      </c>
      <c r="H1149" s="1">
        <v>65020</v>
      </c>
      <c r="I1149" s="3" t="s">
        <v>21</v>
      </c>
      <c r="J1149" s="4">
        <v>4</v>
      </c>
    </row>
    <row r="1150" spans="1:10" x14ac:dyDescent="0.35">
      <c r="A1150" s="2" t="s">
        <v>1186</v>
      </c>
      <c r="B1150" s="4">
        <v>67</v>
      </c>
      <c r="C1150" t="s">
        <v>17</v>
      </c>
      <c r="D1150" t="s">
        <v>12</v>
      </c>
      <c r="E1150" t="s">
        <v>13</v>
      </c>
      <c r="F1150" t="s">
        <v>20</v>
      </c>
      <c r="G1150" s="4">
        <v>6</v>
      </c>
      <c r="H1150" s="1">
        <v>84933</v>
      </c>
      <c r="I1150" s="3" t="s">
        <v>15</v>
      </c>
      <c r="J1150" s="4">
        <v>3</v>
      </c>
    </row>
    <row r="1151" spans="1:10" x14ac:dyDescent="0.35">
      <c r="A1151" s="2" t="s">
        <v>1187</v>
      </c>
      <c r="B1151" s="4">
        <v>80</v>
      </c>
      <c r="C1151" t="s">
        <v>17</v>
      </c>
      <c r="D1151" t="s">
        <v>23</v>
      </c>
      <c r="E1151" t="s">
        <v>53</v>
      </c>
      <c r="F1151" t="s">
        <v>30</v>
      </c>
      <c r="G1151" s="4">
        <v>8</v>
      </c>
      <c r="H1151" s="1">
        <v>94353</v>
      </c>
      <c r="I1151" s="3" t="s">
        <v>21</v>
      </c>
      <c r="J1151" s="4">
        <v>4</v>
      </c>
    </row>
    <row r="1152" spans="1:10" x14ac:dyDescent="0.35">
      <c r="A1152" s="2" t="s">
        <v>1188</v>
      </c>
      <c r="B1152" s="4">
        <v>28</v>
      </c>
      <c r="C1152" t="s">
        <v>11</v>
      </c>
      <c r="D1152" t="s">
        <v>49</v>
      </c>
      <c r="E1152" t="s">
        <v>19</v>
      </c>
      <c r="F1152" t="s">
        <v>14</v>
      </c>
      <c r="G1152" s="4">
        <v>7</v>
      </c>
      <c r="H1152" s="1">
        <v>80200</v>
      </c>
      <c r="I1152" s="3" t="s">
        <v>21</v>
      </c>
      <c r="J1152" s="4">
        <v>3</v>
      </c>
    </row>
    <row r="1153" spans="1:10" x14ac:dyDescent="0.35">
      <c r="A1153" s="2" t="s">
        <v>1189</v>
      </c>
      <c r="B1153" s="4">
        <v>58</v>
      </c>
      <c r="C1153" t="s">
        <v>11</v>
      </c>
      <c r="D1153" t="s">
        <v>28</v>
      </c>
      <c r="E1153" t="s">
        <v>42</v>
      </c>
      <c r="F1153" t="s">
        <v>20</v>
      </c>
      <c r="G1153" s="4">
        <v>4</v>
      </c>
      <c r="H1153" s="1">
        <v>61815</v>
      </c>
      <c r="I1153" s="3" t="s">
        <v>15</v>
      </c>
      <c r="J1153" s="4">
        <v>4</v>
      </c>
    </row>
    <row r="1154" spans="1:10" x14ac:dyDescent="0.35">
      <c r="A1154" s="2" t="s">
        <v>1190</v>
      </c>
      <c r="B1154" s="4">
        <v>34</v>
      </c>
      <c r="C1154" t="s">
        <v>17</v>
      </c>
      <c r="D1154" t="s">
        <v>33</v>
      </c>
      <c r="E1154" t="s">
        <v>27</v>
      </c>
      <c r="F1154" t="s">
        <v>30</v>
      </c>
      <c r="G1154" s="4">
        <v>9</v>
      </c>
      <c r="H1154" s="1">
        <v>91036</v>
      </c>
      <c r="I1154" s="3" t="s">
        <v>21</v>
      </c>
      <c r="J1154" s="4">
        <v>3</v>
      </c>
    </row>
    <row r="1155" spans="1:10" x14ac:dyDescent="0.35">
      <c r="A1155" s="2" t="s">
        <v>1191</v>
      </c>
      <c r="B1155" s="4">
        <v>7</v>
      </c>
      <c r="C1155" t="s">
        <v>17</v>
      </c>
      <c r="D1155" t="s">
        <v>26</v>
      </c>
      <c r="E1155" t="s">
        <v>27</v>
      </c>
      <c r="F1155" t="s">
        <v>20</v>
      </c>
      <c r="G1155" s="4">
        <v>10</v>
      </c>
      <c r="H1155" s="1">
        <v>29205</v>
      </c>
      <c r="I1155" s="3" t="s">
        <v>15</v>
      </c>
      <c r="J1155" s="4">
        <v>1</v>
      </c>
    </row>
    <row r="1156" spans="1:10" x14ac:dyDescent="0.35">
      <c r="A1156" s="2" t="s">
        <v>1192</v>
      </c>
      <c r="B1156" s="4">
        <v>65</v>
      </c>
      <c r="C1156" t="s">
        <v>11</v>
      </c>
      <c r="D1156" t="s">
        <v>28</v>
      </c>
      <c r="E1156" t="s">
        <v>65</v>
      </c>
      <c r="F1156" t="s">
        <v>20</v>
      </c>
      <c r="G1156" s="4">
        <v>3</v>
      </c>
      <c r="H1156" s="1">
        <v>20908</v>
      </c>
      <c r="I1156" s="3" t="s">
        <v>21</v>
      </c>
      <c r="J1156" s="4">
        <v>1</v>
      </c>
    </row>
    <row r="1157" spans="1:10" x14ac:dyDescent="0.35">
      <c r="A1157" s="2" t="s">
        <v>1193</v>
      </c>
      <c r="B1157" s="4">
        <v>19</v>
      </c>
      <c r="C1157" t="s">
        <v>11</v>
      </c>
      <c r="D1157" t="s">
        <v>18</v>
      </c>
      <c r="E1157" t="s">
        <v>24</v>
      </c>
      <c r="F1157" t="s">
        <v>30</v>
      </c>
      <c r="G1157" s="4">
        <v>8</v>
      </c>
      <c r="H1157" s="1">
        <v>87795</v>
      </c>
      <c r="I1157" s="3" t="s">
        <v>21</v>
      </c>
      <c r="J1157" s="4">
        <v>5</v>
      </c>
    </row>
    <row r="1158" spans="1:10" x14ac:dyDescent="0.35">
      <c r="A1158" s="2" t="s">
        <v>1194</v>
      </c>
      <c r="B1158" s="4">
        <v>47</v>
      </c>
      <c r="C1158" t="s">
        <v>11</v>
      </c>
      <c r="D1158" t="s">
        <v>41</v>
      </c>
      <c r="E1158" t="s">
        <v>42</v>
      </c>
      <c r="F1158" t="s">
        <v>14</v>
      </c>
      <c r="G1158" s="4">
        <v>14</v>
      </c>
      <c r="H1158" s="1">
        <v>32398</v>
      </c>
      <c r="I1158" s="3" t="s">
        <v>21</v>
      </c>
      <c r="J1158" s="4">
        <v>4</v>
      </c>
    </row>
    <row r="1159" spans="1:10" x14ac:dyDescent="0.35">
      <c r="A1159" s="2" t="s">
        <v>1195</v>
      </c>
      <c r="B1159" s="4">
        <v>8</v>
      </c>
      <c r="C1159" t="s">
        <v>17</v>
      </c>
      <c r="D1159" t="s">
        <v>26</v>
      </c>
      <c r="E1159" t="s">
        <v>29</v>
      </c>
      <c r="F1159" t="s">
        <v>14</v>
      </c>
      <c r="G1159" s="4">
        <v>11</v>
      </c>
      <c r="H1159" s="1">
        <v>98588</v>
      </c>
      <c r="I1159" s="3" t="s">
        <v>15</v>
      </c>
      <c r="J1159" s="4">
        <v>4</v>
      </c>
    </row>
    <row r="1160" spans="1:10" x14ac:dyDescent="0.35">
      <c r="A1160" s="2" t="s">
        <v>1196</v>
      </c>
      <c r="B1160" s="4">
        <v>62</v>
      </c>
      <c r="C1160" t="s">
        <v>17</v>
      </c>
      <c r="D1160" t="s">
        <v>18</v>
      </c>
      <c r="E1160" t="s">
        <v>29</v>
      </c>
      <c r="F1160" t="s">
        <v>20</v>
      </c>
      <c r="G1160" s="4">
        <v>5</v>
      </c>
      <c r="H1160" s="1">
        <v>76678</v>
      </c>
      <c r="I1160" s="3" t="s">
        <v>21</v>
      </c>
      <c r="J1160" s="4">
        <v>2</v>
      </c>
    </row>
    <row r="1161" spans="1:10" x14ac:dyDescent="0.35">
      <c r="A1161" s="2" t="s">
        <v>1197</v>
      </c>
      <c r="B1161" s="4">
        <v>15</v>
      </c>
      <c r="C1161" t="s">
        <v>17</v>
      </c>
      <c r="D1161" t="s">
        <v>49</v>
      </c>
      <c r="E1161" t="s">
        <v>34</v>
      </c>
      <c r="F1161" t="s">
        <v>14</v>
      </c>
      <c r="G1161" s="4">
        <v>1</v>
      </c>
      <c r="H1161" s="1">
        <v>51496</v>
      </c>
      <c r="I1161" s="3" t="s">
        <v>15</v>
      </c>
      <c r="J1161" s="4">
        <v>4</v>
      </c>
    </row>
    <row r="1162" spans="1:10" x14ac:dyDescent="0.35">
      <c r="A1162" s="2" t="s">
        <v>1198</v>
      </c>
      <c r="B1162" s="4">
        <v>68</v>
      </c>
      <c r="C1162" t="s">
        <v>17</v>
      </c>
      <c r="D1162" t="s">
        <v>26</v>
      </c>
      <c r="E1162" t="s">
        <v>24</v>
      </c>
      <c r="F1162" t="s">
        <v>30</v>
      </c>
      <c r="G1162" s="4">
        <v>12</v>
      </c>
      <c r="H1162" s="1">
        <v>92728</v>
      </c>
      <c r="I1162" s="3" t="s">
        <v>21</v>
      </c>
      <c r="J1162" s="4">
        <v>1</v>
      </c>
    </row>
    <row r="1163" spans="1:10" x14ac:dyDescent="0.35">
      <c r="A1163" s="2" t="s">
        <v>1199</v>
      </c>
      <c r="B1163" s="4">
        <v>42</v>
      </c>
      <c r="C1163" t="s">
        <v>11</v>
      </c>
      <c r="D1163" t="s">
        <v>12</v>
      </c>
      <c r="E1163" t="s">
        <v>34</v>
      </c>
      <c r="F1163" t="s">
        <v>14</v>
      </c>
      <c r="G1163" s="4">
        <v>7</v>
      </c>
      <c r="H1163" s="1">
        <v>68537</v>
      </c>
      <c r="I1163" s="3" t="s">
        <v>21</v>
      </c>
      <c r="J1163" s="4">
        <v>2</v>
      </c>
    </row>
    <row r="1164" spans="1:10" x14ac:dyDescent="0.35">
      <c r="A1164" s="2" t="s">
        <v>1200</v>
      </c>
      <c r="B1164" s="4">
        <v>20</v>
      </c>
      <c r="C1164" t="s">
        <v>11</v>
      </c>
      <c r="D1164" t="s">
        <v>49</v>
      </c>
      <c r="E1164" t="s">
        <v>19</v>
      </c>
      <c r="F1164" t="s">
        <v>30</v>
      </c>
      <c r="G1164" s="4">
        <v>15</v>
      </c>
      <c r="H1164" s="1">
        <v>75448</v>
      </c>
      <c r="I1164" s="3" t="s">
        <v>15</v>
      </c>
      <c r="J1164" s="4">
        <v>5</v>
      </c>
    </row>
    <row r="1165" spans="1:10" x14ac:dyDescent="0.35">
      <c r="A1165" s="2" t="s">
        <v>1201</v>
      </c>
      <c r="B1165" s="4">
        <v>52</v>
      </c>
      <c r="C1165" t="s">
        <v>11</v>
      </c>
      <c r="D1165" t="s">
        <v>12</v>
      </c>
      <c r="E1165" t="s">
        <v>65</v>
      </c>
      <c r="F1165" t="s">
        <v>30</v>
      </c>
      <c r="G1165" s="4">
        <v>4</v>
      </c>
      <c r="H1165" s="1">
        <v>35584</v>
      </c>
      <c r="I1165" s="3" t="s">
        <v>21</v>
      </c>
      <c r="J1165" s="4">
        <v>1</v>
      </c>
    </row>
    <row r="1166" spans="1:10" x14ac:dyDescent="0.35">
      <c r="A1166" s="2" t="s">
        <v>1202</v>
      </c>
      <c r="B1166" s="4">
        <v>19</v>
      </c>
      <c r="C1166" t="s">
        <v>11</v>
      </c>
      <c r="D1166" t="s">
        <v>49</v>
      </c>
      <c r="E1166" t="s">
        <v>65</v>
      </c>
      <c r="F1166" t="s">
        <v>30</v>
      </c>
      <c r="G1166" s="4">
        <v>2</v>
      </c>
      <c r="H1166" s="1">
        <v>7583</v>
      </c>
      <c r="I1166" s="3" t="s">
        <v>21</v>
      </c>
      <c r="J1166" s="4">
        <v>4</v>
      </c>
    </row>
    <row r="1167" spans="1:10" x14ac:dyDescent="0.35">
      <c r="A1167" s="2" t="s">
        <v>1203</v>
      </c>
      <c r="B1167" s="4">
        <v>90</v>
      </c>
      <c r="C1167" t="s">
        <v>17</v>
      </c>
      <c r="D1167" t="s">
        <v>26</v>
      </c>
      <c r="E1167" t="s">
        <v>37</v>
      </c>
      <c r="F1167" t="s">
        <v>30</v>
      </c>
      <c r="G1167" s="4">
        <v>12</v>
      </c>
      <c r="H1167" s="1">
        <v>39478</v>
      </c>
      <c r="I1167" s="3" t="s">
        <v>21</v>
      </c>
      <c r="J1167" s="4">
        <v>4</v>
      </c>
    </row>
    <row r="1168" spans="1:10" x14ac:dyDescent="0.35">
      <c r="A1168" s="2" t="s">
        <v>1204</v>
      </c>
      <c r="B1168" s="4">
        <v>84</v>
      </c>
      <c r="C1168" t="s">
        <v>17</v>
      </c>
      <c r="D1168" t="s">
        <v>28</v>
      </c>
      <c r="E1168" t="s">
        <v>13</v>
      </c>
      <c r="F1168" t="s">
        <v>20</v>
      </c>
      <c r="G1168" s="4">
        <v>7</v>
      </c>
      <c r="H1168" s="1">
        <v>6933</v>
      </c>
      <c r="I1168" s="3" t="s">
        <v>21</v>
      </c>
      <c r="J1168" s="4">
        <v>3</v>
      </c>
    </row>
    <row r="1169" spans="1:10" x14ac:dyDescent="0.35">
      <c r="A1169" s="2" t="s">
        <v>1205</v>
      </c>
      <c r="B1169" s="4">
        <v>3</v>
      </c>
      <c r="C1169" t="s">
        <v>11</v>
      </c>
      <c r="D1169" t="s">
        <v>41</v>
      </c>
      <c r="E1169" t="s">
        <v>42</v>
      </c>
      <c r="F1169" t="s">
        <v>30</v>
      </c>
      <c r="G1169" s="4">
        <v>12</v>
      </c>
      <c r="H1169" s="1">
        <v>95971</v>
      </c>
      <c r="I1169" s="3" t="s">
        <v>21</v>
      </c>
      <c r="J1169" s="4">
        <v>1</v>
      </c>
    </row>
    <row r="1170" spans="1:10" x14ac:dyDescent="0.35">
      <c r="A1170" s="2" t="s">
        <v>1206</v>
      </c>
      <c r="B1170" s="4">
        <v>59</v>
      </c>
      <c r="C1170" t="s">
        <v>17</v>
      </c>
      <c r="D1170" t="s">
        <v>12</v>
      </c>
      <c r="E1170" t="s">
        <v>29</v>
      </c>
      <c r="F1170" t="s">
        <v>30</v>
      </c>
      <c r="G1170" s="4">
        <v>12</v>
      </c>
      <c r="H1170" s="1">
        <v>91767</v>
      </c>
      <c r="I1170" s="3" t="s">
        <v>21</v>
      </c>
      <c r="J1170" s="4">
        <v>4</v>
      </c>
    </row>
    <row r="1171" spans="1:10" x14ac:dyDescent="0.35">
      <c r="A1171" s="2" t="s">
        <v>1207</v>
      </c>
      <c r="B1171" s="4">
        <v>46</v>
      </c>
      <c r="C1171" t="s">
        <v>17</v>
      </c>
      <c r="D1171" t="s">
        <v>36</v>
      </c>
      <c r="E1171" t="s">
        <v>37</v>
      </c>
      <c r="F1171" t="s">
        <v>14</v>
      </c>
      <c r="G1171" s="4">
        <v>7</v>
      </c>
      <c r="H1171" s="1">
        <v>66586</v>
      </c>
      <c r="I1171" s="3" t="s">
        <v>15</v>
      </c>
      <c r="J1171" s="4">
        <v>5</v>
      </c>
    </row>
    <row r="1172" spans="1:10" x14ac:dyDescent="0.35">
      <c r="A1172" s="2" t="s">
        <v>1208</v>
      </c>
      <c r="B1172" s="4">
        <v>89</v>
      </c>
      <c r="C1172" t="s">
        <v>11</v>
      </c>
      <c r="D1172" t="s">
        <v>39</v>
      </c>
      <c r="E1172" t="s">
        <v>29</v>
      </c>
      <c r="F1172" t="s">
        <v>20</v>
      </c>
      <c r="G1172" s="4">
        <v>3</v>
      </c>
      <c r="H1172" s="1">
        <v>56738</v>
      </c>
      <c r="I1172" s="3" t="s">
        <v>21</v>
      </c>
      <c r="J1172" s="4">
        <v>2</v>
      </c>
    </row>
    <row r="1173" spans="1:10" x14ac:dyDescent="0.35">
      <c r="A1173" s="2" t="s">
        <v>1209</v>
      </c>
      <c r="B1173" s="4">
        <v>48</v>
      </c>
      <c r="C1173" t="s">
        <v>11</v>
      </c>
      <c r="D1173" t="s">
        <v>23</v>
      </c>
      <c r="E1173" t="s">
        <v>37</v>
      </c>
      <c r="F1173" t="s">
        <v>20</v>
      </c>
      <c r="G1173" s="4">
        <v>1</v>
      </c>
      <c r="H1173" s="1">
        <v>94186</v>
      </c>
      <c r="I1173" s="3" t="s">
        <v>21</v>
      </c>
      <c r="J1173" s="4">
        <v>5</v>
      </c>
    </row>
    <row r="1174" spans="1:10" x14ac:dyDescent="0.35">
      <c r="A1174" s="2" t="s">
        <v>1210</v>
      </c>
      <c r="B1174" s="4">
        <v>40</v>
      </c>
      <c r="C1174" t="s">
        <v>17</v>
      </c>
      <c r="D1174" t="s">
        <v>26</v>
      </c>
      <c r="E1174" t="s">
        <v>53</v>
      </c>
      <c r="F1174" t="s">
        <v>14</v>
      </c>
      <c r="G1174" s="4">
        <v>7</v>
      </c>
      <c r="H1174" s="1">
        <v>33249</v>
      </c>
      <c r="I1174" s="3" t="s">
        <v>15</v>
      </c>
      <c r="J1174" s="4">
        <v>4</v>
      </c>
    </row>
    <row r="1175" spans="1:10" x14ac:dyDescent="0.35">
      <c r="A1175" s="2" t="s">
        <v>1211</v>
      </c>
      <c r="B1175" s="4">
        <v>87</v>
      </c>
      <c r="C1175" t="s">
        <v>17</v>
      </c>
      <c r="D1175" t="s">
        <v>26</v>
      </c>
      <c r="E1175" t="s">
        <v>24</v>
      </c>
      <c r="F1175" t="s">
        <v>14</v>
      </c>
      <c r="G1175" s="4">
        <v>4</v>
      </c>
      <c r="H1175" s="1">
        <v>11282</v>
      </c>
      <c r="I1175" s="3" t="s">
        <v>21</v>
      </c>
      <c r="J1175" s="4">
        <v>2</v>
      </c>
    </row>
    <row r="1176" spans="1:10" x14ac:dyDescent="0.35">
      <c r="A1176" s="2" t="s">
        <v>1212</v>
      </c>
      <c r="B1176" s="4">
        <v>47</v>
      </c>
      <c r="C1176" t="s">
        <v>11</v>
      </c>
      <c r="D1176" t="s">
        <v>12</v>
      </c>
      <c r="E1176" t="s">
        <v>24</v>
      </c>
      <c r="F1176" t="s">
        <v>30</v>
      </c>
      <c r="G1176" s="4">
        <v>14</v>
      </c>
      <c r="H1176" s="1">
        <v>51659</v>
      </c>
      <c r="I1176" s="3" t="s">
        <v>15</v>
      </c>
      <c r="J1176" s="4">
        <v>5</v>
      </c>
    </row>
    <row r="1177" spans="1:10" x14ac:dyDescent="0.35">
      <c r="A1177" s="2" t="s">
        <v>1213</v>
      </c>
      <c r="B1177" s="4">
        <v>59</v>
      </c>
      <c r="C1177" t="s">
        <v>17</v>
      </c>
      <c r="D1177" t="s">
        <v>23</v>
      </c>
      <c r="E1177" t="s">
        <v>34</v>
      </c>
      <c r="F1177" t="s">
        <v>30</v>
      </c>
      <c r="G1177" s="4">
        <v>15</v>
      </c>
      <c r="H1177" s="1">
        <v>54528</v>
      </c>
      <c r="I1177" s="3" t="s">
        <v>15</v>
      </c>
      <c r="J1177" s="4">
        <v>5</v>
      </c>
    </row>
    <row r="1178" spans="1:10" x14ac:dyDescent="0.35">
      <c r="A1178" s="2" t="s">
        <v>1214</v>
      </c>
      <c r="B1178" s="4">
        <v>48</v>
      </c>
      <c r="C1178" t="s">
        <v>11</v>
      </c>
      <c r="D1178" t="s">
        <v>18</v>
      </c>
      <c r="E1178" t="s">
        <v>42</v>
      </c>
      <c r="F1178" t="s">
        <v>14</v>
      </c>
      <c r="G1178" s="4">
        <v>6</v>
      </c>
      <c r="H1178" s="1">
        <v>19914</v>
      </c>
      <c r="I1178" s="3" t="s">
        <v>21</v>
      </c>
      <c r="J1178" s="4">
        <v>2</v>
      </c>
    </row>
    <row r="1179" spans="1:10" x14ac:dyDescent="0.35">
      <c r="A1179" s="2" t="s">
        <v>1215</v>
      </c>
      <c r="B1179" s="4">
        <v>84</v>
      </c>
      <c r="C1179" t="s">
        <v>11</v>
      </c>
      <c r="D1179" t="s">
        <v>49</v>
      </c>
      <c r="E1179" t="s">
        <v>34</v>
      </c>
      <c r="F1179" t="s">
        <v>20</v>
      </c>
      <c r="G1179" s="4">
        <v>9</v>
      </c>
      <c r="H1179" s="1">
        <v>20159</v>
      </c>
      <c r="I1179" s="3" t="s">
        <v>15</v>
      </c>
      <c r="J1179" s="4">
        <v>3</v>
      </c>
    </row>
    <row r="1180" spans="1:10" x14ac:dyDescent="0.35">
      <c r="A1180" s="2" t="s">
        <v>1216</v>
      </c>
      <c r="B1180" s="4">
        <v>18</v>
      </c>
      <c r="C1180" t="s">
        <v>17</v>
      </c>
      <c r="D1180" t="s">
        <v>28</v>
      </c>
      <c r="E1180" t="s">
        <v>29</v>
      </c>
      <c r="F1180" t="s">
        <v>14</v>
      </c>
      <c r="G1180" s="4">
        <v>15</v>
      </c>
      <c r="H1180" s="1">
        <v>14844</v>
      </c>
      <c r="I1180" s="3" t="s">
        <v>21</v>
      </c>
      <c r="J1180" s="4">
        <v>2</v>
      </c>
    </row>
    <row r="1181" spans="1:10" x14ac:dyDescent="0.35">
      <c r="A1181" s="2" t="s">
        <v>1217</v>
      </c>
      <c r="B1181" s="4">
        <v>79</v>
      </c>
      <c r="C1181" t="s">
        <v>17</v>
      </c>
      <c r="D1181" t="s">
        <v>39</v>
      </c>
      <c r="E1181" t="s">
        <v>24</v>
      </c>
      <c r="F1181" t="s">
        <v>30</v>
      </c>
      <c r="G1181" s="4">
        <v>2</v>
      </c>
      <c r="H1181" s="1">
        <v>50074</v>
      </c>
      <c r="I1181" s="3" t="s">
        <v>21</v>
      </c>
      <c r="J1181" s="4">
        <v>5</v>
      </c>
    </row>
    <row r="1182" spans="1:10" x14ac:dyDescent="0.35">
      <c r="A1182" s="2" t="s">
        <v>1218</v>
      </c>
      <c r="B1182" s="4">
        <v>37</v>
      </c>
      <c r="C1182" t="s">
        <v>11</v>
      </c>
      <c r="D1182" t="s">
        <v>41</v>
      </c>
      <c r="E1182" t="s">
        <v>13</v>
      </c>
      <c r="F1182" t="s">
        <v>14</v>
      </c>
      <c r="G1182" s="4">
        <v>8</v>
      </c>
      <c r="H1182" s="1">
        <v>89587</v>
      </c>
      <c r="I1182" s="3" t="s">
        <v>21</v>
      </c>
      <c r="J1182" s="4">
        <v>5</v>
      </c>
    </row>
    <row r="1183" spans="1:10" x14ac:dyDescent="0.35">
      <c r="A1183" s="2" t="s">
        <v>1219</v>
      </c>
      <c r="B1183" s="4">
        <v>56</v>
      </c>
      <c r="C1183" t="s">
        <v>11</v>
      </c>
      <c r="D1183" t="s">
        <v>28</v>
      </c>
      <c r="E1183" t="s">
        <v>24</v>
      </c>
      <c r="F1183" t="s">
        <v>30</v>
      </c>
      <c r="G1183" s="4">
        <v>4</v>
      </c>
      <c r="H1183" s="1">
        <v>64734</v>
      </c>
      <c r="I1183" s="3" t="s">
        <v>15</v>
      </c>
      <c r="J1183" s="4">
        <v>2</v>
      </c>
    </row>
    <row r="1184" spans="1:10" x14ac:dyDescent="0.35">
      <c r="A1184" s="2" t="s">
        <v>1220</v>
      </c>
      <c r="B1184" s="4">
        <v>78</v>
      </c>
      <c r="C1184" t="s">
        <v>17</v>
      </c>
      <c r="D1184" t="s">
        <v>36</v>
      </c>
      <c r="E1184" t="s">
        <v>53</v>
      </c>
      <c r="F1184" t="s">
        <v>30</v>
      </c>
      <c r="G1184" s="4">
        <v>9</v>
      </c>
      <c r="H1184" s="1">
        <v>47640</v>
      </c>
      <c r="I1184" s="3" t="s">
        <v>15</v>
      </c>
      <c r="J1184" s="4">
        <v>1</v>
      </c>
    </row>
    <row r="1185" spans="1:10" x14ac:dyDescent="0.35">
      <c r="A1185" s="2" t="s">
        <v>1221</v>
      </c>
      <c r="B1185" s="4">
        <v>9</v>
      </c>
      <c r="C1185" t="s">
        <v>11</v>
      </c>
      <c r="D1185" t="s">
        <v>23</v>
      </c>
      <c r="E1185" t="s">
        <v>13</v>
      </c>
      <c r="F1185" t="s">
        <v>30</v>
      </c>
      <c r="G1185" s="4">
        <v>9</v>
      </c>
      <c r="H1185" s="1">
        <v>83645</v>
      </c>
      <c r="I1185" s="3" t="s">
        <v>15</v>
      </c>
      <c r="J1185" s="4">
        <v>2</v>
      </c>
    </row>
    <row r="1186" spans="1:10" x14ac:dyDescent="0.35">
      <c r="A1186" s="2" t="s">
        <v>1222</v>
      </c>
      <c r="B1186" s="4">
        <v>70</v>
      </c>
      <c r="C1186" t="s">
        <v>17</v>
      </c>
      <c r="D1186" t="s">
        <v>36</v>
      </c>
      <c r="E1186" t="s">
        <v>27</v>
      </c>
      <c r="F1186" t="s">
        <v>14</v>
      </c>
      <c r="G1186" s="4">
        <v>13</v>
      </c>
      <c r="H1186" s="1">
        <v>90906</v>
      </c>
      <c r="I1186" s="3" t="s">
        <v>21</v>
      </c>
      <c r="J1186" s="4">
        <v>3</v>
      </c>
    </row>
    <row r="1187" spans="1:10" x14ac:dyDescent="0.35">
      <c r="A1187" s="2" t="s">
        <v>1223</v>
      </c>
      <c r="B1187" s="4">
        <v>34</v>
      </c>
      <c r="C1187" t="s">
        <v>17</v>
      </c>
      <c r="D1187" t="s">
        <v>28</v>
      </c>
      <c r="E1187" t="s">
        <v>13</v>
      </c>
      <c r="F1187" t="s">
        <v>30</v>
      </c>
      <c r="G1187" s="4">
        <v>11</v>
      </c>
      <c r="H1187" s="1">
        <v>11495</v>
      </c>
      <c r="I1187" s="3" t="s">
        <v>15</v>
      </c>
      <c r="J1187" s="4">
        <v>2</v>
      </c>
    </row>
    <row r="1188" spans="1:10" x14ac:dyDescent="0.35">
      <c r="A1188" s="2" t="s">
        <v>1224</v>
      </c>
      <c r="B1188" s="4">
        <v>24</v>
      </c>
      <c r="C1188" t="s">
        <v>11</v>
      </c>
      <c r="D1188" t="s">
        <v>28</v>
      </c>
      <c r="E1188" t="s">
        <v>29</v>
      </c>
      <c r="F1188" t="s">
        <v>14</v>
      </c>
      <c r="G1188" s="4">
        <v>4</v>
      </c>
      <c r="H1188" s="1">
        <v>84584</v>
      </c>
      <c r="I1188" s="3" t="s">
        <v>21</v>
      </c>
      <c r="J1188" s="4">
        <v>3</v>
      </c>
    </row>
    <row r="1189" spans="1:10" x14ac:dyDescent="0.35">
      <c r="A1189" s="2" t="s">
        <v>1225</v>
      </c>
      <c r="B1189" s="4">
        <v>59</v>
      </c>
      <c r="C1189" t="s">
        <v>11</v>
      </c>
      <c r="D1189" t="s">
        <v>28</v>
      </c>
      <c r="E1189" t="s">
        <v>24</v>
      </c>
      <c r="F1189" t="s">
        <v>14</v>
      </c>
      <c r="G1189" s="4">
        <v>2</v>
      </c>
      <c r="H1189" s="1">
        <v>48469</v>
      </c>
      <c r="I1189" s="3" t="s">
        <v>21</v>
      </c>
      <c r="J1189" s="4">
        <v>5</v>
      </c>
    </row>
    <row r="1190" spans="1:10" x14ac:dyDescent="0.35">
      <c r="A1190" s="2" t="s">
        <v>1226</v>
      </c>
      <c r="B1190" s="4">
        <v>10</v>
      </c>
      <c r="C1190" t="s">
        <v>17</v>
      </c>
      <c r="D1190" t="s">
        <v>33</v>
      </c>
      <c r="E1190" t="s">
        <v>29</v>
      </c>
      <c r="F1190" t="s">
        <v>20</v>
      </c>
      <c r="G1190" s="4">
        <v>10</v>
      </c>
      <c r="H1190" s="1">
        <v>92947</v>
      </c>
      <c r="I1190" s="3" t="s">
        <v>21</v>
      </c>
      <c r="J1190" s="4">
        <v>3</v>
      </c>
    </row>
    <row r="1191" spans="1:10" x14ac:dyDescent="0.35">
      <c r="A1191" s="2" t="s">
        <v>1227</v>
      </c>
      <c r="B1191" s="4">
        <v>15</v>
      </c>
      <c r="C1191" t="s">
        <v>17</v>
      </c>
      <c r="D1191" t="s">
        <v>28</v>
      </c>
      <c r="E1191" t="s">
        <v>13</v>
      </c>
      <c r="F1191" t="s">
        <v>30</v>
      </c>
      <c r="G1191" s="4">
        <v>2</v>
      </c>
      <c r="H1191" s="1">
        <v>68263</v>
      </c>
      <c r="I1191" s="3" t="s">
        <v>21</v>
      </c>
      <c r="J1191" s="4">
        <v>2</v>
      </c>
    </row>
    <row r="1192" spans="1:10" x14ac:dyDescent="0.35">
      <c r="A1192" s="2" t="s">
        <v>1228</v>
      </c>
      <c r="B1192" s="4">
        <v>53</v>
      </c>
      <c r="C1192" t="s">
        <v>17</v>
      </c>
      <c r="D1192" t="s">
        <v>23</v>
      </c>
      <c r="E1192" t="s">
        <v>27</v>
      </c>
      <c r="F1192" t="s">
        <v>20</v>
      </c>
      <c r="G1192" s="4">
        <v>10</v>
      </c>
      <c r="H1192" s="1">
        <v>25895</v>
      </c>
      <c r="I1192" s="3" t="s">
        <v>15</v>
      </c>
      <c r="J1192" s="4">
        <v>3</v>
      </c>
    </row>
    <row r="1193" spans="1:10" x14ac:dyDescent="0.35">
      <c r="A1193" s="2" t="s">
        <v>1229</v>
      </c>
      <c r="B1193" s="4">
        <v>30</v>
      </c>
      <c r="C1193" t="s">
        <v>17</v>
      </c>
      <c r="D1193" t="s">
        <v>26</v>
      </c>
      <c r="E1193" t="s">
        <v>42</v>
      </c>
      <c r="F1193" t="s">
        <v>30</v>
      </c>
      <c r="G1193" s="4">
        <v>3</v>
      </c>
      <c r="H1193" s="1">
        <v>43048</v>
      </c>
      <c r="I1193" s="3" t="s">
        <v>21</v>
      </c>
      <c r="J1193" s="4">
        <v>4</v>
      </c>
    </row>
    <row r="1194" spans="1:10" x14ac:dyDescent="0.35">
      <c r="A1194" s="2" t="s">
        <v>1230</v>
      </c>
      <c r="B1194" s="4">
        <v>39</v>
      </c>
      <c r="C1194" t="s">
        <v>17</v>
      </c>
      <c r="D1194" t="s">
        <v>28</v>
      </c>
      <c r="E1194" t="s">
        <v>24</v>
      </c>
      <c r="F1194" t="s">
        <v>14</v>
      </c>
      <c r="G1194" s="4">
        <v>10</v>
      </c>
      <c r="H1194" s="1">
        <v>74858</v>
      </c>
      <c r="I1194" s="3" t="s">
        <v>21</v>
      </c>
      <c r="J1194" s="4">
        <v>1</v>
      </c>
    </row>
    <row r="1195" spans="1:10" x14ac:dyDescent="0.35">
      <c r="A1195" s="2" t="s">
        <v>1231</v>
      </c>
      <c r="B1195" s="4">
        <v>83</v>
      </c>
      <c r="C1195" t="s">
        <v>11</v>
      </c>
      <c r="D1195" t="s">
        <v>23</v>
      </c>
      <c r="E1195" t="s">
        <v>65</v>
      </c>
      <c r="F1195" t="s">
        <v>20</v>
      </c>
      <c r="G1195" s="4">
        <v>1</v>
      </c>
      <c r="H1195" s="1">
        <v>99222</v>
      </c>
      <c r="I1195" s="3" t="s">
        <v>15</v>
      </c>
      <c r="J1195" s="4">
        <v>1</v>
      </c>
    </row>
    <row r="1196" spans="1:10" x14ac:dyDescent="0.35">
      <c r="A1196" s="2" t="s">
        <v>1232</v>
      </c>
      <c r="B1196" s="4">
        <v>10</v>
      </c>
      <c r="C1196" t="s">
        <v>11</v>
      </c>
      <c r="D1196" t="s">
        <v>39</v>
      </c>
      <c r="E1196" t="s">
        <v>24</v>
      </c>
      <c r="F1196" t="s">
        <v>20</v>
      </c>
      <c r="G1196" s="4">
        <v>6</v>
      </c>
      <c r="H1196" s="1">
        <v>22157</v>
      </c>
      <c r="I1196" s="3" t="s">
        <v>21</v>
      </c>
      <c r="J1196" s="4">
        <v>4</v>
      </c>
    </row>
    <row r="1197" spans="1:10" x14ac:dyDescent="0.35">
      <c r="A1197" s="2" t="s">
        <v>1233</v>
      </c>
      <c r="B1197" s="4">
        <v>34</v>
      </c>
      <c r="C1197" t="s">
        <v>11</v>
      </c>
      <c r="D1197" t="s">
        <v>36</v>
      </c>
      <c r="E1197" t="s">
        <v>34</v>
      </c>
      <c r="F1197" t="s">
        <v>30</v>
      </c>
      <c r="G1197" s="4">
        <v>9</v>
      </c>
      <c r="H1197" s="1">
        <v>12600</v>
      </c>
      <c r="I1197" s="3" t="s">
        <v>21</v>
      </c>
      <c r="J1197" s="4">
        <v>1</v>
      </c>
    </row>
    <row r="1198" spans="1:10" x14ac:dyDescent="0.35">
      <c r="A1198" s="2" t="s">
        <v>1234</v>
      </c>
      <c r="B1198" s="4">
        <v>65</v>
      </c>
      <c r="C1198" t="s">
        <v>17</v>
      </c>
      <c r="D1198" t="s">
        <v>18</v>
      </c>
      <c r="E1198" t="s">
        <v>19</v>
      </c>
      <c r="F1198" t="s">
        <v>14</v>
      </c>
      <c r="G1198" s="4">
        <v>12</v>
      </c>
      <c r="H1198" s="1">
        <v>69965</v>
      </c>
      <c r="I1198" s="3" t="s">
        <v>21</v>
      </c>
      <c r="J1198" s="4">
        <v>5</v>
      </c>
    </row>
    <row r="1199" spans="1:10" x14ac:dyDescent="0.35">
      <c r="A1199" s="2" t="s">
        <v>1235</v>
      </c>
      <c r="B1199" s="4">
        <v>24</v>
      </c>
      <c r="C1199" t="s">
        <v>11</v>
      </c>
      <c r="D1199" t="s">
        <v>41</v>
      </c>
      <c r="E1199" t="s">
        <v>24</v>
      </c>
      <c r="F1199" t="s">
        <v>30</v>
      </c>
      <c r="G1199" s="4">
        <v>7</v>
      </c>
      <c r="H1199" s="1">
        <v>60118</v>
      </c>
      <c r="I1199" s="3" t="s">
        <v>21</v>
      </c>
      <c r="J1199" s="4">
        <v>1</v>
      </c>
    </row>
    <row r="1200" spans="1:10" x14ac:dyDescent="0.35">
      <c r="A1200" s="2" t="s">
        <v>1236</v>
      </c>
      <c r="B1200" s="4">
        <v>27</v>
      </c>
      <c r="C1200" t="s">
        <v>17</v>
      </c>
      <c r="D1200" t="s">
        <v>33</v>
      </c>
      <c r="E1200" t="s">
        <v>13</v>
      </c>
      <c r="F1200" t="s">
        <v>20</v>
      </c>
      <c r="G1200" s="4">
        <v>11</v>
      </c>
      <c r="H1200" s="1">
        <v>47189</v>
      </c>
      <c r="I1200" s="3" t="s">
        <v>21</v>
      </c>
      <c r="J1200" s="4">
        <v>1</v>
      </c>
    </row>
    <row r="1201" spans="1:10" x14ac:dyDescent="0.35">
      <c r="A1201" s="2" t="s">
        <v>1237</v>
      </c>
      <c r="B1201" s="4">
        <v>74</v>
      </c>
      <c r="C1201" t="s">
        <v>11</v>
      </c>
      <c r="D1201" t="s">
        <v>33</v>
      </c>
      <c r="E1201" t="s">
        <v>29</v>
      </c>
      <c r="F1201" t="s">
        <v>30</v>
      </c>
      <c r="G1201" s="4">
        <v>3</v>
      </c>
      <c r="H1201" s="1">
        <v>10431</v>
      </c>
      <c r="I1201" s="3" t="s">
        <v>15</v>
      </c>
      <c r="J1201" s="4">
        <v>5</v>
      </c>
    </row>
    <row r="1202" spans="1:10" x14ac:dyDescent="0.35">
      <c r="A1202" s="2" t="s">
        <v>1238</v>
      </c>
      <c r="B1202" s="4">
        <v>28</v>
      </c>
      <c r="C1202" t="s">
        <v>11</v>
      </c>
      <c r="D1202" t="s">
        <v>12</v>
      </c>
      <c r="E1202" t="s">
        <v>34</v>
      </c>
      <c r="F1202" t="s">
        <v>20</v>
      </c>
      <c r="G1202" s="4">
        <v>7</v>
      </c>
      <c r="H1202" s="1">
        <v>61674</v>
      </c>
      <c r="I1202" s="3" t="s">
        <v>15</v>
      </c>
      <c r="J1202" s="4">
        <v>3</v>
      </c>
    </row>
    <row r="1203" spans="1:10" x14ac:dyDescent="0.35">
      <c r="A1203" s="2" t="s">
        <v>1239</v>
      </c>
      <c r="B1203" s="4">
        <v>46</v>
      </c>
      <c r="C1203" t="s">
        <v>17</v>
      </c>
      <c r="D1203" t="s">
        <v>36</v>
      </c>
      <c r="E1203" t="s">
        <v>24</v>
      </c>
      <c r="F1203" t="s">
        <v>20</v>
      </c>
      <c r="G1203" s="4">
        <v>15</v>
      </c>
      <c r="H1203" s="1">
        <v>47623</v>
      </c>
      <c r="I1203" s="3" t="s">
        <v>21</v>
      </c>
      <c r="J1203" s="4">
        <v>5</v>
      </c>
    </row>
    <row r="1204" spans="1:10" x14ac:dyDescent="0.35">
      <c r="A1204" s="2" t="s">
        <v>1240</v>
      </c>
      <c r="B1204" s="4">
        <v>66</v>
      </c>
      <c r="C1204" t="s">
        <v>11</v>
      </c>
      <c r="D1204" t="s">
        <v>39</v>
      </c>
      <c r="E1204" t="s">
        <v>34</v>
      </c>
      <c r="F1204" t="s">
        <v>20</v>
      </c>
      <c r="G1204" s="4">
        <v>14</v>
      </c>
      <c r="H1204" s="1">
        <v>19023</v>
      </c>
      <c r="I1204" s="3" t="s">
        <v>15</v>
      </c>
      <c r="J1204" s="4">
        <v>2</v>
      </c>
    </row>
    <row r="1205" spans="1:10" x14ac:dyDescent="0.35">
      <c r="A1205" s="2" t="s">
        <v>1241</v>
      </c>
      <c r="B1205" s="4">
        <v>38</v>
      </c>
      <c r="C1205" t="s">
        <v>11</v>
      </c>
      <c r="D1205" t="s">
        <v>18</v>
      </c>
      <c r="E1205" t="s">
        <v>37</v>
      </c>
      <c r="F1205" t="s">
        <v>14</v>
      </c>
      <c r="G1205" s="4">
        <v>14</v>
      </c>
      <c r="H1205" s="1">
        <v>74418</v>
      </c>
      <c r="I1205" s="3" t="s">
        <v>21</v>
      </c>
      <c r="J1205" s="4">
        <v>2</v>
      </c>
    </row>
    <row r="1206" spans="1:10" x14ac:dyDescent="0.35">
      <c r="A1206" s="2" t="s">
        <v>1242</v>
      </c>
      <c r="B1206" s="4">
        <v>14</v>
      </c>
      <c r="C1206" t="s">
        <v>17</v>
      </c>
      <c r="D1206" t="s">
        <v>12</v>
      </c>
      <c r="E1206" t="s">
        <v>24</v>
      </c>
      <c r="F1206" t="s">
        <v>30</v>
      </c>
      <c r="G1206" s="4">
        <v>14</v>
      </c>
      <c r="H1206" s="1">
        <v>10166</v>
      </c>
      <c r="I1206" s="3" t="s">
        <v>21</v>
      </c>
      <c r="J1206" s="4">
        <v>4</v>
      </c>
    </row>
    <row r="1207" spans="1:10" x14ac:dyDescent="0.35">
      <c r="A1207" s="2" t="s">
        <v>1243</v>
      </c>
      <c r="B1207" s="4">
        <v>77</v>
      </c>
      <c r="C1207" t="s">
        <v>11</v>
      </c>
      <c r="D1207" t="s">
        <v>12</v>
      </c>
      <c r="E1207" t="s">
        <v>34</v>
      </c>
      <c r="F1207" t="s">
        <v>20</v>
      </c>
      <c r="G1207" s="4">
        <v>12</v>
      </c>
      <c r="H1207" s="1">
        <v>95990</v>
      </c>
      <c r="I1207" s="3" t="s">
        <v>15</v>
      </c>
      <c r="J1207" s="4">
        <v>5</v>
      </c>
    </row>
    <row r="1208" spans="1:10" x14ac:dyDescent="0.35">
      <c r="A1208" s="2" t="s">
        <v>1244</v>
      </c>
      <c r="B1208" s="4">
        <v>84</v>
      </c>
      <c r="C1208" t="s">
        <v>11</v>
      </c>
      <c r="D1208" t="s">
        <v>41</v>
      </c>
      <c r="E1208" t="s">
        <v>24</v>
      </c>
      <c r="F1208" t="s">
        <v>20</v>
      </c>
      <c r="G1208" s="4">
        <v>8</v>
      </c>
      <c r="H1208" s="1">
        <v>51088</v>
      </c>
      <c r="I1208" s="3" t="s">
        <v>21</v>
      </c>
      <c r="J1208" s="4">
        <v>2</v>
      </c>
    </row>
    <row r="1209" spans="1:10" x14ac:dyDescent="0.35">
      <c r="A1209" s="2" t="s">
        <v>1245</v>
      </c>
      <c r="B1209" s="4">
        <v>61</v>
      </c>
      <c r="C1209" t="s">
        <v>17</v>
      </c>
      <c r="D1209" t="s">
        <v>18</v>
      </c>
      <c r="E1209" t="s">
        <v>13</v>
      </c>
      <c r="F1209" t="s">
        <v>30</v>
      </c>
      <c r="G1209" s="4">
        <v>11</v>
      </c>
      <c r="H1209" s="1">
        <v>37505</v>
      </c>
      <c r="I1209" s="3" t="s">
        <v>15</v>
      </c>
      <c r="J1209" s="4">
        <v>5</v>
      </c>
    </row>
    <row r="1210" spans="1:10" x14ac:dyDescent="0.35">
      <c r="A1210" s="2" t="s">
        <v>1246</v>
      </c>
      <c r="B1210" s="4">
        <v>82</v>
      </c>
      <c r="C1210" t="s">
        <v>17</v>
      </c>
      <c r="D1210" t="s">
        <v>36</v>
      </c>
      <c r="E1210" t="s">
        <v>24</v>
      </c>
      <c r="F1210" t="s">
        <v>14</v>
      </c>
      <c r="G1210" s="4">
        <v>2</v>
      </c>
      <c r="H1210" s="1">
        <v>42921</v>
      </c>
      <c r="I1210" s="3" t="s">
        <v>21</v>
      </c>
      <c r="J1210" s="4">
        <v>4</v>
      </c>
    </row>
    <row r="1211" spans="1:10" x14ac:dyDescent="0.35">
      <c r="A1211" s="2" t="s">
        <v>1247</v>
      </c>
      <c r="B1211" s="4">
        <v>15</v>
      </c>
      <c r="C1211" t="s">
        <v>11</v>
      </c>
      <c r="D1211" t="s">
        <v>26</v>
      </c>
      <c r="E1211" t="s">
        <v>27</v>
      </c>
      <c r="F1211" t="s">
        <v>14</v>
      </c>
      <c r="G1211" s="4">
        <v>3</v>
      </c>
      <c r="H1211" s="1">
        <v>26985</v>
      </c>
      <c r="I1211" s="3" t="s">
        <v>15</v>
      </c>
      <c r="J1211" s="4">
        <v>1</v>
      </c>
    </row>
    <row r="1212" spans="1:10" x14ac:dyDescent="0.35">
      <c r="A1212" s="2" t="s">
        <v>1248</v>
      </c>
      <c r="B1212" s="4">
        <v>89</v>
      </c>
      <c r="C1212" t="s">
        <v>17</v>
      </c>
      <c r="D1212" t="s">
        <v>36</v>
      </c>
      <c r="E1212" t="s">
        <v>42</v>
      </c>
      <c r="F1212" t="s">
        <v>14</v>
      </c>
      <c r="G1212" s="4">
        <v>11</v>
      </c>
      <c r="H1212" s="1">
        <v>10859</v>
      </c>
      <c r="I1212" s="3" t="s">
        <v>15</v>
      </c>
      <c r="J1212" s="4">
        <v>4</v>
      </c>
    </row>
    <row r="1213" spans="1:10" x14ac:dyDescent="0.35">
      <c r="A1213" s="2" t="s">
        <v>1249</v>
      </c>
      <c r="B1213" s="4">
        <v>87</v>
      </c>
      <c r="C1213" t="s">
        <v>17</v>
      </c>
      <c r="D1213" t="s">
        <v>41</v>
      </c>
      <c r="E1213" t="s">
        <v>24</v>
      </c>
      <c r="F1213" t="s">
        <v>30</v>
      </c>
      <c r="G1213" s="4">
        <v>1</v>
      </c>
      <c r="H1213" s="1">
        <v>92929</v>
      </c>
      <c r="I1213" s="3" t="s">
        <v>15</v>
      </c>
      <c r="J1213" s="4">
        <v>3</v>
      </c>
    </row>
    <row r="1214" spans="1:10" x14ac:dyDescent="0.35">
      <c r="A1214" s="2" t="s">
        <v>1250</v>
      </c>
      <c r="B1214" s="4">
        <v>34</v>
      </c>
      <c r="C1214" t="s">
        <v>17</v>
      </c>
      <c r="D1214" t="s">
        <v>28</v>
      </c>
      <c r="E1214" t="s">
        <v>42</v>
      </c>
      <c r="F1214" t="s">
        <v>14</v>
      </c>
      <c r="G1214" s="4">
        <v>9</v>
      </c>
      <c r="H1214" s="1">
        <v>9386</v>
      </c>
      <c r="I1214" s="3" t="s">
        <v>21</v>
      </c>
      <c r="J1214" s="4">
        <v>2</v>
      </c>
    </row>
    <row r="1215" spans="1:10" x14ac:dyDescent="0.35">
      <c r="A1215" s="2" t="s">
        <v>1251</v>
      </c>
      <c r="B1215" s="4">
        <v>37</v>
      </c>
      <c r="C1215" t="s">
        <v>17</v>
      </c>
      <c r="D1215" t="s">
        <v>18</v>
      </c>
      <c r="E1215" t="s">
        <v>53</v>
      </c>
      <c r="F1215" t="s">
        <v>20</v>
      </c>
      <c r="G1215" s="4">
        <v>3</v>
      </c>
      <c r="H1215" s="1">
        <v>8014</v>
      </c>
      <c r="I1215" s="3" t="s">
        <v>15</v>
      </c>
      <c r="J1215" s="4">
        <v>5</v>
      </c>
    </row>
    <row r="1216" spans="1:10" x14ac:dyDescent="0.35">
      <c r="A1216" s="2" t="s">
        <v>1252</v>
      </c>
      <c r="B1216" s="4">
        <v>7</v>
      </c>
      <c r="C1216" t="s">
        <v>11</v>
      </c>
      <c r="D1216" t="s">
        <v>23</v>
      </c>
      <c r="E1216" t="s">
        <v>24</v>
      </c>
      <c r="F1216" t="s">
        <v>14</v>
      </c>
      <c r="G1216" s="4">
        <v>7</v>
      </c>
      <c r="H1216" s="1">
        <v>8859</v>
      </c>
      <c r="I1216" s="3" t="s">
        <v>15</v>
      </c>
      <c r="J1216" s="4">
        <v>5</v>
      </c>
    </row>
    <row r="1217" spans="1:10" x14ac:dyDescent="0.35">
      <c r="A1217" s="2" t="s">
        <v>1253</v>
      </c>
      <c r="B1217" s="4">
        <v>45</v>
      </c>
      <c r="C1217" t="s">
        <v>11</v>
      </c>
      <c r="D1217" t="s">
        <v>12</v>
      </c>
      <c r="E1217" t="s">
        <v>37</v>
      </c>
      <c r="F1217" t="s">
        <v>20</v>
      </c>
      <c r="G1217" s="4">
        <v>4</v>
      </c>
      <c r="H1217" s="1">
        <v>60769</v>
      </c>
      <c r="I1217" s="3" t="s">
        <v>15</v>
      </c>
      <c r="J1217" s="4">
        <v>2</v>
      </c>
    </row>
    <row r="1218" spans="1:10" x14ac:dyDescent="0.35">
      <c r="A1218" s="2" t="s">
        <v>1254</v>
      </c>
      <c r="B1218" s="4">
        <v>39</v>
      </c>
      <c r="C1218" t="s">
        <v>17</v>
      </c>
      <c r="D1218" t="s">
        <v>28</v>
      </c>
      <c r="E1218" t="s">
        <v>37</v>
      </c>
      <c r="F1218" t="s">
        <v>30</v>
      </c>
      <c r="G1218" s="4">
        <v>15</v>
      </c>
      <c r="H1218" s="1">
        <v>93776</v>
      </c>
      <c r="I1218" s="3" t="s">
        <v>21</v>
      </c>
      <c r="J1218" s="4">
        <v>4</v>
      </c>
    </row>
    <row r="1219" spans="1:10" x14ac:dyDescent="0.35">
      <c r="A1219" s="2" t="s">
        <v>1255</v>
      </c>
      <c r="B1219" s="4">
        <v>70</v>
      </c>
      <c r="C1219" t="s">
        <v>11</v>
      </c>
      <c r="D1219" t="s">
        <v>26</v>
      </c>
      <c r="E1219" t="s">
        <v>24</v>
      </c>
      <c r="F1219" t="s">
        <v>30</v>
      </c>
      <c r="G1219" s="4">
        <v>6</v>
      </c>
      <c r="H1219" s="1">
        <v>30468</v>
      </c>
      <c r="I1219" s="3" t="s">
        <v>21</v>
      </c>
      <c r="J1219" s="4">
        <v>4</v>
      </c>
    </row>
    <row r="1220" spans="1:10" x14ac:dyDescent="0.35">
      <c r="A1220" s="2" t="s">
        <v>1256</v>
      </c>
      <c r="B1220" s="4">
        <v>88</v>
      </c>
      <c r="C1220" t="s">
        <v>11</v>
      </c>
      <c r="D1220" t="s">
        <v>36</v>
      </c>
      <c r="E1220" t="s">
        <v>13</v>
      </c>
      <c r="F1220" t="s">
        <v>14</v>
      </c>
      <c r="G1220" s="4">
        <v>6</v>
      </c>
      <c r="H1220" s="1">
        <v>38759</v>
      </c>
      <c r="I1220" s="3" t="s">
        <v>21</v>
      </c>
      <c r="J1220" s="4">
        <v>1</v>
      </c>
    </row>
    <row r="1221" spans="1:10" x14ac:dyDescent="0.35">
      <c r="A1221" s="2" t="s">
        <v>1257</v>
      </c>
      <c r="B1221" s="4">
        <v>76</v>
      </c>
      <c r="C1221" t="s">
        <v>11</v>
      </c>
      <c r="D1221" t="s">
        <v>18</v>
      </c>
      <c r="E1221" t="s">
        <v>24</v>
      </c>
      <c r="F1221" t="s">
        <v>30</v>
      </c>
      <c r="G1221" s="4">
        <v>12</v>
      </c>
      <c r="H1221" s="1">
        <v>46463</v>
      </c>
      <c r="I1221" s="3" t="s">
        <v>21</v>
      </c>
      <c r="J1221" s="4">
        <v>4</v>
      </c>
    </row>
    <row r="1222" spans="1:10" x14ac:dyDescent="0.35">
      <c r="A1222" s="2" t="s">
        <v>1258</v>
      </c>
      <c r="B1222" s="4">
        <v>51</v>
      </c>
      <c r="C1222" t="s">
        <v>17</v>
      </c>
      <c r="D1222" t="s">
        <v>12</v>
      </c>
      <c r="E1222" t="s">
        <v>65</v>
      </c>
      <c r="F1222" t="s">
        <v>14</v>
      </c>
      <c r="G1222" s="4">
        <v>9</v>
      </c>
      <c r="H1222" s="1">
        <v>86863</v>
      </c>
      <c r="I1222" s="3" t="s">
        <v>15</v>
      </c>
      <c r="J1222" s="4">
        <v>3</v>
      </c>
    </row>
    <row r="1223" spans="1:10" x14ac:dyDescent="0.35">
      <c r="A1223" s="2" t="s">
        <v>1259</v>
      </c>
      <c r="B1223" s="4">
        <v>22</v>
      </c>
      <c r="C1223" t="s">
        <v>11</v>
      </c>
      <c r="D1223" t="s">
        <v>39</v>
      </c>
      <c r="E1223" t="s">
        <v>27</v>
      </c>
      <c r="F1223" t="s">
        <v>30</v>
      </c>
      <c r="G1223" s="4">
        <v>5</v>
      </c>
      <c r="H1223" s="1">
        <v>62047</v>
      </c>
      <c r="I1223" s="3" t="s">
        <v>15</v>
      </c>
      <c r="J1223" s="4">
        <v>5</v>
      </c>
    </row>
    <row r="1224" spans="1:10" x14ac:dyDescent="0.35">
      <c r="A1224" s="2" t="s">
        <v>1260</v>
      </c>
      <c r="B1224" s="4">
        <v>68</v>
      </c>
      <c r="C1224" t="s">
        <v>11</v>
      </c>
      <c r="D1224" t="s">
        <v>18</v>
      </c>
      <c r="E1224" t="s">
        <v>53</v>
      </c>
      <c r="F1224" t="s">
        <v>30</v>
      </c>
      <c r="G1224" s="4">
        <v>4</v>
      </c>
      <c r="H1224" s="1">
        <v>9270</v>
      </c>
      <c r="I1224" s="3" t="s">
        <v>15</v>
      </c>
      <c r="J1224" s="4">
        <v>5</v>
      </c>
    </row>
    <row r="1225" spans="1:10" x14ac:dyDescent="0.35">
      <c r="A1225" s="2" t="s">
        <v>1261</v>
      </c>
      <c r="B1225" s="4">
        <v>43</v>
      </c>
      <c r="C1225" t="s">
        <v>11</v>
      </c>
      <c r="D1225" t="s">
        <v>41</v>
      </c>
      <c r="E1225" t="s">
        <v>65</v>
      </c>
      <c r="F1225" t="s">
        <v>30</v>
      </c>
      <c r="G1225" s="4">
        <v>7</v>
      </c>
      <c r="H1225" s="1">
        <v>52372</v>
      </c>
      <c r="I1225" s="3" t="s">
        <v>21</v>
      </c>
      <c r="J1225" s="4">
        <v>3</v>
      </c>
    </row>
    <row r="1226" spans="1:10" x14ac:dyDescent="0.35">
      <c r="A1226" s="2" t="s">
        <v>1262</v>
      </c>
      <c r="B1226" s="4">
        <v>24</v>
      </c>
      <c r="C1226" t="s">
        <v>11</v>
      </c>
      <c r="D1226" t="s">
        <v>39</v>
      </c>
      <c r="E1226" t="s">
        <v>34</v>
      </c>
      <c r="F1226" t="s">
        <v>14</v>
      </c>
      <c r="G1226" s="4">
        <v>4</v>
      </c>
      <c r="H1226" s="1">
        <v>44234</v>
      </c>
      <c r="I1226" s="3" t="s">
        <v>15</v>
      </c>
      <c r="J1226" s="4">
        <v>1</v>
      </c>
    </row>
    <row r="1227" spans="1:10" x14ac:dyDescent="0.35">
      <c r="A1227" s="2" t="s">
        <v>1263</v>
      </c>
      <c r="B1227" s="4">
        <v>9</v>
      </c>
      <c r="C1227" t="s">
        <v>17</v>
      </c>
      <c r="D1227" t="s">
        <v>28</v>
      </c>
      <c r="E1227" t="s">
        <v>34</v>
      </c>
      <c r="F1227" t="s">
        <v>14</v>
      </c>
      <c r="G1227" s="4">
        <v>15</v>
      </c>
      <c r="H1227" s="1">
        <v>28323</v>
      </c>
      <c r="I1227" s="3" t="s">
        <v>15</v>
      </c>
      <c r="J1227" s="4">
        <v>1</v>
      </c>
    </row>
    <row r="1228" spans="1:10" x14ac:dyDescent="0.35">
      <c r="A1228" s="2" t="s">
        <v>1264</v>
      </c>
      <c r="B1228" s="4">
        <v>81</v>
      </c>
      <c r="C1228" t="s">
        <v>11</v>
      </c>
      <c r="D1228" t="s">
        <v>12</v>
      </c>
      <c r="E1228" t="s">
        <v>65</v>
      </c>
      <c r="F1228" t="s">
        <v>14</v>
      </c>
      <c r="G1228" s="4">
        <v>5</v>
      </c>
      <c r="H1228" s="1">
        <v>38912</v>
      </c>
      <c r="I1228" s="3" t="s">
        <v>15</v>
      </c>
      <c r="J1228" s="4">
        <v>2</v>
      </c>
    </row>
    <row r="1229" spans="1:10" x14ac:dyDescent="0.35">
      <c r="A1229" s="2" t="s">
        <v>1265</v>
      </c>
      <c r="B1229" s="4">
        <v>85</v>
      </c>
      <c r="C1229" t="s">
        <v>11</v>
      </c>
      <c r="D1229" t="s">
        <v>36</v>
      </c>
      <c r="E1229" t="s">
        <v>42</v>
      </c>
      <c r="F1229" t="s">
        <v>14</v>
      </c>
      <c r="G1229" s="4">
        <v>5</v>
      </c>
      <c r="H1229" s="1">
        <v>58780</v>
      </c>
      <c r="I1229" s="3" t="s">
        <v>15</v>
      </c>
      <c r="J1229" s="4">
        <v>1</v>
      </c>
    </row>
    <row r="1230" spans="1:10" x14ac:dyDescent="0.35">
      <c r="A1230" s="2" t="s">
        <v>1266</v>
      </c>
      <c r="B1230" s="4">
        <v>11</v>
      </c>
      <c r="C1230" t="s">
        <v>11</v>
      </c>
      <c r="D1230" t="s">
        <v>18</v>
      </c>
      <c r="E1230" t="s">
        <v>27</v>
      </c>
      <c r="F1230" t="s">
        <v>20</v>
      </c>
      <c r="G1230" s="4">
        <v>1</v>
      </c>
      <c r="H1230" s="1">
        <v>74566</v>
      </c>
      <c r="I1230" s="3" t="s">
        <v>15</v>
      </c>
      <c r="J1230" s="4">
        <v>4</v>
      </c>
    </row>
    <row r="1231" spans="1:10" x14ac:dyDescent="0.35">
      <c r="A1231" s="2" t="s">
        <v>1267</v>
      </c>
      <c r="B1231" s="4">
        <v>76</v>
      </c>
      <c r="C1231" t="s">
        <v>17</v>
      </c>
      <c r="D1231" t="s">
        <v>36</v>
      </c>
      <c r="E1231" t="s">
        <v>13</v>
      </c>
      <c r="F1231" t="s">
        <v>30</v>
      </c>
      <c r="G1231" s="4">
        <v>2</v>
      </c>
      <c r="H1231" s="1">
        <v>96591</v>
      </c>
      <c r="I1231" s="3" t="s">
        <v>15</v>
      </c>
      <c r="J1231" s="4">
        <v>1</v>
      </c>
    </row>
    <row r="1232" spans="1:10" x14ac:dyDescent="0.35">
      <c r="A1232" s="2" t="s">
        <v>1268</v>
      </c>
      <c r="B1232" s="4">
        <v>31</v>
      </c>
      <c r="C1232" t="s">
        <v>17</v>
      </c>
      <c r="D1232" t="s">
        <v>36</v>
      </c>
      <c r="E1232" t="s">
        <v>42</v>
      </c>
      <c r="F1232" t="s">
        <v>30</v>
      </c>
      <c r="G1232" s="4">
        <v>8</v>
      </c>
      <c r="H1232" s="1">
        <v>53201</v>
      </c>
      <c r="I1232" s="3" t="s">
        <v>21</v>
      </c>
      <c r="J1232" s="4">
        <v>4</v>
      </c>
    </row>
    <row r="1233" spans="1:10" x14ac:dyDescent="0.35">
      <c r="A1233" s="2" t="s">
        <v>1269</v>
      </c>
      <c r="B1233" s="4">
        <v>10</v>
      </c>
      <c r="C1233" t="s">
        <v>11</v>
      </c>
      <c r="D1233" t="s">
        <v>26</v>
      </c>
      <c r="E1233" t="s">
        <v>53</v>
      </c>
      <c r="F1233" t="s">
        <v>20</v>
      </c>
      <c r="G1233" s="4">
        <v>15</v>
      </c>
      <c r="H1233" s="1">
        <v>5958</v>
      </c>
      <c r="I1233" s="3" t="s">
        <v>15</v>
      </c>
      <c r="J1233" s="4">
        <v>2</v>
      </c>
    </row>
    <row r="1234" spans="1:10" x14ac:dyDescent="0.35">
      <c r="A1234" s="2" t="s">
        <v>1270</v>
      </c>
      <c r="B1234" s="4">
        <v>45</v>
      </c>
      <c r="C1234" t="s">
        <v>17</v>
      </c>
      <c r="D1234" t="s">
        <v>26</v>
      </c>
      <c r="E1234" t="s">
        <v>65</v>
      </c>
      <c r="F1234" t="s">
        <v>20</v>
      </c>
      <c r="G1234" s="4">
        <v>3</v>
      </c>
      <c r="H1234" s="1">
        <v>21196</v>
      </c>
      <c r="I1234" s="3" t="s">
        <v>21</v>
      </c>
      <c r="J1234" s="4">
        <v>1</v>
      </c>
    </row>
    <row r="1235" spans="1:10" x14ac:dyDescent="0.35">
      <c r="A1235" s="2" t="s">
        <v>1271</v>
      </c>
      <c r="B1235" s="4">
        <v>17</v>
      </c>
      <c r="C1235" t="s">
        <v>17</v>
      </c>
      <c r="D1235" t="s">
        <v>12</v>
      </c>
      <c r="E1235" t="s">
        <v>37</v>
      </c>
      <c r="F1235" t="s">
        <v>20</v>
      </c>
      <c r="G1235" s="4">
        <v>6</v>
      </c>
      <c r="H1235" s="1">
        <v>63528</v>
      </c>
      <c r="I1235" s="3" t="s">
        <v>15</v>
      </c>
      <c r="J1235" s="4">
        <v>5</v>
      </c>
    </row>
    <row r="1236" spans="1:10" x14ac:dyDescent="0.35">
      <c r="A1236" s="2" t="s">
        <v>1272</v>
      </c>
      <c r="B1236" s="4">
        <v>38</v>
      </c>
      <c r="C1236" t="s">
        <v>17</v>
      </c>
      <c r="D1236" t="s">
        <v>39</v>
      </c>
      <c r="E1236" t="s">
        <v>42</v>
      </c>
      <c r="F1236" t="s">
        <v>20</v>
      </c>
      <c r="G1236" s="4">
        <v>4</v>
      </c>
      <c r="H1236" s="1">
        <v>21425</v>
      </c>
      <c r="I1236" s="3" t="s">
        <v>21</v>
      </c>
      <c r="J1236" s="4">
        <v>4</v>
      </c>
    </row>
    <row r="1237" spans="1:10" x14ac:dyDescent="0.35">
      <c r="A1237" s="2" t="s">
        <v>1273</v>
      </c>
      <c r="B1237" s="4">
        <v>78</v>
      </c>
      <c r="C1237" t="s">
        <v>11</v>
      </c>
      <c r="D1237" t="s">
        <v>41</v>
      </c>
      <c r="E1237" t="s">
        <v>24</v>
      </c>
      <c r="F1237" t="s">
        <v>14</v>
      </c>
      <c r="G1237" s="4">
        <v>5</v>
      </c>
      <c r="H1237" s="1">
        <v>30605</v>
      </c>
      <c r="I1237" s="3" t="s">
        <v>21</v>
      </c>
      <c r="J1237" s="4">
        <v>4</v>
      </c>
    </row>
    <row r="1238" spans="1:10" x14ac:dyDescent="0.35">
      <c r="A1238" s="2" t="s">
        <v>1274</v>
      </c>
      <c r="B1238" s="4">
        <v>78</v>
      </c>
      <c r="C1238" t="s">
        <v>17</v>
      </c>
      <c r="D1238" t="s">
        <v>23</v>
      </c>
      <c r="E1238" t="s">
        <v>27</v>
      </c>
      <c r="F1238" t="s">
        <v>14</v>
      </c>
      <c r="G1238" s="4">
        <v>1</v>
      </c>
      <c r="H1238" s="1">
        <v>88482</v>
      </c>
      <c r="I1238" s="3" t="s">
        <v>15</v>
      </c>
      <c r="J1238" s="4">
        <v>3</v>
      </c>
    </row>
    <row r="1239" spans="1:10" x14ac:dyDescent="0.35">
      <c r="A1239" s="2" t="s">
        <v>1275</v>
      </c>
      <c r="B1239" s="4">
        <v>26</v>
      </c>
      <c r="C1239" t="s">
        <v>11</v>
      </c>
      <c r="D1239" t="s">
        <v>49</v>
      </c>
      <c r="E1239" t="s">
        <v>37</v>
      </c>
      <c r="F1239" t="s">
        <v>14</v>
      </c>
      <c r="G1239" s="4">
        <v>4</v>
      </c>
      <c r="H1239" s="1">
        <v>8544</v>
      </c>
      <c r="I1239" s="3" t="s">
        <v>21</v>
      </c>
      <c r="J1239" s="4">
        <v>1</v>
      </c>
    </row>
    <row r="1240" spans="1:10" x14ac:dyDescent="0.35">
      <c r="A1240" s="2" t="s">
        <v>1276</v>
      </c>
      <c r="B1240" s="4">
        <v>16</v>
      </c>
      <c r="C1240" t="s">
        <v>17</v>
      </c>
      <c r="D1240" t="s">
        <v>28</v>
      </c>
      <c r="E1240" t="s">
        <v>19</v>
      </c>
      <c r="F1240" t="s">
        <v>20</v>
      </c>
      <c r="G1240" s="4">
        <v>12</v>
      </c>
      <c r="H1240" s="1">
        <v>32506</v>
      </c>
      <c r="I1240" s="3" t="s">
        <v>15</v>
      </c>
      <c r="J1240" s="4">
        <v>3</v>
      </c>
    </row>
    <row r="1241" spans="1:10" x14ac:dyDescent="0.35">
      <c r="A1241" s="2" t="s">
        <v>1277</v>
      </c>
      <c r="B1241" s="4">
        <v>36</v>
      </c>
      <c r="C1241" t="s">
        <v>17</v>
      </c>
      <c r="D1241" t="s">
        <v>39</v>
      </c>
      <c r="E1241" t="s">
        <v>53</v>
      </c>
      <c r="F1241" t="s">
        <v>20</v>
      </c>
      <c r="G1241" s="4">
        <v>14</v>
      </c>
      <c r="H1241" s="1">
        <v>85598</v>
      </c>
      <c r="I1241" s="3" t="s">
        <v>21</v>
      </c>
      <c r="J1241" s="4">
        <v>1</v>
      </c>
    </row>
    <row r="1242" spans="1:10" x14ac:dyDescent="0.35">
      <c r="A1242" s="2" t="s">
        <v>1278</v>
      </c>
      <c r="B1242" s="4">
        <v>76</v>
      </c>
      <c r="C1242" t="s">
        <v>11</v>
      </c>
      <c r="D1242" t="s">
        <v>41</v>
      </c>
      <c r="E1242" t="s">
        <v>24</v>
      </c>
      <c r="F1242" t="s">
        <v>14</v>
      </c>
      <c r="G1242" s="4">
        <v>13</v>
      </c>
      <c r="H1242" s="1">
        <v>18767</v>
      </c>
      <c r="I1242" s="3" t="s">
        <v>21</v>
      </c>
      <c r="J1242" s="4">
        <v>2</v>
      </c>
    </row>
    <row r="1243" spans="1:10" x14ac:dyDescent="0.35">
      <c r="A1243" s="2" t="s">
        <v>1279</v>
      </c>
      <c r="B1243" s="4">
        <v>79</v>
      </c>
      <c r="C1243" t="s">
        <v>17</v>
      </c>
      <c r="D1243" t="s">
        <v>18</v>
      </c>
      <c r="E1243" t="s">
        <v>34</v>
      </c>
      <c r="F1243" t="s">
        <v>20</v>
      </c>
      <c r="G1243" s="4">
        <v>3</v>
      </c>
      <c r="H1243" s="1">
        <v>54447</v>
      </c>
      <c r="I1243" s="3" t="s">
        <v>21</v>
      </c>
      <c r="J1243" s="4">
        <v>3</v>
      </c>
    </row>
    <row r="1244" spans="1:10" x14ac:dyDescent="0.35">
      <c r="A1244" s="2" t="s">
        <v>1280</v>
      </c>
      <c r="B1244" s="4">
        <v>32</v>
      </c>
      <c r="C1244" t="s">
        <v>11</v>
      </c>
      <c r="D1244" t="s">
        <v>36</v>
      </c>
      <c r="E1244" t="s">
        <v>24</v>
      </c>
      <c r="F1244" t="s">
        <v>30</v>
      </c>
      <c r="G1244" s="4">
        <v>6</v>
      </c>
      <c r="H1244" s="1">
        <v>81485</v>
      </c>
      <c r="I1244" s="3" t="s">
        <v>15</v>
      </c>
      <c r="J1244" s="4">
        <v>2</v>
      </c>
    </row>
    <row r="1245" spans="1:10" x14ac:dyDescent="0.35">
      <c r="A1245" s="2" t="s">
        <v>1281</v>
      </c>
      <c r="B1245" s="4">
        <v>72</v>
      </c>
      <c r="C1245" t="s">
        <v>17</v>
      </c>
      <c r="D1245" t="s">
        <v>36</v>
      </c>
      <c r="E1245" t="s">
        <v>37</v>
      </c>
      <c r="F1245" t="s">
        <v>20</v>
      </c>
      <c r="G1245" s="4">
        <v>3</v>
      </c>
      <c r="H1245" s="1">
        <v>28196</v>
      </c>
      <c r="I1245" s="3" t="s">
        <v>21</v>
      </c>
      <c r="J1245" s="4">
        <v>4</v>
      </c>
    </row>
    <row r="1246" spans="1:10" x14ac:dyDescent="0.35">
      <c r="A1246" s="2" t="s">
        <v>1282</v>
      </c>
      <c r="B1246" s="4">
        <v>64</v>
      </c>
      <c r="C1246" t="s">
        <v>17</v>
      </c>
      <c r="D1246" t="s">
        <v>39</v>
      </c>
      <c r="E1246" t="s">
        <v>29</v>
      </c>
      <c r="F1246" t="s">
        <v>30</v>
      </c>
      <c r="G1246" s="4">
        <v>1</v>
      </c>
      <c r="H1246" s="1">
        <v>14744</v>
      </c>
      <c r="I1246" s="3" t="s">
        <v>15</v>
      </c>
      <c r="J1246" s="4">
        <v>3</v>
      </c>
    </row>
    <row r="1247" spans="1:10" x14ac:dyDescent="0.35">
      <c r="A1247" s="2" t="s">
        <v>1283</v>
      </c>
      <c r="B1247" s="4">
        <v>39</v>
      </c>
      <c r="C1247" t="s">
        <v>11</v>
      </c>
      <c r="D1247" t="s">
        <v>33</v>
      </c>
      <c r="E1247" t="s">
        <v>29</v>
      </c>
      <c r="F1247" t="s">
        <v>20</v>
      </c>
      <c r="G1247" s="4">
        <v>6</v>
      </c>
      <c r="H1247" s="1">
        <v>53453</v>
      </c>
      <c r="I1247" s="3" t="s">
        <v>21</v>
      </c>
      <c r="J1247" s="4">
        <v>5</v>
      </c>
    </row>
    <row r="1248" spans="1:10" x14ac:dyDescent="0.35">
      <c r="A1248" s="2" t="s">
        <v>1284</v>
      </c>
      <c r="B1248" s="4">
        <v>54</v>
      </c>
      <c r="C1248" t="s">
        <v>11</v>
      </c>
      <c r="D1248" t="s">
        <v>23</v>
      </c>
      <c r="E1248" t="s">
        <v>34</v>
      </c>
      <c r="F1248" t="s">
        <v>14</v>
      </c>
      <c r="G1248" s="4">
        <v>13</v>
      </c>
      <c r="H1248" s="1">
        <v>58923</v>
      </c>
      <c r="I1248" s="3" t="s">
        <v>15</v>
      </c>
      <c r="J1248" s="4">
        <v>2</v>
      </c>
    </row>
    <row r="1249" spans="1:10" x14ac:dyDescent="0.35">
      <c r="A1249" s="2" t="s">
        <v>1285</v>
      </c>
      <c r="B1249" s="4">
        <v>1</v>
      </c>
      <c r="C1249" t="s">
        <v>17</v>
      </c>
      <c r="D1249" t="s">
        <v>23</v>
      </c>
      <c r="E1249" t="s">
        <v>24</v>
      </c>
      <c r="F1249" t="s">
        <v>14</v>
      </c>
      <c r="G1249" s="4">
        <v>12</v>
      </c>
      <c r="H1249" s="1">
        <v>86204</v>
      </c>
      <c r="I1249" s="3" t="s">
        <v>15</v>
      </c>
      <c r="J1249" s="4">
        <v>3</v>
      </c>
    </row>
    <row r="1250" spans="1:10" x14ac:dyDescent="0.35">
      <c r="A1250" s="2" t="s">
        <v>1286</v>
      </c>
      <c r="B1250" s="4">
        <v>47</v>
      </c>
      <c r="C1250" t="s">
        <v>17</v>
      </c>
      <c r="D1250" t="s">
        <v>41</v>
      </c>
      <c r="E1250" t="s">
        <v>24</v>
      </c>
      <c r="F1250" t="s">
        <v>14</v>
      </c>
      <c r="G1250" s="4">
        <v>8</v>
      </c>
      <c r="H1250" s="1">
        <v>39985</v>
      </c>
      <c r="I1250" s="3" t="s">
        <v>15</v>
      </c>
      <c r="J1250" s="4">
        <v>5</v>
      </c>
    </row>
    <row r="1251" spans="1:10" x14ac:dyDescent="0.35">
      <c r="A1251" s="2" t="s">
        <v>1287</v>
      </c>
      <c r="B1251" s="4">
        <v>26</v>
      </c>
      <c r="C1251" t="s">
        <v>11</v>
      </c>
      <c r="D1251" t="s">
        <v>49</v>
      </c>
      <c r="E1251" t="s">
        <v>27</v>
      </c>
      <c r="F1251" t="s">
        <v>30</v>
      </c>
      <c r="G1251" s="4">
        <v>15</v>
      </c>
      <c r="H1251" s="1">
        <v>56147</v>
      </c>
      <c r="I1251" s="3" t="s">
        <v>21</v>
      </c>
      <c r="J1251" s="4">
        <v>5</v>
      </c>
    </row>
    <row r="1252" spans="1:10" x14ac:dyDescent="0.35">
      <c r="A1252" s="2" t="s">
        <v>1288</v>
      </c>
      <c r="B1252" s="4">
        <v>57</v>
      </c>
      <c r="C1252" t="s">
        <v>11</v>
      </c>
      <c r="D1252" t="s">
        <v>26</v>
      </c>
      <c r="E1252" t="s">
        <v>19</v>
      </c>
      <c r="F1252" t="s">
        <v>20</v>
      </c>
      <c r="G1252" s="4">
        <v>8</v>
      </c>
      <c r="H1252" s="1">
        <v>84120</v>
      </c>
      <c r="I1252" s="3" t="s">
        <v>21</v>
      </c>
      <c r="J1252" s="4">
        <v>4</v>
      </c>
    </row>
    <row r="1253" spans="1:10" x14ac:dyDescent="0.35">
      <c r="A1253" s="2" t="s">
        <v>1289</v>
      </c>
      <c r="B1253" s="4">
        <v>26</v>
      </c>
      <c r="C1253" t="s">
        <v>11</v>
      </c>
      <c r="D1253" t="s">
        <v>26</v>
      </c>
      <c r="E1253" t="s">
        <v>53</v>
      </c>
      <c r="F1253" t="s">
        <v>30</v>
      </c>
      <c r="G1253" s="4">
        <v>3</v>
      </c>
      <c r="H1253" s="1">
        <v>33612</v>
      </c>
      <c r="I1253" s="3" t="s">
        <v>15</v>
      </c>
      <c r="J1253" s="4">
        <v>1</v>
      </c>
    </row>
    <row r="1254" spans="1:10" x14ac:dyDescent="0.35">
      <c r="A1254" s="2" t="s">
        <v>1290</v>
      </c>
      <c r="B1254" s="4">
        <v>13</v>
      </c>
      <c r="C1254" t="s">
        <v>17</v>
      </c>
      <c r="D1254" t="s">
        <v>26</v>
      </c>
      <c r="E1254" t="s">
        <v>19</v>
      </c>
      <c r="F1254" t="s">
        <v>30</v>
      </c>
      <c r="G1254" s="4">
        <v>2</v>
      </c>
      <c r="H1254" s="1">
        <v>66595</v>
      </c>
      <c r="I1254" s="3" t="s">
        <v>15</v>
      </c>
      <c r="J1254" s="4">
        <v>4</v>
      </c>
    </row>
    <row r="1255" spans="1:10" x14ac:dyDescent="0.35">
      <c r="A1255" s="2" t="s">
        <v>1291</v>
      </c>
      <c r="B1255" s="4">
        <v>57</v>
      </c>
      <c r="C1255" t="s">
        <v>17</v>
      </c>
      <c r="D1255" t="s">
        <v>28</v>
      </c>
      <c r="E1255" t="s">
        <v>27</v>
      </c>
      <c r="F1255" t="s">
        <v>20</v>
      </c>
      <c r="G1255" s="4">
        <v>11</v>
      </c>
      <c r="H1255" s="1">
        <v>95657</v>
      </c>
      <c r="I1255" s="3" t="s">
        <v>15</v>
      </c>
      <c r="J1255" s="4">
        <v>3</v>
      </c>
    </row>
    <row r="1256" spans="1:10" x14ac:dyDescent="0.35">
      <c r="A1256" s="2" t="s">
        <v>1292</v>
      </c>
      <c r="B1256" s="4">
        <v>81</v>
      </c>
      <c r="C1256" t="s">
        <v>11</v>
      </c>
      <c r="D1256" t="s">
        <v>23</v>
      </c>
      <c r="E1256" t="s">
        <v>29</v>
      </c>
      <c r="F1256" t="s">
        <v>14</v>
      </c>
      <c r="G1256" s="4">
        <v>6</v>
      </c>
      <c r="H1256" s="1">
        <v>70223</v>
      </c>
      <c r="I1256" s="3" t="s">
        <v>21</v>
      </c>
      <c r="J1256" s="4">
        <v>5</v>
      </c>
    </row>
    <row r="1257" spans="1:10" x14ac:dyDescent="0.35">
      <c r="A1257" s="2" t="s">
        <v>1293</v>
      </c>
      <c r="B1257" s="4">
        <v>68</v>
      </c>
      <c r="C1257" t="s">
        <v>11</v>
      </c>
      <c r="D1257" t="s">
        <v>28</v>
      </c>
      <c r="E1257" t="s">
        <v>29</v>
      </c>
      <c r="F1257" t="s">
        <v>30</v>
      </c>
      <c r="G1257" s="4">
        <v>8</v>
      </c>
      <c r="H1257" s="1">
        <v>85044</v>
      </c>
      <c r="I1257" s="3" t="s">
        <v>15</v>
      </c>
      <c r="J1257" s="4">
        <v>3</v>
      </c>
    </row>
    <row r="1258" spans="1:10" x14ac:dyDescent="0.35">
      <c r="A1258" s="2" t="s">
        <v>1294</v>
      </c>
      <c r="B1258" s="4">
        <v>55</v>
      </c>
      <c r="C1258" t="s">
        <v>11</v>
      </c>
      <c r="D1258" t="s">
        <v>39</v>
      </c>
      <c r="E1258" t="s">
        <v>53</v>
      </c>
      <c r="F1258" t="s">
        <v>20</v>
      </c>
      <c r="G1258" s="4">
        <v>10</v>
      </c>
      <c r="H1258" s="1">
        <v>5326</v>
      </c>
      <c r="I1258" s="3" t="s">
        <v>15</v>
      </c>
      <c r="J1258" s="4">
        <v>2</v>
      </c>
    </row>
    <row r="1259" spans="1:10" x14ac:dyDescent="0.35">
      <c r="A1259" s="2" t="s">
        <v>1295</v>
      </c>
      <c r="B1259" s="4">
        <v>8</v>
      </c>
      <c r="C1259" t="s">
        <v>11</v>
      </c>
      <c r="D1259" t="s">
        <v>12</v>
      </c>
      <c r="E1259" t="s">
        <v>65</v>
      </c>
      <c r="F1259" t="s">
        <v>14</v>
      </c>
      <c r="G1259" s="4">
        <v>14</v>
      </c>
      <c r="H1259" s="1">
        <v>87732</v>
      </c>
      <c r="I1259" s="3" t="s">
        <v>21</v>
      </c>
      <c r="J1259" s="4">
        <v>2</v>
      </c>
    </row>
    <row r="1260" spans="1:10" x14ac:dyDescent="0.35">
      <c r="A1260" s="2" t="s">
        <v>1296</v>
      </c>
      <c r="B1260" s="4">
        <v>28</v>
      </c>
      <c r="C1260" t="s">
        <v>17</v>
      </c>
      <c r="D1260" t="s">
        <v>36</v>
      </c>
      <c r="E1260" t="s">
        <v>53</v>
      </c>
      <c r="F1260" t="s">
        <v>20</v>
      </c>
      <c r="G1260" s="4">
        <v>12</v>
      </c>
      <c r="H1260" s="1">
        <v>42051</v>
      </c>
      <c r="I1260" s="3" t="s">
        <v>21</v>
      </c>
      <c r="J1260" s="4">
        <v>5</v>
      </c>
    </row>
    <row r="1261" spans="1:10" x14ac:dyDescent="0.35">
      <c r="A1261" s="2" t="s">
        <v>1297</v>
      </c>
      <c r="B1261" s="4">
        <v>55</v>
      </c>
      <c r="C1261" t="s">
        <v>11</v>
      </c>
      <c r="D1261" t="s">
        <v>12</v>
      </c>
      <c r="E1261" t="s">
        <v>34</v>
      </c>
      <c r="F1261" t="s">
        <v>30</v>
      </c>
      <c r="G1261" s="4">
        <v>6</v>
      </c>
      <c r="H1261" s="1">
        <v>41468</v>
      </c>
      <c r="I1261" s="3" t="s">
        <v>21</v>
      </c>
      <c r="J1261" s="4">
        <v>3</v>
      </c>
    </row>
    <row r="1262" spans="1:10" x14ac:dyDescent="0.35">
      <c r="A1262" s="2" t="s">
        <v>1298</v>
      </c>
      <c r="B1262" s="4">
        <v>66</v>
      </c>
      <c r="C1262" t="s">
        <v>11</v>
      </c>
      <c r="D1262" t="s">
        <v>49</v>
      </c>
      <c r="E1262" t="s">
        <v>53</v>
      </c>
      <c r="F1262" t="s">
        <v>14</v>
      </c>
      <c r="G1262" s="4">
        <v>3</v>
      </c>
      <c r="H1262" s="1">
        <v>31897</v>
      </c>
      <c r="I1262" s="3" t="s">
        <v>15</v>
      </c>
      <c r="J1262" s="4">
        <v>4</v>
      </c>
    </row>
    <row r="1263" spans="1:10" x14ac:dyDescent="0.35">
      <c r="A1263" s="2" t="s">
        <v>1299</v>
      </c>
      <c r="B1263" s="4">
        <v>47</v>
      </c>
      <c r="C1263" t="s">
        <v>11</v>
      </c>
      <c r="D1263" t="s">
        <v>33</v>
      </c>
      <c r="E1263" t="s">
        <v>37</v>
      </c>
      <c r="F1263" t="s">
        <v>30</v>
      </c>
      <c r="G1263" s="4">
        <v>6</v>
      </c>
      <c r="H1263" s="1">
        <v>84810</v>
      </c>
      <c r="I1263" s="3" t="s">
        <v>15</v>
      </c>
      <c r="J1263" s="4">
        <v>2</v>
      </c>
    </row>
    <row r="1264" spans="1:10" x14ac:dyDescent="0.35">
      <c r="A1264" s="2" t="s">
        <v>1300</v>
      </c>
      <c r="B1264" s="4">
        <v>54</v>
      </c>
      <c r="C1264" t="s">
        <v>17</v>
      </c>
      <c r="D1264" t="s">
        <v>39</v>
      </c>
      <c r="E1264" t="s">
        <v>24</v>
      </c>
      <c r="F1264" t="s">
        <v>14</v>
      </c>
      <c r="G1264" s="4">
        <v>6</v>
      </c>
      <c r="H1264" s="1">
        <v>26034</v>
      </c>
      <c r="I1264" s="3" t="s">
        <v>21</v>
      </c>
      <c r="J1264" s="4">
        <v>5</v>
      </c>
    </row>
    <row r="1265" spans="1:10" x14ac:dyDescent="0.35">
      <c r="A1265" s="2" t="s">
        <v>1301</v>
      </c>
      <c r="B1265" s="4">
        <v>41</v>
      </c>
      <c r="C1265" t="s">
        <v>17</v>
      </c>
      <c r="D1265" t="s">
        <v>12</v>
      </c>
      <c r="E1265" t="s">
        <v>29</v>
      </c>
      <c r="F1265" t="s">
        <v>20</v>
      </c>
      <c r="G1265" s="4">
        <v>2</v>
      </c>
      <c r="H1265" s="1">
        <v>56105</v>
      </c>
      <c r="I1265" s="3" t="s">
        <v>21</v>
      </c>
      <c r="J1265" s="4">
        <v>5</v>
      </c>
    </row>
    <row r="1266" spans="1:10" x14ac:dyDescent="0.35">
      <c r="A1266" s="2" t="s">
        <v>1302</v>
      </c>
      <c r="B1266" s="4">
        <v>16</v>
      </c>
      <c r="C1266" t="s">
        <v>17</v>
      </c>
      <c r="D1266" t="s">
        <v>49</v>
      </c>
      <c r="E1266" t="s">
        <v>34</v>
      </c>
      <c r="F1266" t="s">
        <v>14</v>
      </c>
      <c r="G1266" s="4">
        <v>5</v>
      </c>
      <c r="H1266" s="1">
        <v>28561</v>
      </c>
      <c r="I1266" s="3" t="s">
        <v>21</v>
      </c>
      <c r="J1266" s="4">
        <v>2</v>
      </c>
    </row>
    <row r="1267" spans="1:10" x14ac:dyDescent="0.35">
      <c r="A1267" s="2" t="s">
        <v>1303</v>
      </c>
      <c r="B1267" s="4">
        <v>85</v>
      </c>
      <c r="C1267" t="s">
        <v>17</v>
      </c>
      <c r="D1267" t="s">
        <v>18</v>
      </c>
      <c r="E1267" t="s">
        <v>24</v>
      </c>
      <c r="F1267" t="s">
        <v>20</v>
      </c>
      <c r="G1267" s="4">
        <v>10</v>
      </c>
      <c r="H1267" s="1">
        <v>60201</v>
      </c>
      <c r="I1267" s="3" t="s">
        <v>21</v>
      </c>
      <c r="J1267" s="4">
        <v>4</v>
      </c>
    </row>
    <row r="1268" spans="1:10" x14ac:dyDescent="0.35">
      <c r="A1268" s="2" t="s">
        <v>1304</v>
      </c>
      <c r="B1268" s="4">
        <v>55</v>
      </c>
      <c r="C1268" t="s">
        <v>17</v>
      </c>
      <c r="D1268" t="s">
        <v>49</v>
      </c>
      <c r="E1268" t="s">
        <v>65</v>
      </c>
      <c r="F1268" t="s">
        <v>20</v>
      </c>
      <c r="G1268" s="4">
        <v>1</v>
      </c>
      <c r="H1268" s="1">
        <v>89486</v>
      </c>
      <c r="I1268" s="3" t="s">
        <v>21</v>
      </c>
      <c r="J1268" s="4">
        <v>2</v>
      </c>
    </row>
    <row r="1269" spans="1:10" x14ac:dyDescent="0.35">
      <c r="A1269" s="2" t="s">
        <v>1305</v>
      </c>
      <c r="B1269" s="4">
        <v>88</v>
      </c>
      <c r="C1269" t="s">
        <v>11</v>
      </c>
      <c r="D1269" t="s">
        <v>33</v>
      </c>
      <c r="E1269" t="s">
        <v>42</v>
      </c>
      <c r="F1269" t="s">
        <v>20</v>
      </c>
      <c r="G1269" s="4">
        <v>4</v>
      </c>
      <c r="H1269" s="1">
        <v>65322</v>
      </c>
      <c r="I1269" s="3" t="s">
        <v>21</v>
      </c>
      <c r="J1269" s="4">
        <v>3</v>
      </c>
    </row>
    <row r="1270" spans="1:10" x14ac:dyDescent="0.35">
      <c r="A1270" s="2" t="s">
        <v>1306</v>
      </c>
      <c r="B1270" s="4">
        <v>78</v>
      </c>
      <c r="C1270" t="s">
        <v>11</v>
      </c>
      <c r="D1270" t="s">
        <v>41</v>
      </c>
      <c r="E1270" t="s">
        <v>42</v>
      </c>
      <c r="F1270" t="s">
        <v>30</v>
      </c>
      <c r="G1270" s="4">
        <v>10</v>
      </c>
      <c r="H1270" s="1">
        <v>83642</v>
      </c>
      <c r="I1270" s="3" t="s">
        <v>15</v>
      </c>
      <c r="J1270" s="4">
        <v>1</v>
      </c>
    </row>
    <row r="1271" spans="1:10" x14ac:dyDescent="0.35">
      <c r="A1271" s="2" t="s">
        <v>1307</v>
      </c>
      <c r="B1271" s="4">
        <v>80</v>
      </c>
      <c r="C1271" t="s">
        <v>17</v>
      </c>
      <c r="D1271" t="s">
        <v>41</v>
      </c>
      <c r="E1271" t="s">
        <v>13</v>
      </c>
      <c r="F1271" t="s">
        <v>14</v>
      </c>
      <c r="G1271" s="4">
        <v>8</v>
      </c>
      <c r="H1271" s="1">
        <v>23597</v>
      </c>
      <c r="I1271" s="3" t="s">
        <v>15</v>
      </c>
      <c r="J1271" s="4">
        <v>1</v>
      </c>
    </row>
    <row r="1272" spans="1:10" x14ac:dyDescent="0.35">
      <c r="A1272" s="2" t="s">
        <v>1308</v>
      </c>
      <c r="B1272" s="4">
        <v>37</v>
      </c>
      <c r="C1272" t="s">
        <v>17</v>
      </c>
      <c r="D1272" t="s">
        <v>28</v>
      </c>
      <c r="E1272" t="s">
        <v>24</v>
      </c>
      <c r="F1272" t="s">
        <v>30</v>
      </c>
      <c r="G1272" s="4">
        <v>7</v>
      </c>
      <c r="H1272" s="1">
        <v>88398</v>
      </c>
      <c r="I1272" s="3" t="s">
        <v>15</v>
      </c>
      <c r="J1272" s="4">
        <v>4</v>
      </c>
    </row>
    <row r="1273" spans="1:10" x14ac:dyDescent="0.35">
      <c r="A1273" s="2" t="s">
        <v>1309</v>
      </c>
      <c r="B1273" s="4">
        <v>5</v>
      </c>
      <c r="C1273" t="s">
        <v>17</v>
      </c>
      <c r="D1273" t="s">
        <v>23</v>
      </c>
      <c r="E1273" t="s">
        <v>29</v>
      </c>
      <c r="F1273" t="s">
        <v>20</v>
      </c>
      <c r="G1273" s="4">
        <v>5</v>
      </c>
      <c r="H1273" s="1">
        <v>66812</v>
      </c>
      <c r="I1273" s="3" t="s">
        <v>21</v>
      </c>
      <c r="J1273" s="4">
        <v>3</v>
      </c>
    </row>
    <row r="1274" spans="1:10" x14ac:dyDescent="0.35">
      <c r="A1274" s="2" t="s">
        <v>1310</v>
      </c>
      <c r="B1274" s="4">
        <v>48</v>
      </c>
      <c r="C1274" t="s">
        <v>11</v>
      </c>
      <c r="D1274" t="s">
        <v>26</v>
      </c>
      <c r="E1274" t="s">
        <v>53</v>
      </c>
      <c r="F1274" t="s">
        <v>20</v>
      </c>
      <c r="G1274" s="4">
        <v>12</v>
      </c>
      <c r="H1274" s="1">
        <v>50514</v>
      </c>
      <c r="I1274" s="3" t="s">
        <v>15</v>
      </c>
      <c r="J1274" s="4">
        <v>5</v>
      </c>
    </row>
    <row r="1275" spans="1:10" x14ac:dyDescent="0.35">
      <c r="A1275" s="2" t="s">
        <v>1311</v>
      </c>
      <c r="B1275" s="4">
        <v>7</v>
      </c>
      <c r="C1275" t="s">
        <v>11</v>
      </c>
      <c r="D1275" t="s">
        <v>41</v>
      </c>
      <c r="E1275" t="s">
        <v>65</v>
      </c>
      <c r="F1275" t="s">
        <v>30</v>
      </c>
      <c r="G1275" s="4">
        <v>11</v>
      </c>
      <c r="H1275" s="1">
        <v>8617</v>
      </c>
      <c r="I1275" s="3" t="s">
        <v>21</v>
      </c>
      <c r="J1275" s="4">
        <v>4</v>
      </c>
    </row>
    <row r="1276" spans="1:10" x14ac:dyDescent="0.35">
      <c r="A1276" s="2" t="s">
        <v>1312</v>
      </c>
      <c r="B1276" s="4">
        <v>65</v>
      </c>
      <c r="C1276" t="s">
        <v>17</v>
      </c>
      <c r="D1276" t="s">
        <v>39</v>
      </c>
      <c r="E1276" t="s">
        <v>13</v>
      </c>
      <c r="F1276" t="s">
        <v>20</v>
      </c>
      <c r="G1276" s="4">
        <v>11</v>
      </c>
      <c r="H1276" s="1">
        <v>34035</v>
      </c>
      <c r="I1276" s="3" t="s">
        <v>15</v>
      </c>
      <c r="J1276" s="4">
        <v>4</v>
      </c>
    </row>
    <row r="1277" spans="1:10" x14ac:dyDescent="0.35">
      <c r="A1277" s="2" t="s">
        <v>1313</v>
      </c>
      <c r="B1277" s="4">
        <v>5</v>
      </c>
      <c r="C1277" t="s">
        <v>17</v>
      </c>
      <c r="D1277" t="s">
        <v>12</v>
      </c>
      <c r="E1277" t="s">
        <v>27</v>
      </c>
      <c r="F1277" t="s">
        <v>30</v>
      </c>
      <c r="G1277" s="4">
        <v>10</v>
      </c>
      <c r="H1277" s="1">
        <v>68765</v>
      </c>
      <c r="I1277" s="3" t="s">
        <v>21</v>
      </c>
      <c r="J1277" s="4">
        <v>2</v>
      </c>
    </row>
    <row r="1278" spans="1:10" x14ac:dyDescent="0.35">
      <c r="A1278" s="2" t="s">
        <v>1314</v>
      </c>
      <c r="B1278" s="4">
        <v>39</v>
      </c>
      <c r="C1278" t="s">
        <v>17</v>
      </c>
      <c r="D1278" t="s">
        <v>23</v>
      </c>
      <c r="E1278" t="s">
        <v>37</v>
      </c>
      <c r="F1278" t="s">
        <v>20</v>
      </c>
      <c r="G1278" s="4">
        <v>4</v>
      </c>
      <c r="H1278" s="1">
        <v>40185</v>
      </c>
      <c r="I1278" s="3" t="s">
        <v>15</v>
      </c>
      <c r="J1278" s="4">
        <v>2</v>
      </c>
    </row>
    <row r="1279" spans="1:10" x14ac:dyDescent="0.35">
      <c r="A1279" s="2" t="s">
        <v>1315</v>
      </c>
      <c r="B1279" s="4">
        <v>24</v>
      </c>
      <c r="C1279" t="s">
        <v>11</v>
      </c>
      <c r="D1279" t="s">
        <v>33</v>
      </c>
      <c r="E1279" t="s">
        <v>13</v>
      </c>
      <c r="F1279" t="s">
        <v>14</v>
      </c>
      <c r="G1279" s="4">
        <v>12</v>
      </c>
      <c r="H1279" s="1">
        <v>81563</v>
      </c>
      <c r="I1279" s="3" t="s">
        <v>21</v>
      </c>
      <c r="J1279" s="4">
        <v>4</v>
      </c>
    </row>
    <row r="1280" spans="1:10" x14ac:dyDescent="0.35">
      <c r="A1280" s="2" t="s">
        <v>1316</v>
      </c>
      <c r="B1280" s="4">
        <v>90</v>
      </c>
      <c r="C1280" t="s">
        <v>11</v>
      </c>
      <c r="D1280" t="s">
        <v>26</v>
      </c>
      <c r="E1280" t="s">
        <v>53</v>
      </c>
      <c r="F1280" t="s">
        <v>14</v>
      </c>
      <c r="G1280" s="4">
        <v>15</v>
      </c>
      <c r="H1280" s="1">
        <v>5488</v>
      </c>
      <c r="I1280" s="3" t="s">
        <v>21</v>
      </c>
      <c r="J1280" s="4">
        <v>5</v>
      </c>
    </row>
    <row r="1281" spans="1:10" x14ac:dyDescent="0.35">
      <c r="A1281" s="2" t="s">
        <v>1317</v>
      </c>
      <c r="B1281" s="4">
        <v>62</v>
      </c>
      <c r="C1281" t="s">
        <v>17</v>
      </c>
      <c r="D1281" t="s">
        <v>39</v>
      </c>
      <c r="E1281" t="s">
        <v>65</v>
      </c>
      <c r="F1281" t="s">
        <v>30</v>
      </c>
      <c r="G1281" s="4">
        <v>7</v>
      </c>
      <c r="H1281" s="1">
        <v>22382</v>
      </c>
      <c r="I1281" s="3" t="s">
        <v>15</v>
      </c>
      <c r="J1281" s="4">
        <v>1</v>
      </c>
    </row>
    <row r="1282" spans="1:10" x14ac:dyDescent="0.35">
      <c r="A1282" s="2" t="s">
        <v>1318</v>
      </c>
      <c r="B1282" s="4">
        <v>39</v>
      </c>
      <c r="C1282" t="s">
        <v>11</v>
      </c>
      <c r="D1282" t="s">
        <v>49</v>
      </c>
      <c r="E1282" t="s">
        <v>42</v>
      </c>
      <c r="F1282" t="s">
        <v>14</v>
      </c>
      <c r="G1282" s="4">
        <v>11</v>
      </c>
      <c r="H1282" s="1">
        <v>17080</v>
      </c>
      <c r="I1282" s="3" t="s">
        <v>15</v>
      </c>
      <c r="J1282" s="4">
        <v>1</v>
      </c>
    </row>
    <row r="1283" spans="1:10" x14ac:dyDescent="0.35">
      <c r="A1283" s="2" t="s">
        <v>1319</v>
      </c>
      <c r="B1283" s="4">
        <v>48</v>
      </c>
      <c r="C1283" t="s">
        <v>17</v>
      </c>
      <c r="D1283" t="s">
        <v>26</v>
      </c>
      <c r="E1283" t="s">
        <v>24</v>
      </c>
      <c r="F1283" t="s">
        <v>30</v>
      </c>
      <c r="G1283" s="4">
        <v>14</v>
      </c>
      <c r="H1283" s="1">
        <v>69155</v>
      </c>
      <c r="I1283" s="3" t="s">
        <v>15</v>
      </c>
      <c r="J1283" s="4">
        <v>1</v>
      </c>
    </row>
    <row r="1284" spans="1:10" x14ac:dyDescent="0.35">
      <c r="A1284" s="2" t="s">
        <v>1320</v>
      </c>
      <c r="B1284" s="4">
        <v>65</v>
      </c>
      <c r="C1284" t="s">
        <v>17</v>
      </c>
      <c r="D1284" t="s">
        <v>33</v>
      </c>
      <c r="E1284" t="s">
        <v>19</v>
      </c>
      <c r="F1284" t="s">
        <v>30</v>
      </c>
      <c r="G1284" s="4">
        <v>2</v>
      </c>
      <c r="H1284" s="1">
        <v>68685</v>
      </c>
      <c r="I1284" s="3" t="s">
        <v>15</v>
      </c>
      <c r="J1284" s="4">
        <v>5</v>
      </c>
    </row>
    <row r="1285" spans="1:10" x14ac:dyDescent="0.35">
      <c r="A1285" s="2" t="s">
        <v>1321</v>
      </c>
      <c r="B1285" s="4">
        <v>47</v>
      </c>
      <c r="C1285" t="s">
        <v>11</v>
      </c>
      <c r="D1285" t="s">
        <v>28</v>
      </c>
      <c r="E1285" t="s">
        <v>19</v>
      </c>
      <c r="F1285" t="s">
        <v>30</v>
      </c>
      <c r="G1285" s="4">
        <v>3</v>
      </c>
      <c r="H1285" s="1">
        <v>49608</v>
      </c>
      <c r="I1285" s="3" t="s">
        <v>15</v>
      </c>
      <c r="J1285" s="4">
        <v>3</v>
      </c>
    </row>
    <row r="1286" spans="1:10" x14ac:dyDescent="0.35">
      <c r="A1286" s="2" t="s">
        <v>1322</v>
      </c>
      <c r="B1286" s="4">
        <v>4</v>
      </c>
      <c r="C1286" t="s">
        <v>11</v>
      </c>
      <c r="D1286" t="s">
        <v>23</v>
      </c>
      <c r="E1286" t="s">
        <v>13</v>
      </c>
      <c r="F1286" t="s">
        <v>30</v>
      </c>
      <c r="G1286" s="4">
        <v>14</v>
      </c>
      <c r="H1286" s="1">
        <v>60480</v>
      </c>
      <c r="I1286" s="3" t="s">
        <v>15</v>
      </c>
      <c r="J1286" s="4">
        <v>3</v>
      </c>
    </row>
    <row r="1287" spans="1:10" x14ac:dyDescent="0.35">
      <c r="A1287" s="2" t="s">
        <v>1323</v>
      </c>
      <c r="B1287" s="4">
        <v>11</v>
      </c>
      <c r="C1287" t="s">
        <v>11</v>
      </c>
      <c r="D1287" t="s">
        <v>26</v>
      </c>
      <c r="E1287" t="s">
        <v>13</v>
      </c>
      <c r="F1287" t="s">
        <v>14</v>
      </c>
      <c r="G1287" s="4">
        <v>9</v>
      </c>
      <c r="H1287" s="1">
        <v>49864</v>
      </c>
      <c r="I1287" s="3" t="s">
        <v>21</v>
      </c>
      <c r="J1287" s="4">
        <v>4</v>
      </c>
    </row>
    <row r="1288" spans="1:10" x14ac:dyDescent="0.35">
      <c r="A1288" s="2" t="s">
        <v>1324</v>
      </c>
      <c r="B1288" s="4">
        <v>85</v>
      </c>
      <c r="C1288" t="s">
        <v>11</v>
      </c>
      <c r="D1288" t="s">
        <v>12</v>
      </c>
      <c r="E1288" t="s">
        <v>13</v>
      </c>
      <c r="F1288" t="s">
        <v>20</v>
      </c>
      <c r="G1288" s="4">
        <v>7</v>
      </c>
      <c r="H1288" s="1">
        <v>65820</v>
      </c>
      <c r="I1288" s="3" t="s">
        <v>21</v>
      </c>
      <c r="J1288" s="4">
        <v>3</v>
      </c>
    </row>
    <row r="1289" spans="1:10" x14ac:dyDescent="0.35">
      <c r="A1289" s="2" t="s">
        <v>1325</v>
      </c>
      <c r="B1289" s="4">
        <v>4</v>
      </c>
      <c r="C1289" t="s">
        <v>11</v>
      </c>
      <c r="D1289" t="s">
        <v>36</v>
      </c>
      <c r="E1289" t="s">
        <v>53</v>
      </c>
      <c r="F1289" t="s">
        <v>20</v>
      </c>
      <c r="G1289" s="4">
        <v>6</v>
      </c>
      <c r="H1289" s="1">
        <v>80307</v>
      </c>
      <c r="I1289" s="3" t="s">
        <v>15</v>
      </c>
      <c r="J1289" s="4">
        <v>1</v>
      </c>
    </row>
    <row r="1290" spans="1:10" x14ac:dyDescent="0.35">
      <c r="A1290" s="2" t="s">
        <v>1326</v>
      </c>
      <c r="B1290" s="4">
        <v>43</v>
      </c>
      <c r="C1290" t="s">
        <v>11</v>
      </c>
      <c r="D1290" t="s">
        <v>49</v>
      </c>
      <c r="E1290" t="s">
        <v>27</v>
      </c>
      <c r="F1290" t="s">
        <v>14</v>
      </c>
      <c r="G1290" s="4">
        <v>1</v>
      </c>
      <c r="H1290" s="1">
        <v>9759</v>
      </c>
      <c r="I1290" s="3" t="s">
        <v>21</v>
      </c>
      <c r="J1290" s="4">
        <v>3</v>
      </c>
    </row>
    <row r="1291" spans="1:10" x14ac:dyDescent="0.35">
      <c r="A1291" s="2" t="s">
        <v>1327</v>
      </c>
      <c r="B1291" s="4">
        <v>50</v>
      </c>
      <c r="C1291" t="s">
        <v>11</v>
      </c>
      <c r="D1291" t="s">
        <v>23</v>
      </c>
      <c r="E1291" t="s">
        <v>19</v>
      </c>
      <c r="F1291" t="s">
        <v>20</v>
      </c>
      <c r="G1291" s="4">
        <v>11</v>
      </c>
      <c r="H1291" s="1">
        <v>87813</v>
      </c>
      <c r="I1291" s="3" t="s">
        <v>21</v>
      </c>
      <c r="J1291" s="4">
        <v>5</v>
      </c>
    </row>
    <row r="1292" spans="1:10" x14ac:dyDescent="0.35">
      <c r="A1292" s="2" t="s">
        <v>1328</v>
      </c>
      <c r="B1292" s="4">
        <v>77</v>
      </c>
      <c r="C1292" t="s">
        <v>17</v>
      </c>
      <c r="D1292" t="s">
        <v>28</v>
      </c>
      <c r="E1292" t="s">
        <v>24</v>
      </c>
      <c r="F1292" t="s">
        <v>14</v>
      </c>
      <c r="G1292" s="4">
        <v>5</v>
      </c>
      <c r="H1292" s="1">
        <v>30417</v>
      </c>
      <c r="I1292" s="3" t="s">
        <v>21</v>
      </c>
      <c r="J1292" s="4">
        <v>4</v>
      </c>
    </row>
    <row r="1293" spans="1:10" x14ac:dyDescent="0.35">
      <c r="A1293" s="2" t="s">
        <v>1329</v>
      </c>
      <c r="B1293" s="4">
        <v>88</v>
      </c>
      <c r="C1293" t="s">
        <v>11</v>
      </c>
      <c r="D1293" t="s">
        <v>41</v>
      </c>
      <c r="E1293" t="s">
        <v>53</v>
      </c>
      <c r="F1293" t="s">
        <v>14</v>
      </c>
      <c r="G1293" s="4">
        <v>15</v>
      </c>
      <c r="H1293" s="1">
        <v>39062</v>
      </c>
      <c r="I1293" s="3" t="s">
        <v>15</v>
      </c>
      <c r="J1293" s="4">
        <v>3</v>
      </c>
    </row>
    <row r="1294" spans="1:10" x14ac:dyDescent="0.35">
      <c r="A1294" s="2" t="s">
        <v>1330</v>
      </c>
      <c r="B1294" s="4">
        <v>47</v>
      </c>
      <c r="C1294" t="s">
        <v>17</v>
      </c>
      <c r="D1294" t="s">
        <v>18</v>
      </c>
      <c r="E1294" t="s">
        <v>27</v>
      </c>
      <c r="F1294" t="s">
        <v>30</v>
      </c>
      <c r="G1294" s="4">
        <v>9</v>
      </c>
      <c r="H1294" s="1">
        <v>93461</v>
      </c>
      <c r="I1294" s="3" t="s">
        <v>21</v>
      </c>
      <c r="J1294" s="4">
        <v>1</v>
      </c>
    </row>
    <row r="1295" spans="1:10" x14ac:dyDescent="0.35">
      <c r="A1295" s="2" t="s">
        <v>1331</v>
      </c>
      <c r="B1295" s="4">
        <v>75</v>
      </c>
      <c r="C1295" t="s">
        <v>11</v>
      </c>
      <c r="D1295" t="s">
        <v>28</v>
      </c>
      <c r="E1295" t="s">
        <v>37</v>
      </c>
      <c r="F1295" t="s">
        <v>14</v>
      </c>
      <c r="G1295" s="4">
        <v>13</v>
      </c>
      <c r="H1295" s="1">
        <v>84466</v>
      </c>
      <c r="I1295" s="3" t="s">
        <v>15</v>
      </c>
      <c r="J1295" s="4">
        <v>3</v>
      </c>
    </row>
    <row r="1296" spans="1:10" x14ac:dyDescent="0.35">
      <c r="A1296" s="2" t="s">
        <v>1332</v>
      </c>
      <c r="B1296" s="4">
        <v>87</v>
      </c>
      <c r="C1296" t="s">
        <v>17</v>
      </c>
      <c r="D1296" t="s">
        <v>33</v>
      </c>
      <c r="E1296" t="s">
        <v>34</v>
      </c>
      <c r="F1296" t="s">
        <v>30</v>
      </c>
      <c r="G1296" s="4">
        <v>12</v>
      </c>
      <c r="H1296" s="1">
        <v>74332</v>
      </c>
      <c r="I1296" s="3" t="s">
        <v>21</v>
      </c>
      <c r="J1296" s="4">
        <v>4</v>
      </c>
    </row>
    <row r="1297" spans="1:10" x14ac:dyDescent="0.35">
      <c r="A1297" s="2" t="s">
        <v>1333</v>
      </c>
      <c r="B1297" s="4">
        <v>87</v>
      </c>
      <c r="C1297" t="s">
        <v>17</v>
      </c>
      <c r="D1297" t="s">
        <v>26</v>
      </c>
      <c r="E1297" t="s">
        <v>34</v>
      </c>
      <c r="F1297" t="s">
        <v>20</v>
      </c>
      <c r="G1297" s="4">
        <v>6</v>
      </c>
      <c r="H1297" s="1">
        <v>53407</v>
      </c>
      <c r="I1297" s="3" t="s">
        <v>15</v>
      </c>
      <c r="J1297" s="4">
        <v>2</v>
      </c>
    </row>
    <row r="1298" spans="1:10" x14ac:dyDescent="0.35">
      <c r="A1298" s="2" t="s">
        <v>1334</v>
      </c>
      <c r="B1298" s="4">
        <v>40</v>
      </c>
      <c r="C1298" t="s">
        <v>11</v>
      </c>
      <c r="D1298" t="s">
        <v>28</v>
      </c>
      <c r="E1298" t="s">
        <v>42</v>
      </c>
      <c r="F1298" t="s">
        <v>14</v>
      </c>
      <c r="G1298" s="4">
        <v>14</v>
      </c>
      <c r="H1298" s="1">
        <v>16945</v>
      </c>
      <c r="I1298" s="3" t="s">
        <v>15</v>
      </c>
      <c r="J1298" s="4">
        <v>1</v>
      </c>
    </row>
    <row r="1299" spans="1:10" x14ac:dyDescent="0.35">
      <c r="A1299" s="2" t="s">
        <v>1335</v>
      </c>
      <c r="B1299" s="4">
        <v>69</v>
      </c>
      <c r="C1299" t="s">
        <v>11</v>
      </c>
      <c r="D1299" t="s">
        <v>36</v>
      </c>
      <c r="E1299" t="s">
        <v>65</v>
      </c>
      <c r="F1299" t="s">
        <v>20</v>
      </c>
      <c r="G1299" s="4">
        <v>12</v>
      </c>
      <c r="H1299" s="1">
        <v>37983</v>
      </c>
      <c r="I1299" s="3" t="s">
        <v>21</v>
      </c>
      <c r="J1299" s="4">
        <v>4</v>
      </c>
    </row>
    <row r="1300" spans="1:10" x14ac:dyDescent="0.35">
      <c r="A1300" s="2" t="s">
        <v>1336</v>
      </c>
      <c r="B1300" s="4">
        <v>20</v>
      </c>
      <c r="C1300" t="s">
        <v>17</v>
      </c>
      <c r="D1300" t="s">
        <v>36</v>
      </c>
      <c r="E1300" t="s">
        <v>29</v>
      </c>
      <c r="F1300" t="s">
        <v>20</v>
      </c>
      <c r="G1300" s="4">
        <v>6</v>
      </c>
      <c r="H1300" s="1">
        <v>30778</v>
      </c>
      <c r="I1300" s="3" t="s">
        <v>15</v>
      </c>
      <c r="J1300" s="4">
        <v>1</v>
      </c>
    </row>
    <row r="1301" spans="1:10" x14ac:dyDescent="0.35">
      <c r="A1301" s="2" t="s">
        <v>1337</v>
      </c>
      <c r="B1301" s="4">
        <v>48</v>
      </c>
      <c r="C1301" t="s">
        <v>11</v>
      </c>
      <c r="D1301" t="s">
        <v>23</v>
      </c>
      <c r="E1301" t="s">
        <v>24</v>
      </c>
      <c r="F1301" t="s">
        <v>30</v>
      </c>
      <c r="G1301" s="4">
        <v>15</v>
      </c>
      <c r="H1301" s="1">
        <v>61869</v>
      </c>
      <c r="I1301" s="3" t="s">
        <v>21</v>
      </c>
      <c r="J1301" s="4">
        <v>3</v>
      </c>
    </row>
    <row r="1302" spans="1:10" x14ac:dyDescent="0.35">
      <c r="A1302" s="2" t="s">
        <v>1338</v>
      </c>
      <c r="B1302" s="4">
        <v>71</v>
      </c>
      <c r="C1302" t="s">
        <v>17</v>
      </c>
      <c r="D1302" t="s">
        <v>39</v>
      </c>
      <c r="E1302" t="s">
        <v>53</v>
      </c>
      <c r="F1302" t="s">
        <v>14</v>
      </c>
      <c r="G1302" s="4">
        <v>1</v>
      </c>
      <c r="H1302" s="1">
        <v>51182</v>
      </c>
      <c r="I1302" s="3" t="s">
        <v>15</v>
      </c>
      <c r="J1302" s="4">
        <v>5</v>
      </c>
    </row>
    <row r="1303" spans="1:10" x14ac:dyDescent="0.35">
      <c r="A1303" s="2" t="s">
        <v>1339</v>
      </c>
      <c r="B1303" s="4">
        <v>56</v>
      </c>
      <c r="C1303" t="s">
        <v>11</v>
      </c>
      <c r="D1303" t="s">
        <v>41</v>
      </c>
      <c r="E1303" t="s">
        <v>34</v>
      </c>
      <c r="F1303" t="s">
        <v>14</v>
      </c>
      <c r="G1303" s="4">
        <v>12</v>
      </c>
      <c r="H1303" s="1">
        <v>19390</v>
      </c>
      <c r="I1303" s="3" t="s">
        <v>15</v>
      </c>
      <c r="J1303" s="4">
        <v>1</v>
      </c>
    </row>
    <row r="1304" spans="1:10" x14ac:dyDescent="0.35">
      <c r="A1304" s="2" t="s">
        <v>1340</v>
      </c>
      <c r="B1304" s="4">
        <v>81</v>
      </c>
      <c r="C1304" t="s">
        <v>17</v>
      </c>
      <c r="D1304" t="s">
        <v>12</v>
      </c>
      <c r="E1304" t="s">
        <v>29</v>
      </c>
      <c r="F1304" t="s">
        <v>14</v>
      </c>
      <c r="G1304" s="4">
        <v>15</v>
      </c>
      <c r="H1304" s="1">
        <v>38516</v>
      </c>
      <c r="I1304" s="3" t="s">
        <v>15</v>
      </c>
      <c r="J1304" s="4">
        <v>5</v>
      </c>
    </row>
    <row r="1305" spans="1:10" x14ac:dyDescent="0.35">
      <c r="A1305" s="2" t="s">
        <v>1341</v>
      </c>
      <c r="B1305" s="4">
        <v>63</v>
      </c>
      <c r="C1305" t="s">
        <v>17</v>
      </c>
      <c r="D1305" t="s">
        <v>18</v>
      </c>
      <c r="E1305" t="s">
        <v>19</v>
      </c>
      <c r="F1305" t="s">
        <v>30</v>
      </c>
      <c r="G1305" s="4">
        <v>2</v>
      </c>
      <c r="H1305" s="1">
        <v>16989</v>
      </c>
      <c r="I1305" s="3" t="s">
        <v>21</v>
      </c>
      <c r="J1305" s="4">
        <v>5</v>
      </c>
    </row>
    <row r="1306" spans="1:10" x14ac:dyDescent="0.35">
      <c r="A1306" s="2" t="s">
        <v>1342</v>
      </c>
      <c r="B1306" s="4">
        <v>70</v>
      </c>
      <c r="C1306" t="s">
        <v>17</v>
      </c>
      <c r="D1306" t="s">
        <v>26</v>
      </c>
      <c r="E1306" t="s">
        <v>42</v>
      </c>
      <c r="F1306" t="s">
        <v>30</v>
      </c>
      <c r="G1306" s="4">
        <v>1</v>
      </c>
      <c r="H1306" s="1">
        <v>39183</v>
      </c>
      <c r="I1306" s="3" t="s">
        <v>15</v>
      </c>
      <c r="J1306" s="4">
        <v>2</v>
      </c>
    </row>
    <row r="1307" spans="1:10" x14ac:dyDescent="0.35">
      <c r="A1307" s="2" t="s">
        <v>1343</v>
      </c>
      <c r="B1307" s="4">
        <v>18</v>
      </c>
      <c r="C1307" t="s">
        <v>11</v>
      </c>
      <c r="D1307" t="s">
        <v>28</v>
      </c>
      <c r="E1307" t="s">
        <v>24</v>
      </c>
      <c r="F1307" t="s">
        <v>30</v>
      </c>
      <c r="G1307" s="4">
        <v>3</v>
      </c>
      <c r="H1307" s="1">
        <v>94343</v>
      </c>
      <c r="I1307" s="3" t="s">
        <v>15</v>
      </c>
      <c r="J1307" s="4">
        <v>3</v>
      </c>
    </row>
    <row r="1308" spans="1:10" x14ac:dyDescent="0.35">
      <c r="A1308" s="2" t="s">
        <v>1344</v>
      </c>
      <c r="B1308" s="4">
        <v>68</v>
      </c>
      <c r="C1308" t="s">
        <v>17</v>
      </c>
      <c r="D1308" t="s">
        <v>49</v>
      </c>
      <c r="E1308" t="s">
        <v>65</v>
      </c>
      <c r="F1308" t="s">
        <v>30</v>
      </c>
      <c r="G1308" s="4">
        <v>3</v>
      </c>
      <c r="H1308" s="1">
        <v>75537</v>
      </c>
      <c r="I1308" s="3" t="s">
        <v>15</v>
      </c>
      <c r="J1308" s="4">
        <v>1</v>
      </c>
    </row>
    <row r="1309" spans="1:10" x14ac:dyDescent="0.35">
      <c r="A1309" s="2" t="s">
        <v>1345</v>
      </c>
      <c r="B1309" s="4">
        <v>39</v>
      </c>
      <c r="C1309" t="s">
        <v>17</v>
      </c>
      <c r="D1309" t="s">
        <v>23</v>
      </c>
      <c r="E1309" t="s">
        <v>37</v>
      </c>
      <c r="F1309" t="s">
        <v>30</v>
      </c>
      <c r="G1309" s="4">
        <v>10</v>
      </c>
      <c r="H1309" s="1">
        <v>90823</v>
      </c>
      <c r="I1309" s="3" t="s">
        <v>15</v>
      </c>
      <c r="J1309" s="4">
        <v>3</v>
      </c>
    </row>
    <row r="1310" spans="1:10" x14ac:dyDescent="0.35">
      <c r="A1310" s="2" t="s">
        <v>1346</v>
      </c>
      <c r="B1310" s="4">
        <v>41</v>
      </c>
      <c r="C1310" t="s">
        <v>17</v>
      </c>
      <c r="D1310" t="s">
        <v>12</v>
      </c>
      <c r="E1310" t="s">
        <v>37</v>
      </c>
      <c r="F1310" t="s">
        <v>30</v>
      </c>
      <c r="G1310" s="4">
        <v>4</v>
      </c>
      <c r="H1310" s="1">
        <v>95131</v>
      </c>
      <c r="I1310" s="3" t="s">
        <v>15</v>
      </c>
      <c r="J1310" s="4">
        <v>5</v>
      </c>
    </row>
    <row r="1311" spans="1:10" x14ac:dyDescent="0.35">
      <c r="A1311" s="2" t="s">
        <v>1347</v>
      </c>
      <c r="B1311" s="4">
        <v>6</v>
      </c>
      <c r="C1311" t="s">
        <v>17</v>
      </c>
      <c r="D1311" t="s">
        <v>33</v>
      </c>
      <c r="E1311" t="s">
        <v>29</v>
      </c>
      <c r="F1311" t="s">
        <v>20</v>
      </c>
      <c r="G1311" s="4">
        <v>12</v>
      </c>
      <c r="H1311" s="1">
        <v>36673</v>
      </c>
      <c r="I1311" s="3" t="s">
        <v>21</v>
      </c>
      <c r="J1311" s="4">
        <v>1</v>
      </c>
    </row>
    <row r="1312" spans="1:10" x14ac:dyDescent="0.35">
      <c r="A1312" s="2" t="s">
        <v>1348</v>
      </c>
      <c r="B1312" s="4">
        <v>71</v>
      </c>
      <c r="C1312" t="s">
        <v>11</v>
      </c>
      <c r="D1312" t="s">
        <v>26</v>
      </c>
      <c r="E1312" t="s">
        <v>24</v>
      </c>
      <c r="F1312" t="s">
        <v>20</v>
      </c>
      <c r="G1312" s="4">
        <v>13</v>
      </c>
      <c r="H1312" s="1">
        <v>11124</v>
      </c>
      <c r="I1312" s="3" t="s">
        <v>15</v>
      </c>
      <c r="J1312" s="4">
        <v>5</v>
      </c>
    </row>
    <row r="1313" spans="1:10" x14ac:dyDescent="0.35">
      <c r="A1313" s="2" t="s">
        <v>1349</v>
      </c>
      <c r="B1313" s="4">
        <v>38</v>
      </c>
      <c r="C1313" t="s">
        <v>11</v>
      </c>
      <c r="D1313" t="s">
        <v>23</v>
      </c>
      <c r="E1313" t="s">
        <v>24</v>
      </c>
      <c r="F1313" t="s">
        <v>30</v>
      </c>
      <c r="G1313" s="4">
        <v>1</v>
      </c>
      <c r="H1313" s="1">
        <v>35250</v>
      </c>
      <c r="I1313" s="3" t="s">
        <v>21</v>
      </c>
      <c r="J1313" s="4">
        <v>5</v>
      </c>
    </row>
    <row r="1314" spans="1:10" x14ac:dyDescent="0.35">
      <c r="A1314" s="2" t="s">
        <v>1350</v>
      </c>
      <c r="B1314" s="4">
        <v>6</v>
      </c>
      <c r="C1314" t="s">
        <v>11</v>
      </c>
      <c r="D1314" t="s">
        <v>36</v>
      </c>
      <c r="E1314" t="s">
        <v>53</v>
      </c>
      <c r="F1314" t="s">
        <v>20</v>
      </c>
      <c r="G1314" s="4">
        <v>1</v>
      </c>
      <c r="H1314" s="1">
        <v>47113</v>
      </c>
      <c r="I1314" s="3" t="s">
        <v>15</v>
      </c>
      <c r="J1314" s="4">
        <v>5</v>
      </c>
    </row>
    <row r="1315" spans="1:10" x14ac:dyDescent="0.35">
      <c r="A1315" s="2" t="s">
        <v>1351</v>
      </c>
      <c r="B1315" s="4">
        <v>43</v>
      </c>
      <c r="C1315" t="s">
        <v>17</v>
      </c>
      <c r="D1315" t="s">
        <v>33</v>
      </c>
      <c r="E1315" t="s">
        <v>13</v>
      </c>
      <c r="F1315" t="s">
        <v>30</v>
      </c>
      <c r="G1315" s="4">
        <v>4</v>
      </c>
      <c r="H1315" s="1">
        <v>71289</v>
      </c>
      <c r="I1315" s="3" t="s">
        <v>21</v>
      </c>
      <c r="J1315" s="4">
        <v>1</v>
      </c>
    </row>
    <row r="1316" spans="1:10" x14ac:dyDescent="0.35">
      <c r="A1316" s="2" t="s">
        <v>1352</v>
      </c>
      <c r="B1316" s="4">
        <v>31</v>
      </c>
      <c r="C1316" t="s">
        <v>17</v>
      </c>
      <c r="D1316" t="s">
        <v>28</v>
      </c>
      <c r="E1316" t="s">
        <v>13</v>
      </c>
      <c r="F1316" t="s">
        <v>14</v>
      </c>
      <c r="G1316" s="4">
        <v>6</v>
      </c>
      <c r="H1316" s="1">
        <v>94285</v>
      </c>
      <c r="I1316" s="3" t="s">
        <v>15</v>
      </c>
      <c r="J1316" s="4">
        <v>4</v>
      </c>
    </row>
    <row r="1317" spans="1:10" x14ac:dyDescent="0.35">
      <c r="A1317" s="2" t="s">
        <v>1353</v>
      </c>
      <c r="B1317" s="4">
        <v>74</v>
      </c>
      <c r="C1317" t="s">
        <v>11</v>
      </c>
      <c r="D1317" t="s">
        <v>12</v>
      </c>
      <c r="E1317" t="s">
        <v>24</v>
      </c>
      <c r="F1317" t="s">
        <v>14</v>
      </c>
      <c r="G1317" s="4">
        <v>2</v>
      </c>
      <c r="H1317" s="1">
        <v>43935</v>
      </c>
      <c r="I1317" s="3" t="s">
        <v>15</v>
      </c>
      <c r="J1317" s="4">
        <v>3</v>
      </c>
    </row>
    <row r="1318" spans="1:10" x14ac:dyDescent="0.35">
      <c r="A1318" s="2" t="s">
        <v>1354</v>
      </c>
      <c r="B1318" s="4">
        <v>29</v>
      </c>
      <c r="C1318" t="s">
        <v>11</v>
      </c>
      <c r="D1318" t="s">
        <v>18</v>
      </c>
      <c r="E1318" t="s">
        <v>42</v>
      </c>
      <c r="F1318" t="s">
        <v>30</v>
      </c>
      <c r="G1318" s="4">
        <v>3</v>
      </c>
      <c r="H1318" s="1">
        <v>18346</v>
      </c>
      <c r="I1318" s="3" t="s">
        <v>21</v>
      </c>
      <c r="J1318" s="4">
        <v>2</v>
      </c>
    </row>
    <row r="1319" spans="1:10" x14ac:dyDescent="0.35">
      <c r="A1319" s="2" t="s">
        <v>1355</v>
      </c>
      <c r="B1319" s="4">
        <v>40</v>
      </c>
      <c r="C1319" t="s">
        <v>17</v>
      </c>
      <c r="D1319" t="s">
        <v>28</v>
      </c>
      <c r="E1319" t="s">
        <v>53</v>
      </c>
      <c r="F1319" t="s">
        <v>20</v>
      </c>
      <c r="G1319" s="4">
        <v>6</v>
      </c>
      <c r="H1319" s="1">
        <v>98792</v>
      </c>
      <c r="I1319" s="3" t="s">
        <v>15</v>
      </c>
      <c r="J1319" s="4">
        <v>2</v>
      </c>
    </row>
    <row r="1320" spans="1:10" x14ac:dyDescent="0.35">
      <c r="A1320" s="2" t="s">
        <v>1356</v>
      </c>
      <c r="B1320" s="4">
        <v>14</v>
      </c>
      <c r="C1320" t="s">
        <v>17</v>
      </c>
      <c r="D1320" t="s">
        <v>49</v>
      </c>
      <c r="E1320" t="s">
        <v>53</v>
      </c>
      <c r="F1320" t="s">
        <v>20</v>
      </c>
      <c r="G1320" s="4">
        <v>4</v>
      </c>
      <c r="H1320" s="1">
        <v>50927</v>
      </c>
      <c r="I1320" s="3" t="s">
        <v>15</v>
      </c>
      <c r="J1320" s="4">
        <v>1</v>
      </c>
    </row>
    <row r="1321" spans="1:10" x14ac:dyDescent="0.35">
      <c r="A1321" s="2" t="s">
        <v>1357</v>
      </c>
      <c r="B1321" s="4">
        <v>4</v>
      </c>
      <c r="C1321" t="s">
        <v>17</v>
      </c>
      <c r="D1321" t="s">
        <v>49</v>
      </c>
      <c r="E1321" t="s">
        <v>27</v>
      </c>
      <c r="F1321" t="s">
        <v>20</v>
      </c>
      <c r="G1321" s="4">
        <v>14</v>
      </c>
      <c r="H1321" s="1">
        <v>22761</v>
      </c>
      <c r="I1321" s="3" t="s">
        <v>21</v>
      </c>
      <c r="J1321" s="4">
        <v>5</v>
      </c>
    </row>
    <row r="1322" spans="1:10" x14ac:dyDescent="0.35">
      <c r="A1322" s="2" t="s">
        <v>1358</v>
      </c>
      <c r="B1322" s="4">
        <v>4</v>
      </c>
      <c r="C1322" t="s">
        <v>17</v>
      </c>
      <c r="D1322" t="s">
        <v>18</v>
      </c>
      <c r="E1322" t="s">
        <v>53</v>
      </c>
      <c r="F1322" t="s">
        <v>14</v>
      </c>
      <c r="G1322" s="4">
        <v>13</v>
      </c>
      <c r="H1322" s="1">
        <v>58673</v>
      </c>
      <c r="I1322" s="3" t="s">
        <v>15</v>
      </c>
      <c r="J1322" s="4">
        <v>2</v>
      </c>
    </row>
    <row r="1323" spans="1:10" x14ac:dyDescent="0.35">
      <c r="A1323" s="2" t="s">
        <v>1359</v>
      </c>
      <c r="B1323" s="4">
        <v>12</v>
      </c>
      <c r="C1323" t="s">
        <v>17</v>
      </c>
      <c r="D1323" t="s">
        <v>12</v>
      </c>
      <c r="E1323" t="s">
        <v>29</v>
      </c>
      <c r="F1323" t="s">
        <v>20</v>
      </c>
      <c r="G1323" s="4">
        <v>4</v>
      </c>
      <c r="H1323" s="1">
        <v>33435</v>
      </c>
      <c r="I1323" s="3" t="s">
        <v>15</v>
      </c>
      <c r="J1323" s="4">
        <v>4</v>
      </c>
    </row>
    <row r="1324" spans="1:10" x14ac:dyDescent="0.35">
      <c r="A1324" s="2" t="s">
        <v>1360</v>
      </c>
      <c r="B1324" s="4">
        <v>43</v>
      </c>
      <c r="C1324" t="s">
        <v>11</v>
      </c>
      <c r="D1324" t="s">
        <v>18</v>
      </c>
      <c r="E1324" t="s">
        <v>34</v>
      </c>
      <c r="F1324" t="s">
        <v>20</v>
      </c>
      <c r="G1324" s="4">
        <v>14</v>
      </c>
      <c r="H1324" s="1">
        <v>70165</v>
      </c>
      <c r="I1324" s="3" t="s">
        <v>21</v>
      </c>
      <c r="J1324" s="4">
        <v>1</v>
      </c>
    </row>
    <row r="1325" spans="1:10" x14ac:dyDescent="0.35">
      <c r="A1325" s="2" t="s">
        <v>1361</v>
      </c>
      <c r="B1325" s="4">
        <v>9</v>
      </c>
      <c r="C1325" t="s">
        <v>17</v>
      </c>
      <c r="D1325" t="s">
        <v>12</v>
      </c>
      <c r="E1325" t="s">
        <v>34</v>
      </c>
      <c r="F1325" t="s">
        <v>20</v>
      </c>
      <c r="G1325" s="4">
        <v>3</v>
      </c>
      <c r="H1325" s="1">
        <v>87298</v>
      </c>
      <c r="I1325" s="3" t="s">
        <v>15</v>
      </c>
      <c r="J1325" s="4">
        <v>2</v>
      </c>
    </row>
    <row r="1326" spans="1:10" x14ac:dyDescent="0.35">
      <c r="A1326" s="2" t="s">
        <v>1362</v>
      </c>
      <c r="B1326" s="4">
        <v>79</v>
      </c>
      <c r="C1326" t="s">
        <v>11</v>
      </c>
      <c r="D1326" t="s">
        <v>41</v>
      </c>
      <c r="E1326" t="s">
        <v>24</v>
      </c>
      <c r="F1326" t="s">
        <v>30</v>
      </c>
      <c r="G1326" s="4">
        <v>5</v>
      </c>
      <c r="H1326" s="1">
        <v>20280</v>
      </c>
      <c r="I1326" s="3" t="s">
        <v>15</v>
      </c>
      <c r="J1326" s="4">
        <v>1</v>
      </c>
    </row>
    <row r="1327" spans="1:10" x14ac:dyDescent="0.35">
      <c r="A1327" s="2" t="s">
        <v>1363</v>
      </c>
      <c r="B1327" s="4">
        <v>3</v>
      </c>
      <c r="C1327" t="s">
        <v>17</v>
      </c>
      <c r="D1327" t="s">
        <v>33</v>
      </c>
      <c r="E1327" t="s">
        <v>29</v>
      </c>
      <c r="F1327" t="s">
        <v>20</v>
      </c>
      <c r="G1327" s="4">
        <v>1</v>
      </c>
      <c r="H1327" s="1">
        <v>5513</v>
      </c>
      <c r="I1327" s="3" t="s">
        <v>21</v>
      </c>
      <c r="J1327" s="4">
        <v>5</v>
      </c>
    </row>
    <row r="1328" spans="1:10" x14ac:dyDescent="0.35">
      <c r="A1328" s="2" t="s">
        <v>1364</v>
      </c>
      <c r="B1328" s="4">
        <v>45</v>
      </c>
      <c r="C1328" t="s">
        <v>11</v>
      </c>
      <c r="D1328" t="s">
        <v>23</v>
      </c>
      <c r="E1328" t="s">
        <v>53</v>
      </c>
      <c r="F1328" t="s">
        <v>30</v>
      </c>
      <c r="G1328" s="4">
        <v>5</v>
      </c>
      <c r="H1328" s="1">
        <v>20346</v>
      </c>
      <c r="I1328" s="3" t="s">
        <v>21</v>
      </c>
      <c r="J1328" s="4">
        <v>2</v>
      </c>
    </row>
    <row r="1329" spans="1:10" x14ac:dyDescent="0.35">
      <c r="A1329" s="2" t="s">
        <v>1365</v>
      </c>
      <c r="B1329" s="4">
        <v>76</v>
      </c>
      <c r="C1329" t="s">
        <v>17</v>
      </c>
      <c r="D1329" t="s">
        <v>41</v>
      </c>
      <c r="E1329" t="s">
        <v>42</v>
      </c>
      <c r="F1329" t="s">
        <v>20</v>
      </c>
      <c r="G1329" s="4">
        <v>10</v>
      </c>
      <c r="H1329" s="1">
        <v>83894</v>
      </c>
      <c r="I1329" s="3" t="s">
        <v>15</v>
      </c>
      <c r="J1329" s="4">
        <v>3</v>
      </c>
    </row>
    <row r="1330" spans="1:10" x14ac:dyDescent="0.35">
      <c r="A1330" s="2" t="s">
        <v>1366</v>
      </c>
      <c r="B1330" s="4">
        <v>45</v>
      </c>
      <c r="C1330" t="s">
        <v>11</v>
      </c>
      <c r="D1330" t="s">
        <v>18</v>
      </c>
      <c r="E1330" t="s">
        <v>24</v>
      </c>
      <c r="F1330" t="s">
        <v>20</v>
      </c>
      <c r="G1330" s="4">
        <v>15</v>
      </c>
      <c r="H1330" s="1">
        <v>89238</v>
      </c>
      <c r="I1330" s="3" t="s">
        <v>15</v>
      </c>
      <c r="J1330" s="4">
        <v>1</v>
      </c>
    </row>
    <row r="1331" spans="1:10" x14ac:dyDescent="0.35">
      <c r="A1331" s="2" t="s">
        <v>1367</v>
      </c>
      <c r="B1331" s="4">
        <v>62</v>
      </c>
      <c r="C1331" t="s">
        <v>11</v>
      </c>
      <c r="D1331" t="s">
        <v>41</v>
      </c>
      <c r="E1331" t="s">
        <v>24</v>
      </c>
      <c r="F1331" t="s">
        <v>14</v>
      </c>
      <c r="G1331" s="4">
        <v>3</v>
      </c>
      <c r="H1331" s="1">
        <v>24762</v>
      </c>
      <c r="I1331" s="3" t="s">
        <v>15</v>
      </c>
      <c r="J1331" s="4">
        <v>3</v>
      </c>
    </row>
    <row r="1332" spans="1:10" x14ac:dyDescent="0.35">
      <c r="A1332" s="2" t="s">
        <v>1368</v>
      </c>
      <c r="B1332" s="4">
        <v>57</v>
      </c>
      <c r="C1332" t="s">
        <v>17</v>
      </c>
      <c r="D1332" t="s">
        <v>26</v>
      </c>
      <c r="E1332" t="s">
        <v>24</v>
      </c>
      <c r="F1332" t="s">
        <v>20</v>
      </c>
      <c r="G1332" s="4">
        <v>2</v>
      </c>
      <c r="H1332" s="1">
        <v>65869</v>
      </c>
      <c r="I1332" s="3" t="s">
        <v>15</v>
      </c>
      <c r="J1332" s="4">
        <v>4</v>
      </c>
    </row>
    <row r="1333" spans="1:10" x14ac:dyDescent="0.35">
      <c r="A1333" s="2" t="s">
        <v>1369</v>
      </c>
      <c r="B1333" s="4">
        <v>63</v>
      </c>
      <c r="C1333" t="s">
        <v>11</v>
      </c>
      <c r="D1333" t="s">
        <v>33</v>
      </c>
      <c r="E1333" t="s">
        <v>13</v>
      </c>
      <c r="F1333" t="s">
        <v>14</v>
      </c>
      <c r="G1333" s="4">
        <v>11</v>
      </c>
      <c r="H1333" s="1">
        <v>77613</v>
      </c>
      <c r="I1333" s="3" t="s">
        <v>21</v>
      </c>
      <c r="J1333" s="4">
        <v>1</v>
      </c>
    </row>
    <row r="1334" spans="1:10" x14ac:dyDescent="0.35">
      <c r="A1334" s="2" t="s">
        <v>1370</v>
      </c>
      <c r="B1334" s="4">
        <v>50</v>
      </c>
      <c r="C1334" t="s">
        <v>11</v>
      </c>
      <c r="D1334" t="s">
        <v>12</v>
      </c>
      <c r="E1334" t="s">
        <v>65</v>
      </c>
      <c r="F1334" t="s">
        <v>30</v>
      </c>
      <c r="G1334" s="4">
        <v>15</v>
      </c>
      <c r="H1334" s="1">
        <v>56502</v>
      </c>
      <c r="I1334" s="3" t="s">
        <v>15</v>
      </c>
      <c r="J1334" s="4">
        <v>1</v>
      </c>
    </row>
    <row r="1335" spans="1:10" x14ac:dyDescent="0.35">
      <c r="A1335" s="2" t="s">
        <v>1371</v>
      </c>
      <c r="B1335" s="4">
        <v>21</v>
      </c>
      <c r="C1335" t="s">
        <v>17</v>
      </c>
      <c r="D1335" t="s">
        <v>41</v>
      </c>
      <c r="E1335" t="s">
        <v>24</v>
      </c>
      <c r="F1335" t="s">
        <v>14</v>
      </c>
      <c r="G1335" s="4">
        <v>3</v>
      </c>
      <c r="H1335" s="1">
        <v>56374</v>
      </c>
      <c r="I1335" s="3" t="s">
        <v>15</v>
      </c>
      <c r="J1335" s="4">
        <v>2</v>
      </c>
    </row>
    <row r="1336" spans="1:10" x14ac:dyDescent="0.35">
      <c r="A1336" s="2" t="s">
        <v>1372</v>
      </c>
      <c r="B1336" s="4">
        <v>59</v>
      </c>
      <c r="C1336" t="s">
        <v>11</v>
      </c>
      <c r="D1336" t="s">
        <v>39</v>
      </c>
      <c r="E1336" t="s">
        <v>19</v>
      </c>
      <c r="F1336" t="s">
        <v>14</v>
      </c>
      <c r="G1336" s="4">
        <v>11</v>
      </c>
      <c r="H1336" s="1">
        <v>78829</v>
      </c>
      <c r="I1336" s="3" t="s">
        <v>15</v>
      </c>
      <c r="J1336" s="4">
        <v>3</v>
      </c>
    </row>
    <row r="1337" spans="1:10" x14ac:dyDescent="0.35">
      <c r="A1337" s="2" t="s">
        <v>1373</v>
      </c>
      <c r="B1337" s="4">
        <v>63</v>
      </c>
      <c r="C1337" t="s">
        <v>11</v>
      </c>
      <c r="D1337" t="s">
        <v>36</v>
      </c>
      <c r="E1337" t="s">
        <v>42</v>
      </c>
      <c r="F1337" t="s">
        <v>30</v>
      </c>
      <c r="G1337" s="4">
        <v>1</v>
      </c>
      <c r="H1337" s="1">
        <v>35865</v>
      </c>
      <c r="I1337" s="3" t="s">
        <v>21</v>
      </c>
      <c r="J1337" s="4">
        <v>3</v>
      </c>
    </row>
    <row r="1338" spans="1:10" x14ac:dyDescent="0.35">
      <c r="A1338" s="2" t="s">
        <v>1374</v>
      </c>
      <c r="B1338" s="4">
        <v>38</v>
      </c>
      <c r="C1338" t="s">
        <v>11</v>
      </c>
      <c r="D1338" t="s">
        <v>36</v>
      </c>
      <c r="E1338" t="s">
        <v>34</v>
      </c>
      <c r="F1338" t="s">
        <v>30</v>
      </c>
      <c r="G1338" s="4">
        <v>14</v>
      </c>
      <c r="H1338" s="1">
        <v>63247</v>
      </c>
      <c r="I1338" s="3" t="s">
        <v>21</v>
      </c>
      <c r="J1338" s="4">
        <v>1</v>
      </c>
    </row>
    <row r="1339" spans="1:10" x14ac:dyDescent="0.35">
      <c r="A1339" s="2" t="s">
        <v>1375</v>
      </c>
      <c r="B1339" s="4">
        <v>14</v>
      </c>
      <c r="C1339" t="s">
        <v>17</v>
      </c>
      <c r="D1339" t="s">
        <v>41</v>
      </c>
      <c r="E1339" t="s">
        <v>19</v>
      </c>
      <c r="F1339" t="s">
        <v>14</v>
      </c>
      <c r="G1339" s="4">
        <v>3</v>
      </c>
      <c r="H1339" s="1">
        <v>80665</v>
      </c>
      <c r="I1339" s="3" t="s">
        <v>15</v>
      </c>
      <c r="J1339" s="4">
        <v>1</v>
      </c>
    </row>
    <row r="1340" spans="1:10" x14ac:dyDescent="0.35">
      <c r="A1340" s="2" t="s">
        <v>1376</v>
      </c>
      <c r="B1340" s="4">
        <v>16</v>
      </c>
      <c r="C1340" t="s">
        <v>11</v>
      </c>
      <c r="D1340" t="s">
        <v>12</v>
      </c>
      <c r="E1340" t="s">
        <v>65</v>
      </c>
      <c r="F1340" t="s">
        <v>20</v>
      </c>
      <c r="G1340" s="4">
        <v>1</v>
      </c>
      <c r="H1340" s="1">
        <v>65332</v>
      </c>
      <c r="I1340" s="3" t="s">
        <v>15</v>
      </c>
      <c r="J1340" s="4">
        <v>3</v>
      </c>
    </row>
    <row r="1341" spans="1:10" x14ac:dyDescent="0.35">
      <c r="A1341" s="2" t="s">
        <v>1377</v>
      </c>
      <c r="B1341" s="4">
        <v>16</v>
      </c>
      <c r="C1341" t="s">
        <v>17</v>
      </c>
      <c r="D1341" t="s">
        <v>18</v>
      </c>
      <c r="E1341" t="s">
        <v>13</v>
      </c>
      <c r="F1341" t="s">
        <v>30</v>
      </c>
      <c r="G1341" s="4">
        <v>4</v>
      </c>
      <c r="H1341" s="1">
        <v>43491</v>
      </c>
      <c r="I1341" s="3" t="s">
        <v>21</v>
      </c>
      <c r="J1341" s="4">
        <v>3</v>
      </c>
    </row>
    <row r="1342" spans="1:10" x14ac:dyDescent="0.35">
      <c r="A1342" s="2" t="s">
        <v>1378</v>
      </c>
      <c r="B1342" s="4">
        <v>9</v>
      </c>
      <c r="C1342" t="s">
        <v>17</v>
      </c>
      <c r="D1342" t="s">
        <v>33</v>
      </c>
      <c r="E1342" t="s">
        <v>19</v>
      </c>
      <c r="F1342" t="s">
        <v>20</v>
      </c>
      <c r="G1342" s="4">
        <v>11</v>
      </c>
      <c r="H1342" s="1">
        <v>37953</v>
      </c>
      <c r="I1342" s="3" t="s">
        <v>15</v>
      </c>
      <c r="J1342" s="4">
        <v>2</v>
      </c>
    </row>
    <row r="1343" spans="1:10" x14ac:dyDescent="0.35">
      <c r="A1343" s="2" t="s">
        <v>1379</v>
      </c>
      <c r="B1343" s="4">
        <v>31</v>
      </c>
      <c r="C1343" t="s">
        <v>11</v>
      </c>
      <c r="D1343" t="s">
        <v>33</v>
      </c>
      <c r="E1343" t="s">
        <v>53</v>
      </c>
      <c r="F1343" t="s">
        <v>20</v>
      </c>
      <c r="G1343" s="4">
        <v>15</v>
      </c>
      <c r="H1343" s="1">
        <v>95807</v>
      </c>
      <c r="I1343" s="3" t="s">
        <v>15</v>
      </c>
      <c r="J1343" s="4">
        <v>5</v>
      </c>
    </row>
    <row r="1344" spans="1:10" x14ac:dyDescent="0.35">
      <c r="A1344" s="2" t="s">
        <v>1380</v>
      </c>
      <c r="B1344" s="4">
        <v>39</v>
      </c>
      <c r="C1344" t="s">
        <v>17</v>
      </c>
      <c r="D1344" t="s">
        <v>18</v>
      </c>
      <c r="E1344" t="s">
        <v>13</v>
      </c>
      <c r="F1344" t="s">
        <v>14</v>
      </c>
      <c r="G1344" s="4">
        <v>8</v>
      </c>
      <c r="H1344" s="1">
        <v>41363</v>
      </c>
      <c r="I1344" s="3" t="s">
        <v>15</v>
      </c>
      <c r="J1344" s="4">
        <v>5</v>
      </c>
    </row>
    <row r="1345" spans="1:10" x14ac:dyDescent="0.35">
      <c r="A1345" s="2" t="s">
        <v>1381</v>
      </c>
      <c r="B1345" s="4">
        <v>33</v>
      </c>
      <c r="C1345" t="s">
        <v>11</v>
      </c>
      <c r="D1345" t="s">
        <v>28</v>
      </c>
      <c r="E1345" t="s">
        <v>29</v>
      </c>
      <c r="F1345" t="s">
        <v>30</v>
      </c>
      <c r="G1345" s="4">
        <v>14</v>
      </c>
      <c r="H1345" s="1">
        <v>84039</v>
      </c>
      <c r="I1345" s="3" t="s">
        <v>15</v>
      </c>
      <c r="J1345" s="4">
        <v>2</v>
      </c>
    </row>
    <row r="1346" spans="1:10" x14ac:dyDescent="0.35">
      <c r="A1346" s="2" t="s">
        <v>1382</v>
      </c>
      <c r="B1346" s="4">
        <v>88</v>
      </c>
      <c r="C1346" t="s">
        <v>11</v>
      </c>
      <c r="D1346" t="s">
        <v>28</v>
      </c>
      <c r="E1346" t="s">
        <v>19</v>
      </c>
      <c r="F1346" t="s">
        <v>20</v>
      </c>
      <c r="G1346" s="4">
        <v>2</v>
      </c>
      <c r="H1346" s="1">
        <v>58020</v>
      </c>
      <c r="I1346" s="3" t="s">
        <v>21</v>
      </c>
      <c r="J1346" s="4">
        <v>5</v>
      </c>
    </row>
    <row r="1347" spans="1:10" x14ac:dyDescent="0.35">
      <c r="A1347" s="2" t="s">
        <v>1383</v>
      </c>
      <c r="B1347" s="4">
        <v>71</v>
      </c>
      <c r="C1347" t="s">
        <v>17</v>
      </c>
      <c r="D1347" t="s">
        <v>18</v>
      </c>
      <c r="E1347" t="s">
        <v>27</v>
      </c>
      <c r="F1347" t="s">
        <v>20</v>
      </c>
      <c r="G1347" s="4">
        <v>10</v>
      </c>
      <c r="H1347" s="1">
        <v>88473</v>
      </c>
      <c r="I1347" s="3" t="s">
        <v>21</v>
      </c>
      <c r="J1347" s="4">
        <v>3</v>
      </c>
    </row>
    <row r="1348" spans="1:10" x14ac:dyDescent="0.35">
      <c r="A1348" s="2" t="s">
        <v>1384</v>
      </c>
      <c r="B1348" s="4">
        <v>51</v>
      </c>
      <c r="C1348" t="s">
        <v>17</v>
      </c>
      <c r="D1348" t="s">
        <v>33</v>
      </c>
      <c r="E1348" t="s">
        <v>29</v>
      </c>
      <c r="F1348" t="s">
        <v>14</v>
      </c>
      <c r="G1348" s="4">
        <v>7</v>
      </c>
      <c r="H1348" s="1">
        <v>57243</v>
      </c>
      <c r="I1348" s="3" t="s">
        <v>15</v>
      </c>
      <c r="J1348" s="4">
        <v>2</v>
      </c>
    </row>
    <row r="1349" spans="1:10" x14ac:dyDescent="0.35">
      <c r="A1349" s="2" t="s">
        <v>1385</v>
      </c>
      <c r="B1349" s="4">
        <v>59</v>
      </c>
      <c r="C1349" t="s">
        <v>11</v>
      </c>
      <c r="D1349" t="s">
        <v>39</v>
      </c>
      <c r="E1349" t="s">
        <v>42</v>
      </c>
      <c r="F1349" t="s">
        <v>30</v>
      </c>
      <c r="G1349" s="4">
        <v>7</v>
      </c>
      <c r="H1349" s="1">
        <v>45363</v>
      </c>
      <c r="I1349" s="3" t="s">
        <v>15</v>
      </c>
      <c r="J1349" s="4">
        <v>1</v>
      </c>
    </row>
    <row r="1350" spans="1:10" x14ac:dyDescent="0.35">
      <c r="A1350" s="2" t="s">
        <v>1386</v>
      </c>
      <c r="B1350" s="4">
        <v>36</v>
      </c>
      <c r="C1350" t="s">
        <v>11</v>
      </c>
      <c r="D1350" t="s">
        <v>12</v>
      </c>
      <c r="E1350" t="s">
        <v>53</v>
      </c>
      <c r="F1350" t="s">
        <v>30</v>
      </c>
      <c r="G1350" s="4">
        <v>3</v>
      </c>
      <c r="H1350" s="1">
        <v>20534</v>
      </c>
      <c r="I1350" s="3" t="s">
        <v>21</v>
      </c>
      <c r="J1350" s="4">
        <v>5</v>
      </c>
    </row>
    <row r="1351" spans="1:10" x14ac:dyDescent="0.35">
      <c r="A1351" s="2" t="s">
        <v>1387</v>
      </c>
      <c r="B1351" s="4">
        <v>55</v>
      </c>
      <c r="C1351" t="s">
        <v>11</v>
      </c>
      <c r="D1351" t="s">
        <v>26</v>
      </c>
      <c r="E1351" t="s">
        <v>13</v>
      </c>
      <c r="F1351" t="s">
        <v>20</v>
      </c>
      <c r="G1351" s="4">
        <v>1</v>
      </c>
      <c r="H1351" s="1">
        <v>87796</v>
      </c>
      <c r="I1351" s="3" t="s">
        <v>21</v>
      </c>
      <c r="J1351" s="4">
        <v>4</v>
      </c>
    </row>
    <row r="1352" spans="1:10" x14ac:dyDescent="0.35">
      <c r="A1352" s="2" t="s">
        <v>1388</v>
      </c>
      <c r="B1352" s="4">
        <v>83</v>
      </c>
      <c r="C1352" t="s">
        <v>11</v>
      </c>
      <c r="D1352" t="s">
        <v>39</v>
      </c>
      <c r="E1352" t="s">
        <v>29</v>
      </c>
      <c r="F1352" t="s">
        <v>20</v>
      </c>
      <c r="G1352" s="4">
        <v>4</v>
      </c>
      <c r="H1352" s="1">
        <v>22917</v>
      </c>
      <c r="I1352" s="3" t="s">
        <v>15</v>
      </c>
      <c r="J1352" s="4">
        <v>4</v>
      </c>
    </row>
    <row r="1353" spans="1:10" x14ac:dyDescent="0.35">
      <c r="A1353" s="2" t="s">
        <v>1389</v>
      </c>
      <c r="B1353" s="4">
        <v>22</v>
      </c>
      <c r="C1353" t="s">
        <v>17</v>
      </c>
      <c r="D1353" t="s">
        <v>26</v>
      </c>
      <c r="E1353" t="s">
        <v>13</v>
      </c>
      <c r="F1353" t="s">
        <v>14</v>
      </c>
      <c r="G1353" s="4">
        <v>1</v>
      </c>
      <c r="H1353" s="1">
        <v>12888</v>
      </c>
      <c r="I1353" s="3" t="s">
        <v>15</v>
      </c>
      <c r="J1353" s="4">
        <v>3</v>
      </c>
    </row>
    <row r="1354" spans="1:10" x14ac:dyDescent="0.35">
      <c r="A1354" s="2" t="s">
        <v>1390</v>
      </c>
      <c r="B1354" s="4">
        <v>79</v>
      </c>
      <c r="C1354" t="s">
        <v>11</v>
      </c>
      <c r="D1354" t="s">
        <v>39</v>
      </c>
      <c r="E1354" t="s">
        <v>13</v>
      </c>
      <c r="F1354" t="s">
        <v>30</v>
      </c>
      <c r="G1354" s="4">
        <v>1</v>
      </c>
      <c r="H1354" s="1">
        <v>23129</v>
      </c>
      <c r="I1354" s="3" t="s">
        <v>15</v>
      </c>
      <c r="J1354" s="4">
        <v>4</v>
      </c>
    </row>
    <row r="1355" spans="1:10" x14ac:dyDescent="0.35">
      <c r="A1355" s="2" t="s">
        <v>1391</v>
      </c>
      <c r="B1355" s="4">
        <v>34</v>
      </c>
      <c r="C1355" t="s">
        <v>17</v>
      </c>
      <c r="D1355" t="s">
        <v>23</v>
      </c>
      <c r="E1355" t="s">
        <v>37</v>
      </c>
      <c r="F1355" t="s">
        <v>20</v>
      </c>
      <c r="G1355" s="4">
        <v>5</v>
      </c>
      <c r="H1355" s="1">
        <v>12936</v>
      </c>
      <c r="I1355" s="3" t="s">
        <v>21</v>
      </c>
      <c r="J1355" s="4">
        <v>3</v>
      </c>
    </row>
    <row r="1356" spans="1:10" x14ac:dyDescent="0.35">
      <c r="A1356" s="2" t="s">
        <v>1392</v>
      </c>
      <c r="B1356" s="4">
        <v>31</v>
      </c>
      <c r="C1356" t="s">
        <v>11</v>
      </c>
      <c r="D1356" t="s">
        <v>36</v>
      </c>
      <c r="E1356" t="s">
        <v>37</v>
      </c>
      <c r="F1356" t="s">
        <v>30</v>
      </c>
      <c r="G1356" s="4">
        <v>7</v>
      </c>
      <c r="H1356" s="1">
        <v>36731</v>
      </c>
      <c r="I1356" s="3" t="s">
        <v>15</v>
      </c>
      <c r="J1356" s="4">
        <v>2</v>
      </c>
    </row>
    <row r="1357" spans="1:10" x14ac:dyDescent="0.35">
      <c r="A1357" s="2" t="s">
        <v>1393</v>
      </c>
      <c r="B1357" s="4">
        <v>88</v>
      </c>
      <c r="C1357" t="s">
        <v>17</v>
      </c>
      <c r="D1357" t="s">
        <v>23</v>
      </c>
      <c r="E1357" t="s">
        <v>42</v>
      </c>
      <c r="F1357" t="s">
        <v>20</v>
      </c>
      <c r="G1357" s="4">
        <v>1</v>
      </c>
      <c r="H1357" s="1">
        <v>72246</v>
      </c>
      <c r="I1357" s="3" t="s">
        <v>21</v>
      </c>
      <c r="J1357" s="4">
        <v>1</v>
      </c>
    </row>
    <row r="1358" spans="1:10" x14ac:dyDescent="0.35">
      <c r="A1358" s="2" t="s">
        <v>1394</v>
      </c>
      <c r="B1358" s="4">
        <v>8</v>
      </c>
      <c r="C1358" t="s">
        <v>11</v>
      </c>
      <c r="D1358" t="s">
        <v>12</v>
      </c>
      <c r="E1358" t="s">
        <v>19</v>
      </c>
      <c r="F1358" t="s">
        <v>14</v>
      </c>
      <c r="G1358" s="4">
        <v>6</v>
      </c>
      <c r="H1358" s="1">
        <v>81126</v>
      </c>
      <c r="I1358" s="3" t="s">
        <v>15</v>
      </c>
      <c r="J1358" s="4">
        <v>2</v>
      </c>
    </row>
    <row r="1359" spans="1:10" x14ac:dyDescent="0.35">
      <c r="A1359" s="2" t="s">
        <v>1395</v>
      </c>
      <c r="B1359" s="4">
        <v>18</v>
      </c>
      <c r="C1359" t="s">
        <v>17</v>
      </c>
      <c r="D1359" t="s">
        <v>33</v>
      </c>
      <c r="E1359" t="s">
        <v>34</v>
      </c>
      <c r="F1359" t="s">
        <v>14</v>
      </c>
      <c r="G1359" s="4">
        <v>9</v>
      </c>
      <c r="H1359" s="1">
        <v>50152</v>
      </c>
      <c r="I1359" s="3" t="s">
        <v>15</v>
      </c>
      <c r="J1359" s="4">
        <v>5</v>
      </c>
    </row>
    <row r="1360" spans="1:10" x14ac:dyDescent="0.35">
      <c r="A1360" s="2" t="s">
        <v>1396</v>
      </c>
      <c r="B1360" s="4">
        <v>26</v>
      </c>
      <c r="C1360" t="s">
        <v>11</v>
      </c>
      <c r="D1360" t="s">
        <v>28</v>
      </c>
      <c r="E1360" t="s">
        <v>53</v>
      </c>
      <c r="F1360" t="s">
        <v>20</v>
      </c>
      <c r="G1360" s="4">
        <v>2</v>
      </c>
      <c r="H1360" s="1">
        <v>58072</v>
      </c>
      <c r="I1360" s="3" t="s">
        <v>15</v>
      </c>
      <c r="J1360" s="4">
        <v>3</v>
      </c>
    </row>
    <row r="1361" spans="1:10" x14ac:dyDescent="0.35">
      <c r="A1361" s="2" t="s">
        <v>1397</v>
      </c>
      <c r="B1361" s="4">
        <v>28</v>
      </c>
      <c r="C1361" t="s">
        <v>11</v>
      </c>
      <c r="D1361" t="s">
        <v>28</v>
      </c>
      <c r="E1361" t="s">
        <v>34</v>
      </c>
      <c r="F1361" t="s">
        <v>30</v>
      </c>
      <c r="G1361" s="4">
        <v>3</v>
      </c>
      <c r="H1361" s="1">
        <v>84564</v>
      </c>
      <c r="I1361" s="3" t="s">
        <v>21</v>
      </c>
      <c r="J1361" s="4">
        <v>5</v>
      </c>
    </row>
    <row r="1362" spans="1:10" x14ac:dyDescent="0.35">
      <c r="A1362" s="2" t="s">
        <v>1398</v>
      </c>
      <c r="B1362" s="4">
        <v>75</v>
      </c>
      <c r="C1362" t="s">
        <v>17</v>
      </c>
      <c r="D1362" t="s">
        <v>26</v>
      </c>
      <c r="E1362" t="s">
        <v>19</v>
      </c>
      <c r="F1362" t="s">
        <v>30</v>
      </c>
      <c r="G1362" s="4">
        <v>12</v>
      </c>
      <c r="H1362" s="1">
        <v>15933</v>
      </c>
      <c r="I1362" s="3" t="s">
        <v>21</v>
      </c>
      <c r="J1362" s="4">
        <v>5</v>
      </c>
    </row>
    <row r="1363" spans="1:10" x14ac:dyDescent="0.35">
      <c r="A1363" s="2" t="s">
        <v>1399</v>
      </c>
      <c r="B1363" s="4">
        <v>51</v>
      </c>
      <c r="C1363" t="s">
        <v>17</v>
      </c>
      <c r="D1363" t="s">
        <v>26</v>
      </c>
      <c r="E1363" t="s">
        <v>27</v>
      </c>
      <c r="F1363" t="s">
        <v>14</v>
      </c>
      <c r="G1363" s="4">
        <v>8</v>
      </c>
      <c r="H1363" s="1">
        <v>71688</v>
      </c>
      <c r="I1363" s="3" t="s">
        <v>21</v>
      </c>
      <c r="J1363" s="4">
        <v>3</v>
      </c>
    </row>
    <row r="1364" spans="1:10" x14ac:dyDescent="0.35">
      <c r="A1364" s="2" t="s">
        <v>1400</v>
      </c>
      <c r="B1364" s="4">
        <v>75</v>
      </c>
      <c r="C1364" t="s">
        <v>17</v>
      </c>
      <c r="D1364" t="s">
        <v>26</v>
      </c>
      <c r="E1364" t="s">
        <v>42</v>
      </c>
      <c r="F1364" t="s">
        <v>14</v>
      </c>
      <c r="G1364" s="4">
        <v>14</v>
      </c>
      <c r="H1364" s="1">
        <v>80280</v>
      </c>
      <c r="I1364" s="3" t="s">
        <v>21</v>
      </c>
      <c r="J1364" s="4">
        <v>1</v>
      </c>
    </row>
    <row r="1365" spans="1:10" x14ac:dyDescent="0.35">
      <c r="A1365" s="2" t="s">
        <v>1401</v>
      </c>
      <c r="B1365" s="4">
        <v>17</v>
      </c>
      <c r="C1365" t="s">
        <v>17</v>
      </c>
      <c r="D1365" t="s">
        <v>49</v>
      </c>
      <c r="E1365" t="s">
        <v>24</v>
      </c>
      <c r="F1365" t="s">
        <v>30</v>
      </c>
      <c r="G1365" s="4">
        <v>7</v>
      </c>
      <c r="H1365" s="1">
        <v>40874</v>
      </c>
      <c r="I1365" s="3" t="s">
        <v>21</v>
      </c>
      <c r="J1365" s="4">
        <v>4</v>
      </c>
    </row>
    <row r="1366" spans="1:10" x14ac:dyDescent="0.35">
      <c r="A1366" s="2" t="s">
        <v>1402</v>
      </c>
      <c r="B1366" s="4">
        <v>42</v>
      </c>
      <c r="C1366" t="s">
        <v>11</v>
      </c>
      <c r="D1366" t="s">
        <v>36</v>
      </c>
      <c r="E1366" t="s">
        <v>37</v>
      </c>
      <c r="F1366" t="s">
        <v>30</v>
      </c>
      <c r="G1366" s="4">
        <v>1</v>
      </c>
      <c r="H1366" s="1">
        <v>70825</v>
      </c>
      <c r="I1366" s="3" t="s">
        <v>21</v>
      </c>
      <c r="J1366" s="4">
        <v>4</v>
      </c>
    </row>
    <row r="1367" spans="1:10" x14ac:dyDescent="0.35">
      <c r="A1367" s="2" t="s">
        <v>1403</v>
      </c>
      <c r="B1367" s="4">
        <v>80</v>
      </c>
      <c r="C1367" t="s">
        <v>17</v>
      </c>
      <c r="D1367" t="s">
        <v>41</v>
      </c>
      <c r="E1367" t="s">
        <v>34</v>
      </c>
      <c r="F1367" t="s">
        <v>14</v>
      </c>
      <c r="G1367" s="4">
        <v>14</v>
      </c>
      <c r="H1367" s="1">
        <v>5955</v>
      </c>
      <c r="I1367" s="3" t="s">
        <v>15</v>
      </c>
      <c r="J1367" s="4">
        <v>2</v>
      </c>
    </row>
    <row r="1368" spans="1:10" x14ac:dyDescent="0.35">
      <c r="A1368" s="2" t="s">
        <v>1404</v>
      </c>
      <c r="B1368" s="4">
        <v>2</v>
      </c>
      <c r="C1368" t="s">
        <v>11</v>
      </c>
      <c r="D1368" t="s">
        <v>41</v>
      </c>
      <c r="E1368" t="s">
        <v>65</v>
      </c>
      <c r="F1368" t="s">
        <v>20</v>
      </c>
      <c r="G1368" s="4">
        <v>6</v>
      </c>
      <c r="H1368" s="1">
        <v>89108</v>
      </c>
      <c r="I1368" s="3" t="s">
        <v>21</v>
      </c>
      <c r="J1368" s="4">
        <v>1</v>
      </c>
    </row>
    <row r="1369" spans="1:10" x14ac:dyDescent="0.35">
      <c r="A1369" s="2" t="s">
        <v>1405</v>
      </c>
      <c r="B1369" s="4">
        <v>51</v>
      </c>
      <c r="C1369" t="s">
        <v>11</v>
      </c>
      <c r="D1369" t="s">
        <v>33</v>
      </c>
      <c r="E1369" t="s">
        <v>29</v>
      </c>
      <c r="F1369" t="s">
        <v>20</v>
      </c>
      <c r="G1369" s="4">
        <v>7</v>
      </c>
      <c r="H1369" s="1">
        <v>85366</v>
      </c>
      <c r="I1369" s="3" t="s">
        <v>21</v>
      </c>
      <c r="J1369" s="4">
        <v>5</v>
      </c>
    </row>
    <row r="1370" spans="1:10" x14ac:dyDescent="0.35">
      <c r="A1370" s="2" t="s">
        <v>1406</v>
      </c>
      <c r="B1370" s="4">
        <v>1</v>
      </c>
      <c r="C1370" t="s">
        <v>11</v>
      </c>
      <c r="D1370" t="s">
        <v>28</v>
      </c>
      <c r="E1370" t="s">
        <v>42</v>
      </c>
      <c r="F1370" t="s">
        <v>20</v>
      </c>
      <c r="G1370" s="4">
        <v>15</v>
      </c>
      <c r="H1370" s="1">
        <v>29018</v>
      </c>
      <c r="I1370" s="3" t="s">
        <v>21</v>
      </c>
      <c r="J1370" s="4">
        <v>4</v>
      </c>
    </row>
    <row r="1371" spans="1:10" x14ac:dyDescent="0.35">
      <c r="A1371" s="2" t="s">
        <v>1407</v>
      </c>
      <c r="B1371" s="4">
        <v>25</v>
      </c>
      <c r="C1371" t="s">
        <v>17</v>
      </c>
      <c r="D1371" t="s">
        <v>28</v>
      </c>
      <c r="E1371" t="s">
        <v>13</v>
      </c>
      <c r="F1371" t="s">
        <v>30</v>
      </c>
      <c r="G1371" s="4">
        <v>2</v>
      </c>
      <c r="H1371" s="1">
        <v>63373</v>
      </c>
      <c r="I1371" s="3" t="s">
        <v>21</v>
      </c>
      <c r="J1371" s="4">
        <v>4</v>
      </c>
    </row>
    <row r="1372" spans="1:10" x14ac:dyDescent="0.35">
      <c r="A1372" s="2" t="s">
        <v>1408</v>
      </c>
      <c r="B1372" s="4">
        <v>89</v>
      </c>
      <c r="C1372" t="s">
        <v>17</v>
      </c>
      <c r="D1372" t="s">
        <v>23</v>
      </c>
      <c r="E1372" t="s">
        <v>65</v>
      </c>
      <c r="F1372" t="s">
        <v>14</v>
      </c>
      <c r="G1372" s="4">
        <v>7</v>
      </c>
      <c r="H1372" s="1">
        <v>87160</v>
      </c>
      <c r="I1372" s="3" t="s">
        <v>15</v>
      </c>
      <c r="J1372" s="4">
        <v>2</v>
      </c>
    </row>
    <row r="1373" spans="1:10" x14ac:dyDescent="0.35">
      <c r="A1373" s="2" t="s">
        <v>1409</v>
      </c>
      <c r="B1373" s="4">
        <v>78</v>
      </c>
      <c r="C1373" t="s">
        <v>17</v>
      </c>
      <c r="D1373" t="s">
        <v>26</v>
      </c>
      <c r="E1373" t="s">
        <v>29</v>
      </c>
      <c r="F1373" t="s">
        <v>14</v>
      </c>
      <c r="G1373" s="4">
        <v>2</v>
      </c>
      <c r="H1373" s="1">
        <v>10224</v>
      </c>
      <c r="I1373" s="3" t="s">
        <v>21</v>
      </c>
      <c r="J1373" s="4">
        <v>2</v>
      </c>
    </row>
    <row r="1374" spans="1:10" x14ac:dyDescent="0.35">
      <c r="A1374" s="2" t="s">
        <v>1410</v>
      </c>
      <c r="B1374" s="4">
        <v>65</v>
      </c>
      <c r="C1374" t="s">
        <v>17</v>
      </c>
      <c r="D1374" t="s">
        <v>36</v>
      </c>
      <c r="E1374" t="s">
        <v>37</v>
      </c>
      <c r="F1374" t="s">
        <v>30</v>
      </c>
      <c r="G1374" s="4">
        <v>12</v>
      </c>
      <c r="H1374" s="1">
        <v>25452</v>
      </c>
      <c r="I1374" s="3" t="s">
        <v>15</v>
      </c>
      <c r="J1374" s="4">
        <v>1</v>
      </c>
    </row>
    <row r="1375" spans="1:10" x14ac:dyDescent="0.35">
      <c r="A1375" s="2" t="s">
        <v>1411</v>
      </c>
      <c r="B1375" s="4">
        <v>2</v>
      </c>
      <c r="C1375" t="s">
        <v>17</v>
      </c>
      <c r="D1375" t="s">
        <v>41</v>
      </c>
      <c r="E1375" t="s">
        <v>53</v>
      </c>
      <c r="F1375" t="s">
        <v>30</v>
      </c>
      <c r="G1375" s="4">
        <v>4</v>
      </c>
      <c r="H1375" s="1">
        <v>23738</v>
      </c>
      <c r="I1375" s="3" t="s">
        <v>21</v>
      </c>
      <c r="J1375" s="4">
        <v>5</v>
      </c>
    </row>
    <row r="1376" spans="1:10" x14ac:dyDescent="0.35">
      <c r="A1376" s="2" t="s">
        <v>1412</v>
      </c>
      <c r="B1376" s="4">
        <v>47</v>
      </c>
      <c r="C1376" t="s">
        <v>17</v>
      </c>
      <c r="D1376" t="s">
        <v>36</v>
      </c>
      <c r="E1376" t="s">
        <v>13</v>
      </c>
      <c r="F1376" t="s">
        <v>30</v>
      </c>
      <c r="G1376" s="4">
        <v>13</v>
      </c>
      <c r="H1376" s="1">
        <v>34225</v>
      </c>
      <c r="I1376" s="3" t="s">
        <v>15</v>
      </c>
      <c r="J1376" s="4">
        <v>1</v>
      </c>
    </row>
    <row r="1377" spans="1:10" x14ac:dyDescent="0.35">
      <c r="A1377" s="2" t="s">
        <v>1413</v>
      </c>
      <c r="B1377" s="4">
        <v>75</v>
      </c>
      <c r="C1377" t="s">
        <v>11</v>
      </c>
      <c r="D1377" t="s">
        <v>41</v>
      </c>
      <c r="E1377" t="s">
        <v>27</v>
      </c>
      <c r="F1377" t="s">
        <v>14</v>
      </c>
      <c r="G1377" s="4">
        <v>11</v>
      </c>
      <c r="H1377" s="1">
        <v>70295</v>
      </c>
      <c r="I1377" s="3" t="s">
        <v>21</v>
      </c>
      <c r="J1377" s="4">
        <v>2</v>
      </c>
    </row>
    <row r="1378" spans="1:10" x14ac:dyDescent="0.35">
      <c r="A1378" s="2" t="s">
        <v>1414</v>
      </c>
      <c r="B1378" s="4">
        <v>59</v>
      </c>
      <c r="C1378" t="s">
        <v>17</v>
      </c>
      <c r="D1378" t="s">
        <v>33</v>
      </c>
      <c r="E1378" t="s">
        <v>27</v>
      </c>
      <c r="F1378" t="s">
        <v>20</v>
      </c>
      <c r="G1378" s="4">
        <v>4</v>
      </c>
      <c r="H1378" s="1">
        <v>75332</v>
      </c>
      <c r="I1378" s="3" t="s">
        <v>21</v>
      </c>
      <c r="J1378" s="4">
        <v>5</v>
      </c>
    </row>
    <row r="1379" spans="1:10" x14ac:dyDescent="0.35">
      <c r="A1379" s="2" t="s">
        <v>1415</v>
      </c>
      <c r="B1379" s="4">
        <v>73</v>
      </c>
      <c r="C1379" t="s">
        <v>17</v>
      </c>
      <c r="D1379" t="s">
        <v>26</v>
      </c>
      <c r="E1379" t="s">
        <v>19</v>
      </c>
      <c r="F1379" t="s">
        <v>14</v>
      </c>
      <c r="G1379" s="4">
        <v>9</v>
      </c>
      <c r="H1379" s="1">
        <v>52566</v>
      </c>
      <c r="I1379" s="3" t="s">
        <v>21</v>
      </c>
      <c r="J1379" s="4">
        <v>3</v>
      </c>
    </row>
    <row r="1380" spans="1:10" x14ac:dyDescent="0.35">
      <c r="A1380" s="2" t="s">
        <v>1416</v>
      </c>
      <c r="B1380" s="4">
        <v>7</v>
      </c>
      <c r="C1380" t="s">
        <v>17</v>
      </c>
      <c r="D1380" t="s">
        <v>33</v>
      </c>
      <c r="E1380" t="s">
        <v>19</v>
      </c>
      <c r="F1380" t="s">
        <v>14</v>
      </c>
      <c r="G1380" s="4">
        <v>5</v>
      </c>
      <c r="H1380" s="1">
        <v>5618</v>
      </c>
      <c r="I1380" s="3" t="s">
        <v>21</v>
      </c>
      <c r="J1380" s="4">
        <v>2</v>
      </c>
    </row>
    <row r="1381" spans="1:10" x14ac:dyDescent="0.35">
      <c r="A1381" s="2" t="s">
        <v>1417</v>
      </c>
      <c r="B1381" s="4">
        <v>7</v>
      </c>
      <c r="C1381" t="s">
        <v>17</v>
      </c>
      <c r="D1381" t="s">
        <v>41</v>
      </c>
      <c r="E1381" t="s">
        <v>19</v>
      </c>
      <c r="F1381" t="s">
        <v>14</v>
      </c>
      <c r="G1381" s="4">
        <v>14</v>
      </c>
      <c r="H1381" s="1">
        <v>99136</v>
      </c>
      <c r="I1381" s="3" t="s">
        <v>21</v>
      </c>
      <c r="J1381" s="4">
        <v>2</v>
      </c>
    </row>
    <row r="1382" spans="1:10" x14ac:dyDescent="0.35">
      <c r="A1382" s="2" t="s">
        <v>1418</v>
      </c>
      <c r="B1382" s="4">
        <v>50</v>
      </c>
      <c r="C1382" t="s">
        <v>11</v>
      </c>
      <c r="D1382" t="s">
        <v>41</v>
      </c>
      <c r="E1382" t="s">
        <v>27</v>
      </c>
      <c r="F1382" t="s">
        <v>20</v>
      </c>
      <c r="G1382" s="4">
        <v>8</v>
      </c>
      <c r="H1382" s="1">
        <v>33697</v>
      </c>
      <c r="I1382" s="3" t="s">
        <v>15</v>
      </c>
      <c r="J1382" s="4">
        <v>3</v>
      </c>
    </row>
    <row r="1383" spans="1:10" x14ac:dyDescent="0.35">
      <c r="A1383" s="2" t="s">
        <v>1419</v>
      </c>
      <c r="B1383" s="4">
        <v>49</v>
      </c>
      <c r="C1383" t="s">
        <v>11</v>
      </c>
      <c r="D1383" t="s">
        <v>36</v>
      </c>
      <c r="E1383" t="s">
        <v>29</v>
      </c>
      <c r="F1383" t="s">
        <v>20</v>
      </c>
      <c r="G1383" s="4">
        <v>5</v>
      </c>
      <c r="H1383" s="1">
        <v>26017</v>
      </c>
      <c r="I1383" s="3" t="s">
        <v>21</v>
      </c>
      <c r="J1383" s="4">
        <v>5</v>
      </c>
    </row>
    <row r="1384" spans="1:10" x14ac:dyDescent="0.35">
      <c r="A1384" s="2" t="s">
        <v>1420</v>
      </c>
      <c r="B1384" s="4">
        <v>28</v>
      </c>
      <c r="C1384" t="s">
        <v>17</v>
      </c>
      <c r="D1384" t="s">
        <v>28</v>
      </c>
      <c r="E1384" t="s">
        <v>19</v>
      </c>
      <c r="F1384" t="s">
        <v>20</v>
      </c>
      <c r="G1384" s="4">
        <v>3</v>
      </c>
      <c r="H1384" s="1">
        <v>32734</v>
      </c>
      <c r="I1384" s="3" t="s">
        <v>15</v>
      </c>
      <c r="J1384" s="4">
        <v>5</v>
      </c>
    </row>
    <row r="1385" spans="1:10" x14ac:dyDescent="0.35">
      <c r="A1385" s="2" t="s">
        <v>1421</v>
      </c>
      <c r="B1385" s="4">
        <v>37</v>
      </c>
      <c r="C1385" t="s">
        <v>17</v>
      </c>
      <c r="D1385" t="s">
        <v>12</v>
      </c>
      <c r="E1385" t="s">
        <v>65</v>
      </c>
      <c r="F1385" t="s">
        <v>30</v>
      </c>
      <c r="G1385" s="4">
        <v>10</v>
      </c>
      <c r="H1385" s="1">
        <v>47909</v>
      </c>
      <c r="I1385" s="3" t="s">
        <v>15</v>
      </c>
      <c r="J1385" s="4">
        <v>5</v>
      </c>
    </row>
    <row r="1386" spans="1:10" x14ac:dyDescent="0.35">
      <c r="A1386" s="2" t="s">
        <v>1422</v>
      </c>
      <c r="B1386" s="4">
        <v>83</v>
      </c>
      <c r="C1386" t="s">
        <v>11</v>
      </c>
      <c r="D1386" t="s">
        <v>33</v>
      </c>
      <c r="E1386" t="s">
        <v>42</v>
      </c>
      <c r="F1386" t="s">
        <v>30</v>
      </c>
      <c r="G1386" s="4">
        <v>3</v>
      </c>
      <c r="H1386" s="1">
        <v>27504</v>
      </c>
      <c r="I1386" s="3" t="s">
        <v>15</v>
      </c>
      <c r="J1386" s="4">
        <v>5</v>
      </c>
    </row>
    <row r="1387" spans="1:10" x14ac:dyDescent="0.35">
      <c r="A1387" s="2" t="s">
        <v>1423</v>
      </c>
      <c r="B1387" s="4">
        <v>84</v>
      </c>
      <c r="C1387" t="s">
        <v>11</v>
      </c>
      <c r="D1387" t="s">
        <v>12</v>
      </c>
      <c r="E1387" t="s">
        <v>37</v>
      </c>
      <c r="F1387" t="s">
        <v>30</v>
      </c>
      <c r="G1387" s="4">
        <v>8</v>
      </c>
      <c r="H1387" s="1">
        <v>24143</v>
      </c>
      <c r="I1387" s="3" t="s">
        <v>21</v>
      </c>
      <c r="J1387" s="4">
        <v>2</v>
      </c>
    </row>
    <row r="1388" spans="1:10" x14ac:dyDescent="0.35">
      <c r="A1388" s="2" t="s">
        <v>1424</v>
      </c>
      <c r="B1388" s="4">
        <v>70</v>
      </c>
      <c r="C1388" t="s">
        <v>17</v>
      </c>
      <c r="D1388" t="s">
        <v>23</v>
      </c>
      <c r="E1388" t="s">
        <v>53</v>
      </c>
      <c r="F1388" t="s">
        <v>14</v>
      </c>
      <c r="G1388" s="4">
        <v>11</v>
      </c>
      <c r="H1388" s="1">
        <v>78089</v>
      </c>
      <c r="I1388" s="3" t="s">
        <v>15</v>
      </c>
      <c r="J1388" s="4">
        <v>2</v>
      </c>
    </row>
    <row r="1389" spans="1:10" x14ac:dyDescent="0.35">
      <c r="A1389" s="2" t="s">
        <v>1425</v>
      </c>
      <c r="B1389" s="4">
        <v>76</v>
      </c>
      <c r="C1389" t="s">
        <v>17</v>
      </c>
      <c r="D1389" t="s">
        <v>18</v>
      </c>
      <c r="E1389" t="s">
        <v>34</v>
      </c>
      <c r="F1389" t="s">
        <v>14</v>
      </c>
      <c r="G1389" s="4">
        <v>8</v>
      </c>
      <c r="H1389" s="1">
        <v>9013</v>
      </c>
      <c r="I1389" s="3" t="s">
        <v>15</v>
      </c>
      <c r="J1389" s="4">
        <v>4</v>
      </c>
    </row>
    <row r="1390" spans="1:10" x14ac:dyDescent="0.35">
      <c r="A1390" s="2" t="s">
        <v>1426</v>
      </c>
      <c r="B1390" s="4">
        <v>44</v>
      </c>
      <c r="C1390" t="s">
        <v>11</v>
      </c>
      <c r="D1390" t="s">
        <v>49</v>
      </c>
      <c r="E1390" t="s">
        <v>27</v>
      </c>
      <c r="F1390" t="s">
        <v>20</v>
      </c>
      <c r="G1390" s="4">
        <v>5</v>
      </c>
      <c r="H1390" s="1">
        <v>19757</v>
      </c>
      <c r="I1390" s="3" t="s">
        <v>21</v>
      </c>
      <c r="J1390" s="4">
        <v>3</v>
      </c>
    </row>
    <row r="1391" spans="1:10" x14ac:dyDescent="0.35">
      <c r="A1391" s="2" t="s">
        <v>1427</v>
      </c>
      <c r="B1391" s="4">
        <v>85</v>
      </c>
      <c r="C1391" t="s">
        <v>11</v>
      </c>
      <c r="D1391" t="s">
        <v>33</v>
      </c>
      <c r="E1391" t="s">
        <v>13</v>
      </c>
      <c r="F1391" t="s">
        <v>14</v>
      </c>
      <c r="G1391" s="4">
        <v>9</v>
      </c>
      <c r="H1391" s="1">
        <v>91957</v>
      </c>
      <c r="I1391" s="3" t="s">
        <v>21</v>
      </c>
      <c r="J1391" s="4">
        <v>4</v>
      </c>
    </row>
    <row r="1392" spans="1:10" x14ac:dyDescent="0.35">
      <c r="A1392" s="2" t="s">
        <v>1428</v>
      </c>
      <c r="B1392" s="4">
        <v>30</v>
      </c>
      <c r="C1392" t="s">
        <v>17</v>
      </c>
      <c r="D1392" t="s">
        <v>36</v>
      </c>
      <c r="E1392" t="s">
        <v>37</v>
      </c>
      <c r="F1392" t="s">
        <v>14</v>
      </c>
      <c r="G1392" s="4">
        <v>9</v>
      </c>
      <c r="H1392" s="1">
        <v>24849</v>
      </c>
      <c r="I1392" s="3" t="s">
        <v>15</v>
      </c>
      <c r="J1392" s="4">
        <v>1</v>
      </c>
    </row>
    <row r="1393" spans="1:10" x14ac:dyDescent="0.35">
      <c r="A1393" s="2" t="s">
        <v>1429</v>
      </c>
      <c r="B1393" s="4">
        <v>63</v>
      </c>
      <c r="C1393" t="s">
        <v>17</v>
      </c>
      <c r="D1393" t="s">
        <v>28</v>
      </c>
      <c r="E1393" t="s">
        <v>53</v>
      </c>
      <c r="F1393" t="s">
        <v>14</v>
      </c>
      <c r="G1393" s="4">
        <v>1</v>
      </c>
      <c r="H1393" s="1">
        <v>39889</v>
      </c>
      <c r="I1393" s="3" t="s">
        <v>21</v>
      </c>
      <c r="J1393" s="4">
        <v>5</v>
      </c>
    </row>
    <row r="1394" spans="1:10" x14ac:dyDescent="0.35">
      <c r="A1394" s="2" t="s">
        <v>1430</v>
      </c>
      <c r="B1394" s="4">
        <v>79</v>
      </c>
      <c r="C1394" t="s">
        <v>11</v>
      </c>
      <c r="D1394" t="s">
        <v>49</v>
      </c>
      <c r="E1394" t="s">
        <v>13</v>
      </c>
      <c r="F1394" t="s">
        <v>14</v>
      </c>
      <c r="G1394" s="4">
        <v>1</v>
      </c>
      <c r="H1394" s="1">
        <v>6951</v>
      </c>
      <c r="I1394" s="3" t="s">
        <v>15</v>
      </c>
      <c r="J1394" s="4">
        <v>3</v>
      </c>
    </row>
    <row r="1395" spans="1:10" x14ac:dyDescent="0.35">
      <c r="A1395" s="2" t="s">
        <v>1431</v>
      </c>
      <c r="B1395" s="4">
        <v>16</v>
      </c>
      <c r="C1395" t="s">
        <v>17</v>
      </c>
      <c r="D1395" t="s">
        <v>39</v>
      </c>
      <c r="E1395" t="s">
        <v>24</v>
      </c>
      <c r="F1395" t="s">
        <v>14</v>
      </c>
      <c r="G1395" s="4">
        <v>3</v>
      </c>
      <c r="H1395" s="1">
        <v>75461</v>
      </c>
      <c r="I1395" s="3" t="s">
        <v>21</v>
      </c>
      <c r="J1395" s="4">
        <v>2</v>
      </c>
    </row>
    <row r="1396" spans="1:10" x14ac:dyDescent="0.35">
      <c r="A1396" s="2" t="s">
        <v>1432</v>
      </c>
      <c r="B1396" s="4">
        <v>37</v>
      </c>
      <c r="C1396" t="s">
        <v>17</v>
      </c>
      <c r="D1396" t="s">
        <v>49</v>
      </c>
      <c r="E1396" t="s">
        <v>53</v>
      </c>
      <c r="F1396" t="s">
        <v>30</v>
      </c>
      <c r="G1396" s="4">
        <v>11</v>
      </c>
      <c r="H1396" s="1">
        <v>96633</v>
      </c>
      <c r="I1396" s="3" t="s">
        <v>15</v>
      </c>
      <c r="J1396" s="4">
        <v>3</v>
      </c>
    </row>
    <row r="1397" spans="1:10" x14ac:dyDescent="0.35">
      <c r="A1397" s="2" t="s">
        <v>1433</v>
      </c>
      <c r="B1397" s="4">
        <v>52</v>
      </c>
      <c r="C1397" t="s">
        <v>17</v>
      </c>
      <c r="D1397" t="s">
        <v>28</v>
      </c>
      <c r="E1397" t="s">
        <v>65</v>
      </c>
      <c r="F1397" t="s">
        <v>20</v>
      </c>
      <c r="G1397" s="4">
        <v>3</v>
      </c>
      <c r="H1397" s="1">
        <v>22425</v>
      </c>
      <c r="I1397" s="3" t="s">
        <v>21</v>
      </c>
      <c r="J1397" s="4">
        <v>4</v>
      </c>
    </row>
    <row r="1398" spans="1:10" x14ac:dyDescent="0.35">
      <c r="A1398" s="2" t="s">
        <v>1434</v>
      </c>
      <c r="B1398" s="4">
        <v>77</v>
      </c>
      <c r="C1398" t="s">
        <v>17</v>
      </c>
      <c r="D1398" t="s">
        <v>49</v>
      </c>
      <c r="E1398" t="s">
        <v>24</v>
      </c>
      <c r="F1398" t="s">
        <v>14</v>
      </c>
      <c r="G1398" s="4">
        <v>5</v>
      </c>
      <c r="H1398" s="1">
        <v>75466</v>
      </c>
      <c r="I1398" s="3" t="s">
        <v>21</v>
      </c>
      <c r="J1398" s="4">
        <v>5</v>
      </c>
    </row>
    <row r="1399" spans="1:10" x14ac:dyDescent="0.35">
      <c r="A1399" s="2" t="s">
        <v>1435</v>
      </c>
      <c r="B1399" s="4">
        <v>48</v>
      </c>
      <c r="C1399" t="s">
        <v>17</v>
      </c>
      <c r="D1399" t="s">
        <v>36</v>
      </c>
      <c r="E1399" t="s">
        <v>24</v>
      </c>
      <c r="F1399" t="s">
        <v>30</v>
      </c>
      <c r="G1399" s="4">
        <v>13</v>
      </c>
      <c r="H1399" s="1">
        <v>82374</v>
      </c>
      <c r="I1399" s="3" t="s">
        <v>15</v>
      </c>
      <c r="J1399" s="4">
        <v>5</v>
      </c>
    </row>
    <row r="1400" spans="1:10" x14ac:dyDescent="0.35">
      <c r="A1400" s="2" t="s">
        <v>1436</v>
      </c>
      <c r="B1400" s="4">
        <v>54</v>
      </c>
      <c r="C1400" t="s">
        <v>11</v>
      </c>
      <c r="D1400" t="s">
        <v>18</v>
      </c>
      <c r="E1400" t="s">
        <v>65</v>
      </c>
      <c r="F1400" t="s">
        <v>20</v>
      </c>
      <c r="G1400" s="4">
        <v>3</v>
      </c>
      <c r="H1400" s="1">
        <v>84270</v>
      </c>
      <c r="I1400" s="3" t="s">
        <v>21</v>
      </c>
      <c r="J1400" s="4">
        <v>2</v>
      </c>
    </row>
    <row r="1401" spans="1:10" x14ac:dyDescent="0.35">
      <c r="A1401" s="2" t="s">
        <v>1437</v>
      </c>
      <c r="B1401" s="4">
        <v>25</v>
      </c>
      <c r="C1401" t="s">
        <v>17</v>
      </c>
      <c r="D1401" t="s">
        <v>12</v>
      </c>
      <c r="E1401" t="s">
        <v>65</v>
      </c>
      <c r="F1401" t="s">
        <v>14</v>
      </c>
      <c r="G1401" s="4">
        <v>4</v>
      </c>
      <c r="H1401" s="1">
        <v>14957</v>
      </c>
      <c r="I1401" s="3" t="s">
        <v>15</v>
      </c>
      <c r="J1401" s="4">
        <v>2</v>
      </c>
    </row>
    <row r="1402" spans="1:10" x14ac:dyDescent="0.35">
      <c r="A1402" s="2" t="s">
        <v>1438</v>
      </c>
      <c r="B1402" s="4">
        <v>15</v>
      </c>
      <c r="C1402" t="s">
        <v>11</v>
      </c>
      <c r="D1402" t="s">
        <v>33</v>
      </c>
      <c r="E1402" t="s">
        <v>27</v>
      </c>
      <c r="F1402" t="s">
        <v>14</v>
      </c>
      <c r="G1402" s="4">
        <v>1</v>
      </c>
      <c r="H1402" s="1">
        <v>43661</v>
      </c>
      <c r="I1402" s="3" t="s">
        <v>21</v>
      </c>
      <c r="J1402" s="4">
        <v>4</v>
      </c>
    </row>
    <row r="1403" spans="1:10" x14ac:dyDescent="0.35">
      <c r="A1403" s="2" t="s">
        <v>1439</v>
      </c>
      <c r="B1403" s="4">
        <v>75</v>
      </c>
      <c r="C1403" t="s">
        <v>17</v>
      </c>
      <c r="D1403" t="s">
        <v>18</v>
      </c>
      <c r="E1403" t="s">
        <v>13</v>
      </c>
      <c r="F1403" t="s">
        <v>20</v>
      </c>
      <c r="G1403" s="4">
        <v>9</v>
      </c>
      <c r="H1403" s="1">
        <v>52389</v>
      </c>
      <c r="I1403" s="3" t="s">
        <v>21</v>
      </c>
      <c r="J1403" s="4">
        <v>4</v>
      </c>
    </row>
    <row r="1404" spans="1:10" x14ac:dyDescent="0.35">
      <c r="A1404" s="2" t="s">
        <v>1440</v>
      </c>
      <c r="B1404" s="4">
        <v>54</v>
      </c>
      <c r="C1404" t="s">
        <v>17</v>
      </c>
      <c r="D1404" t="s">
        <v>33</v>
      </c>
      <c r="E1404" t="s">
        <v>34</v>
      </c>
      <c r="F1404" t="s">
        <v>30</v>
      </c>
      <c r="G1404" s="4">
        <v>1</v>
      </c>
      <c r="H1404" s="1">
        <v>20379</v>
      </c>
      <c r="I1404" s="3" t="s">
        <v>15</v>
      </c>
      <c r="J1404" s="4">
        <v>4</v>
      </c>
    </row>
    <row r="1405" spans="1:10" x14ac:dyDescent="0.35">
      <c r="A1405" s="2" t="s">
        <v>1441</v>
      </c>
      <c r="B1405" s="4">
        <v>9</v>
      </c>
      <c r="C1405" t="s">
        <v>17</v>
      </c>
      <c r="D1405" t="s">
        <v>23</v>
      </c>
      <c r="E1405" t="s">
        <v>24</v>
      </c>
      <c r="F1405" t="s">
        <v>20</v>
      </c>
      <c r="G1405" s="4">
        <v>6</v>
      </c>
      <c r="H1405" s="1">
        <v>37494</v>
      </c>
      <c r="I1405" s="3" t="s">
        <v>15</v>
      </c>
      <c r="J1405" s="4">
        <v>3</v>
      </c>
    </row>
    <row r="1406" spans="1:10" x14ac:dyDescent="0.35">
      <c r="A1406" s="2" t="s">
        <v>1442</v>
      </c>
      <c r="B1406" s="4">
        <v>27</v>
      </c>
      <c r="C1406" t="s">
        <v>17</v>
      </c>
      <c r="D1406" t="s">
        <v>39</v>
      </c>
      <c r="E1406" t="s">
        <v>34</v>
      </c>
      <c r="F1406" t="s">
        <v>20</v>
      </c>
      <c r="G1406" s="4">
        <v>1</v>
      </c>
      <c r="H1406" s="1">
        <v>16482</v>
      </c>
      <c r="I1406" s="3" t="s">
        <v>21</v>
      </c>
      <c r="J1406" s="4">
        <v>3</v>
      </c>
    </row>
    <row r="1407" spans="1:10" x14ac:dyDescent="0.35">
      <c r="A1407" s="2" t="s">
        <v>1443</v>
      </c>
      <c r="B1407" s="4">
        <v>8</v>
      </c>
      <c r="C1407" t="s">
        <v>17</v>
      </c>
      <c r="D1407" t="s">
        <v>33</v>
      </c>
      <c r="E1407" t="s">
        <v>42</v>
      </c>
      <c r="F1407" t="s">
        <v>14</v>
      </c>
      <c r="G1407" s="4">
        <v>2</v>
      </c>
      <c r="H1407" s="1">
        <v>67690</v>
      </c>
      <c r="I1407" s="3" t="s">
        <v>21</v>
      </c>
      <c r="J1407" s="4">
        <v>4</v>
      </c>
    </row>
    <row r="1408" spans="1:10" x14ac:dyDescent="0.35">
      <c r="A1408" s="2" t="s">
        <v>1444</v>
      </c>
      <c r="B1408" s="4">
        <v>1</v>
      </c>
      <c r="C1408" t="s">
        <v>11</v>
      </c>
      <c r="D1408" t="s">
        <v>18</v>
      </c>
      <c r="E1408" t="s">
        <v>34</v>
      </c>
      <c r="F1408" t="s">
        <v>20</v>
      </c>
      <c r="G1408" s="4">
        <v>14</v>
      </c>
      <c r="H1408" s="1">
        <v>76672</v>
      </c>
      <c r="I1408" s="3" t="s">
        <v>15</v>
      </c>
      <c r="J1408" s="4">
        <v>5</v>
      </c>
    </row>
    <row r="1409" spans="1:10" x14ac:dyDescent="0.35">
      <c r="A1409" s="2" t="s">
        <v>1445</v>
      </c>
      <c r="B1409" s="4">
        <v>23</v>
      </c>
      <c r="C1409" t="s">
        <v>11</v>
      </c>
      <c r="D1409" t="s">
        <v>33</v>
      </c>
      <c r="E1409" t="s">
        <v>19</v>
      </c>
      <c r="F1409" t="s">
        <v>20</v>
      </c>
      <c r="G1409" s="4">
        <v>3</v>
      </c>
      <c r="H1409" s="1">
        <v>69245</v>
      </c>
      <c r="I1409" s="3" t="s">
        <v>21</v>
      </c>
      <c r="J1409" s="4">
        <v>4</v>
      </c>
    </row>
    <row r="1410" spans="1:10" x14ac:dyDescent="0.35">
      <c r="A1410" s="2" t="s">
        <v>1446</v>
      </c>
      <c r="B1410" s="4">
        <v>85</v>
      </c>
      <c r="C1410" t="s">
        <v>11</v>
      </c>
      <c r="D1410" t="s">
        <v>23</v>
      </c>
      <c r="E1410" t="s">
        <v>65</v>
      </c>
      <c r="F1410" t="s">
        <v>14</v>
      </c>
      <c r="G1410" s="4">
        <v>8</v>
      </c>
      <c r="H1410" s="1">
        <v>56778</v>
      </c>
      <c r="I1410" s="3" t="s">
        <v>15</v>
      </c>
      <c r="J1410" s="4">
        <v>5</v>
      </c>
    </row>
    <row r="1411" spans="1:10" x14ac:dyDescent="0.35">
      <c r="A1411" s="2" t="s">
        <v>1447</v>
      </c>
      <c r="B1411" s="4">
        <v>81</v>
      </c>
      <c r="C1411" t="s">
        <v>17</v>
      </c>
      <c r="D1411" t="s">
        <v>49</v>
      </c>
      <c r="E1411" t="s">
        <v>42</v>
      </c>
      <c r="F1411" t="s">
        <v>20</v>
      </c>
      <c r="G1411" s="4">
        <v>13</v>
      </c>
      <c r="H1411" s="1">
        <v>44700</v>
      </c>
      <c r="I1411" s="3" t="s">
        <v>21</v>
      </c>
      <c r="J1411" s="4">
        <v>2</v>
      </c>
    </row>
    <row r="1412" spans="1:10" x14ac:dyDescent="0.35">
      <c r="A1412" s="2" t="s">
        <v>1448</v>
      </c>
      <c r="B1412" s="4">
        <v>90</v>
      </c>
      <c r="C1412" t="s">
        <v>11</v>
      </c>
      <c r="D1412" t="s">
        <v>41</v>
      </c>
      <c r="E1412" t="s">
        <v>42</v>
      </c>
      <c r="F1412" t="s">
        <v>14</v>
      </c>
      <c r="G1412" s="4">
        <v>3</v>
      </c>
      <c r="H1412" s="1">
        <v>19133</v>
      </c>
      <c r="I1412" s="3" t="s">
        <v>15</v>
      </c>
      <c r="J1412" s="4">
        <v>4</v>
      </c>
    </row>
    <row r="1413" spans="1:10" x14ac:dyDescent="0.35">
      <c r="A1413" s="2" t="s">
        <v>1449</v>
      </c>
      <c r="B1413" s="4">
        <v>6</v>
      </c>
      <c r="C1413" t="s">
        <v>17</v>
      </c>
      <c r="D1413" t="s">
        <v>18</v>
      </c>
      <c r="E1413" t="s">
        <v>13</v>
      </c>
      <c r="F1413" t="s">
        <v>14</v>
      </c>
      <c r="G1413" s="4">
        <v>15</v>
      </c>
      <c r="H1413" s="1">
        <v>75077</v>
      </c>
      <c r="I1413" s="3" t="s">
        <v>15</v>
      </c>
      <c r="J1413" s="4">
        <v>1</v>
      </c>
    </row>
    <row r="1414" spans="1:10" x14ac:dyDescent="0.35">
      <c r="A1414" s="2" t="s">
        <v>1450</v>
      </c>
      <c r="B1414" s="4">
        <v>69</v>
      </c>
      <c r="C1414" t="s">
        <v>11</v>
      </c>
      <c r="D1414" t="s">
        <v>26</v>
      </c>
      <c r="E1414" t="s">
        <v>19</v>
      </c>
      <c r="F1414" t="s">
        <v>14</v>
      </c>
      <c r="G1414" s="4">
        <v>3</v>
      </c>
      <c r="H1414" s="1">
        <v>83836</v>
      </c>
      <c r="I1414" s="3" t="s">
        <v>21</v>
      </c>
      <c r="J1414" s="4">
        <v>5</v>
      </c>
    </row>
    <row r="1415" spans="1:10" x14ac:dyDescent="0.35">
      <c r="A1415" s="2" t="s">
        <v>1451</v>
      </c>
      <c r="B1415" s="4">
        <v>73</v>
      </c>
      <c r="C1415" t="s">
        <v>11</v>
      </c>
      <c r="D1415" t="s">
        <v>26</v>
      </c>
      <c r="E1415" t="s">
        <v>24</v>
      </c>
      <c r="F1415" t="s">
        <v>14</v>
      </c>
      <c r="G1415" s="4">
        <v>9</v>
      </c>
      <c r="H1415" s="1">
        <v>83090</v>
      </c>
      <c r="I1415" s="3" t="s">
        <v>15</v>
      </c>
      <c r="J1415" s="4">
        <v>1</v>
      </c>
    </row>
    <row r="1416" spans="1:10" x14ac:dyDescent="0.35">
      <c r="A1416" s="2" t="s">
        <v>1452</v>
      </c>
      <c r="B1416" s="4">
        <v>54</v>
      </c>
      <c r="C1416" t="s">
        <v>17</v>
      </c>
      <c r="D1416" t="s">
        <v>28</v>
      </c>
      <c r="E1416" t="s">
        <v>27</v>
      </c>
      <c r="F1416" t="s">
        <v>14</v>
      </c>
      <c r="G1416" s="4">
        <v>13</v>
      </c>
      <c r="H1416" s="1">
        <v>41584</v>
      </c>
      <c r="I1416" s="3" t="s">
        <v>21</v>
      </c>
      <c r="J1416" s="4">
        <v>4</v>
      </c>
    </row>
    <row r="1417" spans="1:10" x14ac:dyDescent="0.35">
      <c r="A1417" s="2" t="s">
        <v>1453</v>
      </c>
      <c r="B1417" s="4">
        <v>73</v>
      </c>
      <c r="C1417" t="s">
        <v>17</v>
      </c>
      <c r="D1417" t="s">
        <v>36</v>
      </c>
      <c r="E1417" t="s">
        <v>65</v>
      </c>
      <c r="F1417" t="s">
        <v>30</v>
      </c>
      <c r="G1417" s="4">
        <v>3</v>
      </c>
      <c r="H1417" s="1">
        <v>81260</v>
      </c>
      <c r="I1417" s="3" t="s">
        <v>15</v>
      </c>
      <c r="J1417" s="4">
        <v>2</v>
      </c>
    </row>
    <row r="1418" spans="1:10" x14ac:dyDescent="0.35">
      <c r="A1418" s="2" t="s">
        <v>1454</v>
      </c>
      <c r="B1418" s="4">
        <v>50</v>
      </c>
      <c r="C1418" t="s">
        <v>11</v>
      </c>
      <c r="D1418" t="s">
        <v>36</v>
      </c>
      <c r="E1418" t="s">
        <v>37</v>
      </c>
      <c r="F1418" t="s">
        <v>30</v>
      </c>
      <c r="G1418" s="4">
        <v>14</v>
      </c>
      <c r="H1418" s="1">
        <v>36009</v>
      </c>
      <c r="I1418" s="3" t="s">
        <v>15</v>
      </c>
      <c r="J1418" s="4">
        <v>4</v>
      </c>
    </row>
    <row r="1419" spans="1:10" x14ac:dyDescent="0.35">
      <c r="A1419" s="2" t="s">
        <v>1455</v>
      </c>
      <c r="B1419" s="4">
        <v>1</v>
      </c>
      <c r="C1419" t="s">
        <v>17</v>
      </c>
      <c r="D1419" t="s">
        <v>39</v>
      </c>
      <c r="E1419" t="s">
        <v>34</v>
      </c>
      <c r="F1419" t="s">
        <v>20</v>
      </c>
      <c r="G1419" s="4">
        <v>10</v>
      </c>
      <c r="H1419" s="1">
        <v>90080</v>
      </c>
      <c r="I1419" s="3" t="s">
        <v>21</v>
      </c>
      <c r="J1419" s="4">
        <v>4</v>
      </c>
    </row>
    <row r="1420" spans="1:10" x14ac:dyDescent="0.35">
      <c r="A1420" s="2" t="s">
        <v>1456</v>
      </c>
      <c r="B1420" s="4">
        <v>55</v>
      </c>
      <c r="C1420" t="s">
        <v>11</v>
      </c>
      <c r="D1420" t="s">
        <v>49</v>
      </c>
      <c r="E1420" t="s">
        <v>29</v>
      </c>
      <c r="F1420" t="s">
        <v>14</v>
      </c>
      <c r="G1420" s="4">
        <v>12</v>
      </c>
      <c r="H1420" s="1">
        <v>30654</v>
      </c>
      <c r="I1420" s="3" t="s">
        <v>15</v>
      </c>
      <c r="J1420" s="4">
        <v>1</v>
      </c>
    </row>
    <row r="1421" spans="1:10" x14ac:dyDescent="0.35">
      <c r="A1421" s="2" t="s">
        <v>1457</v>
      </c>
      <c r="B1421" s="4">
        <v>89</v>
      </c>
      <c r="C1421" t="s">
        <v>11</v>
      </c>
      <c r="D1421" t="s">
        <v>26</v>
      </c>
      <c r="E1421" t="s">
        <v>27</v>
      </c>
      <c r="F1421" t="s">
        <v>20</v>
      </c>
      <c r="G1421" s="4">
        <v>5</v>
      </c>
      <c r="H1421" s="1">
        <v>45007</v>
      </c>
      <c r="I1421" s="3" t="s">
        <v>21</v>
      </c>
      <c r="J1421" s="4">
        <v>1</v>
      </c>
    </row>
    <row r="1422" spans="1:10" x14ac:dyDescent="0.35">
      <c r="A1422" s="2" t="s">
        <v>1458</v>
      </c>
      <c r="B1422" s="4">
        <v>23</v>
      </c>
      <c r="C1422" t="s">
        <v>11</v>
      </c>
      <c r="D1422" t="s">
        <v>23</v>
      </c>
      <c r="E1422" t="s">
        <v>24</v>
      </c>
      <c r="F1422" t="s">
        <v>14</v>
      </c>
      <c r="G1422" s="4">
        <v>7</v>
      </c>
      <c r="H1422" s="1">
        <v>88485</v>
      </c>
      <c r="I1422" s="3" t="s">
        <v>21</v>
      </c>
      <c r="J1422" s="4">
        <v>5</v>
      </c>
    </row>
    <row r="1423" spans="1:10" x14ac:dyDescent="0.35">
      <c r="A1423" s="2" t="s">
        <v>1459</v>
      </c>
      <c r="B1423" s="4">
        <v>79</v>
      </c>
      <c r="C1423" t="s">
        <v>17</v>
      </c>
      <c r="D1423" t="s">
        <v>18</v>
      </c>
      <c r="E1423" t="s">
        <v>19</v>
      </c>
      <c r="F1423" t="s">
        <v>14</v>
      </c>
      <c r="G1423" s="4">
        <v>13</v>
      </c>
      <c r="H1423" s="1">
        <v>22169</v>
      </c>
      <c r="I1423" s="3" t="s">
        <v>15</v>
      </c>
      <c r="J1423" s="4">
        <v>2</v>
      </c>
    </row>
    <row r="1424" spans="1:10" x14ac:dyDescent="0.35">
      <c r="A1424" s="2" t="s">
        <v>1460</v>
      </c>
      <c r="B1424" s="4">
        <v>76</v>
      </c>
      <c r="C1424" t="s">
        <v>17</v>
      </c>
      <c r="D1424" t="s">
        <v>23</v>
      </c>
      <c r="E1424" t="s">
        <v>53</v>
      </c>
      <c r="F1424" t="s">
        <v>14</v>
      </c>
      <c r="G1424" s="4">
        <v>5</v>
      </c>
      <c r="H1424" s="1">
        <v>43101</v>
      </c>
      <c r="I1424" s="3" t="s">
        <v>15</v>
      </c>
      <c r="J1424" s="4">
        <v>3</v>
      </c>
    </row>
    <row r="1425" spans="1:10" x14ac:dyDescent="0.35">
      <c r="A1425" s="2" t="s">
        <v>1461</v>
      </c>
      <c r="B1425" s="4">
        <v>80</v>
      </c>
      <c r="C1425" t="s">
        <v>17</v>
      </c>
      <c r="D1425" t="s">
        <v>36</v>
      </c>
      <c r="E1425" t="s">
        <v>19</v>
      </c>
      <c r="F1425" t="s">
        <v>20</v>
      </c>
      <c r="G1425" s="4">
        <v>8</v>
      </c>
      <c r="H1425" s="1">
        <v>26421</v>
      </c>
      <c r="I1425" s="3" t="s">
        <v>15</v>
      </c>
      <c r="J1425" s="4">
        <v>1</v>
      </c>
    </row>
    <row r="1426" spans="1:10" x14ac:dyDescent="0.35">
      <c r="A1426" s="2" t="s">
        <v>1462</v>
      </c>
      <c r="B1426" s="4">
        <v>3</v>
      </c>
      <c r="C1426" t="s">
        <v>17</v>
      </c>
      <c r="D1426" t="s">
        <v>36</v>
      </c>
      <c r="E1426" t="s">
        <v>37</v>
      </c>
      <c r="F1426" t="s">
        <v>14</v>
      </c>
      <c r="G1426" s="4">
        <v>5</v>
      </c>
      <c r="H1426" s="1">
        <v>65539</v>
      </c>
      <c r="I1426" s="3" t="s">
        <v>21</v>
      </c>
      <c r="J1426" s="4">
        <v>1</v>
      </c>
    </row>
    <row r="1427" spans="1:10" x14ac:dyDescent="0.35">
      <c r="A1427" s="2" t="s">
        <v>1463</v>
      </c>
      <c r="B1427" s="4">
        <v>75</v>
      </c>
      <c r="C1427" t="s">
        <v>11</v>
      </c>
      <c r="D1427" t="s">
        <v>12</v>
      </c>
      <c r="E1427" t="s">
        <v>29</v>
      </c>
      <c r="F1427" t="s">
        <v>20</v>
      </c>
      <c r="G1427" s="4">
        <v>6</v>
      </c>
      <c r="H1427" s="1">
        <v>44226</v>
      </c>
      <c r="I1427" s="3" t="s">
        <v>15</v>
      </c>
      <c r="J1427" s="4">
        <v>2</v>
      </c>
    </row>
    <row r="1428" spans="1:10" x14ac:dyDescent="0.35">
      <c r="A1428" s="2" t="s">
        <v>1464</v>
      </c>
      <c r="B1428" s="4">
        <v>22</v>
      </c>
      <c r="C1428" t="s">
        <v>11</v>
      </c>
      <c r="D1428" t="s">
        <v>49</v>
      </c>
      <c r="E1428" t="s">
        <v>65</v>
      </c>
      <c r="F1428" t="s">
        <v>14</v>
      </c>
      <c r="G1428" s="4">
        <v>15</v>
      </c>
      <c r="H1428" s="1">
        <v>66359</v>
      </c>
      <c r="I1428" s="3" t="s">
        <v>15</v>
      </c>
      <c r="J1428" s="4">
        <v>5</v>
      </c>
    </row>
    <row r="1429" spans="1:10" x14ac:dyDescent="0.35">
      <c r="A1429" s="2" t="s">
        <v>1465</v>
      </c>
      <c r="B1429" s="4">
        <v>33</v>
      </c>
      <c r="C1429" t="s">
        <v>11</v>
      </c>
      <c r="D1429" t="s">
        <v>26</v>
      </c>
      <c r="E1429" t="s">
        <v>29</v>
      </c>
      <c r="F1429" t="s">
        <v>20</v>
      </c>
      <c r="G1429" s="4">
        <v>4</v>
      </c>
      <c r="H1429" s="1">
        <v>57097</v>
      </c>
      <c r="I1429" s="3" t="s">
        <v>21</v>
      </c>
      <c r="J1429" s="4">
        <v>4</v>
      </c>
    </row>
    <row r="1430" spans="1:10" x14ac:dyDescent="0.35">
      <c r="A1430" s="2" t="s">
        <v>1466</v>
      </c>
      <c r="B1430" s="4">
        <v>67</v>
      </c>
      <c r="C1430" t="s">
        <v>17</v>
      </c>
      <c r="D1430" t="s">
        <v>39</v>
      </c>
      <c r="E1430" t="s">
        <v>37</v>
      </c>
      <c r="F1430" t="s">
        <v>14</v>
      </c>
      <c r="G1430" s="4">
        <v>8</v>
      </c>
      <c r="H1430" s="1">
        <v>62693</v>
      </c>
      <c r="I1430" s="3" t="s">
        <v>21</v>
      </c>
      <c r="J1430" s="4">
        <v>3</v>
      </c>
    </row>
    <row r="1431" spans="1:10" x14ac:dyDescent="0.35">
      <c r="A1431" s="2" t="s">
        <v>1467</v>
      </c>
      <c r="B1431" s="4">
        <v>25</v>
      </c>
      <c r="C1431" t="s">
        <v>17</v>
      </c>
      <c r="D1431" t="s">
        <v>12</v>
      </c>
      <c r="E1431" t="s">
        <v>19</v>
      </c>
      <c r="F1431" t="s">
        <v>30</v>
      </c>
      <c r="G1431" s="4">
        <v>12</v>
      </c>
      <c r="H1431" s="1">
        <v>41073</v>
      </c>
      <c r="I1431" s="3" t="s">
        <v>21</v>
      </c>
      <c r="J1431" s="4">
        <v>3</v>
      </c>
    </row>
    <row r="1432" spans="1:10" x14ac:dyDescent="0.35">
      <c r="A1432" s="2" t="s">
        <v>1468</v>
      </c>
      <c r="B1432" s="4">
        <v>56</v>
      </c>
      <c r="C1432" t="s">
        <v>17</v>
      </c>
      <c r="D1432" t="s">
        <v>12</v>
      </c>
      <c r="E1432" t="s">
        <v>27</v>
      </c>
      <c r="F1432" t="s">
        <v>20</v>
      </c>
      <c r="G1432" s="4">
        <v>9</v>
      </c>
      <c r="H1432" s="1">
        <v>28754</v>
      </c>
      <c r="I1432" s="3" t="s">
        <v>15</v>
      </c>
      <c r="J1432" s="4">
        <v>2</v>
      </c>
    </row>
    <row r="1433" spans="1:10" x14ac:dyDescent="0.35">
      <c r="A1433" s="2" t="s">
        <v>1469</v>
      </c>
      <c r="B1433" s="4">
        <v>79</v>
      </c>
      <c r="C1433" t="s">
        <v>11</v>
      </c>
      <c r="D1433" t="s">
        <v>39</v>
      </c>
      <c r="E1433" t="s">
        <v>65</v>
      </c>
      <c r="F1433" t="s">
        <v>20</v>
      </c>
      <c r="G1433" s="4">
        <v>7</v>
      </c>
      <c r="H1433" s="1">
        <v>40524</v>
      </c>
      <c r="I1433" s="3" t="s">
        <v>15</v>
      </c>
      <c r="J1433" s="4">
        <v>2</v>
      </c>
    </row>
    <row r="1434" spans="1:10" x14ac:dyDescent="0.35">
      <c r="A1434" s="2" t="s">
        <v>1470</v>
      </c>
      <c r="B1434" s="4">
        <v>57</v>
      </c>
      <c r="C1434" t="s">
        <v>17</v>
      </c>
      <c r="D1434" t="s">
        <v>41</v>
      </c>
      <c r="E1434" t="s">
        <v>53</v>
      </c>
      <c r="F1434" t="s">
        <v>14</v>
      </c>
      <c r="G1434" s="4">
        <v>14</v>
      </c>
      <c r="H1434" s="1">
        <v>13904</v>
      </c>
      <c r="I1434" s="3" t="s">
        <v>15</v>
      </c>
      <c r="J1434" s="4">
        <v>3</v>
      </c>
    </row>
    <row r="1435" spans="1:10" x14ac:dyDescent="0.35">
      <c r="A1435" s="2" t="s">
        <v>1471</v>
      </c>
      <c r="B1435" s="4">
        <v>48</v>
      </c>
      <c r="C1435" t="s">
        <v>11</v>
      </c>
      <c r="D1435" t="s">
        <v>26</v>
      </c>
      <c r="E1435" t="s">
        <v>53</v>
      </c>
      <c r="F1435" t="s">
        <v>14</v>
      </c>
      <c r="G1435" s="4">
        <v>13</v>
      </c>
      <c r="H1435" s="1">
        <v>8072</v>
      </c>
      <c r="I1435" s="3" t="s">
        <v>15</v>
      </c>
      <c r="J1435" s="4">
        <v>4</v>
      </c>
    </row>
    <row r="1436" spans="1:10" x14ac:dyDescent="0.35">
      <c r="A1436" s="2" t="s">
        <v>1472</v>
      </c>
      <c r="B1436" s="4">
        <v>42</v>
      </c>
      <c r="C1436" t="s">
        <v>11</v>
      </c>
      <c r="D1436" t="s">
        <v>36</v>
      </c>
      <c r="E1436" t="s">
        <v>27</v>
      </c>
      <c r="F1436" t="s">
        <v>14</v>
      </c>
      <c r="G1436" s="4">
        <v>3</v>
      </c>
      <c r="H1436" s="1">
        <v>36331</v>
      </c>
      <c r="I1436" s="3" t="s">
        <v>21</v>
      </c>
      <c r="J1436" s="4">
        <v>1</v>
      </c>
    </row>
    <row r="1437" spans="1:10" x14ac:dyDescent="0.35">
      <c r="A1437" s="2" t="s">
        <v>1473</v>
      </c>
      <c r="B1437" s="4">
        <v>70</v>
      </c>
      <c r="C1437" t="s">
        <v>17</v>
      </c>
      <c r="D1437" t="s">
        <v>18</v>
      </c>
      <c r="E1437" t="s">
        <v>34</v>
      </c>
      <c r="F1437" t="s">
        <v>14</v>
      </c>
      <c r="G1437" s="4">
        <v>10</v>
      </c>
      <c r="H1437" s="1">
        <v>17163</v>
      </c>
      <c r="I1437" s="3" t="s">
        <v>15</v>
      </c>
      <c r="J1437" s="4">
        <v>3</v>
      </c>
    </row>
    <row r="1438" spans="1:10" x14ac:dyDescent="0.35">
      <c r="A1438" s="2" t="s">
        <v>1474</v>
      </c>
      <c r="B1438" s="4">
        <v>83</v>
      </c>
      <c r="C1438" t="s">
        <v>11</v>
      </c>
      <c r="D1438" t="s">
        <v>28</v>
      </c>
      <c r="E1438" t="s">
        <v>34</v>
      </c>
      <c r="F1438" t="s">
        <v>30</v>
      </c>
      <c r="G1438" s="4">
        <v>7</v>
      </c>
      <c r="H1438" s="1">
        <v>83025</v>
      </c>
      <c r="I1438" s="3" t="s">
        <v>15</v>
      </c>
      <c r="J1438" s="4">
        <v>4</v>
      </c>
    </row>
    <row r="1439" spans="1:10" x14ac:dyDescent="0.35">
      <c r="A1439" s="2" t="s">
        <v>1475</v>
      </c>
      <c r="B1439" s="4">
        <v>11</v>
      </c>
      <c r="C1439" t="s">
        <v>17</v>
      </c>
      <c r="D1439" t="s">
        <v>12</v>
      </c>
      <c r="E1439" t="s">
        <v>24</v>
      </c>
      <c r="F1439" t="s">
        <v>30</v>
      </c>
      <c r="G1439" s="4">
        <v>13</v>
      </c>
      <c r="H1439" s="1">
        <v>68752</v>
      </c>
      <c r="I1439" s="3" t="s">
        <v>21</v>
      </c>
      <c r="J1439" s="4">
        <v>3</v>
      </c>
    </row>
    <row r="1440" spans="1:10" x14ac:dyDescent="0.35">
      <c r="A1440" s="2" t="s">
        <v>1476</v>
      </c>
      <c r="B1440" s="4">
        <v>3</v>
      </c>
      <c r="C1440" t="s">
        <v>11</v>
      </c>
      <c r="D1440" t="s">
        <v>26</v>
      </c>
      <c r="E1440" t="s">
        <v>24</v>
      </c>
      <c r="F1440" t="s">
        <v>14</v>
      </c>
      <c r="G1440" s="4">
        <v>15</v>
      </c>
      <c r="H1440" s="1">
        <v>50755</v>
      </c>
      <c r="I1440" s="3" t="s">
        <v>21</v>
      </c>
      <c r="J1440" s="4">
        <v>1</v>
      </c>
    </row>
    <row r="1441" spans="1:10" x14ac:dyDescent="0.35">
      <c r="A1441" s="2" t="s">
        <v>1477</v>
      </c>
      <c r="B1441" s="4">
        <v>12</v>
      </c>
      <c r="C1441" t="s">
        <v>17</v>
      </c>
      <c r="D1441" t="s">
        <v>18</v>
      </c>
      <c r="E1441" t="s">
        <v>42</v>
      </c>
      <c r="F1441" t="s">
        <v>20</v>
      </c>
      <c r="G1441" s="4">
        <v>13</v>
      </c>
      <c r="H1441" s="1">
        <v>34596</v>
      </c>
      <c r="I1441" s="3" t="s">
        <v>15</v>
      </c>
      <c r="J1441" s="4">
        <v>2</v>
      </c>
    </row>
    <row r="1442" spans="1:10" x14ac:dyDescent="0.35">
      <c r="A1442" s="2" t="s">
        <v>1478</v>
      </c>
      <c r="B1442" s="4">
        <v>84</v>
      </c>
      <c r="C1442" t="s">
        <v>17</v>
      </c>
      <c r="D1442" t="s">
        <v>33</v>
      </c>
      <c r="E1442" t="s">
        <v>24</v>
      </c>
      <c r="F1442" t="s">
        <v>20</v>
      </c>
      <c r="G1442" s="4">
        <v>4</v>
      </c>
      <c r="H1442" s="1">
        <v>45604</v>
      </c>
      <c r="I1442" s="3" t="s">
        <v>15</v>
      </c>
      <c r="J1442" s="4">
        <v>2</v>
      </c>
    </row>
    <row r="1443" spans="1:10" x14ac:dyDescent="0.35">
      <c r="A1443" s="2" t="s">
        <v>1479</v>
      </c>
      <c r="B1443" s="4">
        <v>89</v>
      </c>
      <c r="C1443" t="s">
        <v>17</v>
      </c>
      <c r="D1443" t="s">
        <v>49</v>
      </c>
      <c r="E1443" t="s">
        <v>24</v>
      </c>
      <c r="F1443" t="s">
        <v>20</v>
      </c>
      <c r="G1443" s="4">
        <v>12</v>
      </c>
      <c r="H1443" s="1">
        <v>63779</v>
      </c>
      <c r="I1443" s="3" t="s">
        <v>15</v>
      </c>
      <c r="J1443" s="4">
        <v>1</v>
      </c>
    </row>
    <row r="1444" spans="1:10" x14ac:dyDescent="0.35">
      <c r="A1444" s="2" t="s">
        <v>1480</v>
      </c>
      <c r="B1444" s="4">
        <v>77</v>
      </c>
      <c r="C1444" t="s">
        <v>17</v>
      </c>
      <c r="D1444" t="s">
        <v>23</v>
      </c>
      <c r="E1444" t="s">
        <v>27</v>
      </c>
      <c r="F1444" t="s">
        <v>30</v>
      </c>
      <c r="G1444" s="4">
        <v>15</v>
      </c>
      <c r="H1444" s="1">
        <v>12360</v>
      </c>
      <c r="I1444" s="3" t="s">
        <v>21</v>
      </c>
      <c r="J1444" s="4">
        <v>4</v>
      </c>
    </row>
    <row r="1445" spans="1:10" x14ac:dyDescent="0.35">
      <c r="A1445" s="2" t="s">
        <v>1481</v>
      </c>
      <c r="B1445" s="4">
        <v>23</v>
      </c>
      <c r="C1445" t="s">
        <v>17</v>
      </c>
      <c r="D1445" t="s">
        <v>36</v>
      </c>
      <c r="E1445" t="s">
        <v>13</v>
      </c>
      <c r="F1445" t="s">
        <v>30</v>
      </c>
      <c r="G1445" s="4">
        <v>2</v>
      </c>
      <c r="H1445" s="1">
        <v>92448</v>
      </c>
      <c r="I1445" s="3" t="s">
        <v>15</v>
      </c>
      <c r="J1445" s="4">
        <v>5</v>
      </c>
    </row>
    <row r="1446" spans="1:10" x14ac:dyDescent="0.35">
      <c r="A1446" s="2" t="s">
        <v>1482</v>
      </c>
      <c r="B1446" s="4">
        <v>7</v>
      </c>
      <c r="C1446" t="s">
        <v>11</v>
      </c>
      <c r="D1446" t="s">
        <v>39</v>
      </c>
      <c r="E1446" t="s">
        <v>53</v>
      </c>
      <c r="F1446" t="s">
        <v>30</v>
      </c>
      <c r="G1446" s="4">
        <v>7</v>
      </c>
      <c r="H1446" s="1">
        <v>80065</v>
      </c>
      <c r="I1446" s="3" t="s">
        <v>21</v>
      </c>
      <c r="J1446" s="4">
        <v>3</v>
      </c>
    </row>
    <row r="1447" spans="1:10" x14ac:dyDescent="0.35">
      <c r="A1447" s="2" t="s">
        <v>1483</v>
      </c>
      <c r="B1447" s="4">
        <v>71</v>
      </c>
      <c r="C1447" t="s">
        <v>17</v>
      </c>
      <c r="D1447" t="s">
        <v>33</v>
      </c>
      <c r="E1447" t="s">
        <v>13</v>
      </c>
      <c r="F1447" t="s">
        <v>14</v>
      </c>
      <c r="G1447" s="4">
        <v>6</v>
      </c>
      <c r="H1447" s="1">
        <v>18670</v>
      </c>
      <c r="I1447" s="3" t="s">
        <v>15</v>
      </c>
      <c r="J1447" s="4">
        <v>4</v>
      </c>
    </row>
    <row r="1448" spans="1:10" x14ac:dyDescent="0.35">
      <c r="A1448" s="2" t="s">
        <v>1484</v>
      </c>
      <c r="B1448" s="4">
        <v>79</v>
      </c>
      <c r="C1448" t="s">
        <v>17</v>
      </c>
      <c r="D1448" t="s">
        <v>49</v>
      </c>
      <c r="E1448" t="s">
        <v>13</v>
      </c>
      <c r="F1448" t="s">
        <v>20</v>
      </c>
      <c r="G1448" s="4">
        <v>10</v>
      </c>
      <c r="H1448" s="1">
        <v>33353</v>
      </c>
      <c r="I1448" s="3" t="s">
        <v>21</v>
      </c>
      <c r="J1448" s="4">
        <v>5</v>
      </c>
    </row>
    <row r="1449" spans="1:10" x14ac:dyDescent="0.35">
      <c r="A1449" s="2" t="s">
        <v>1485</v>
      </c>
      <c r="B1449" s="4">
        <v>65</v>
      </c>
      <c r="C1449" t="s">
        <v>11</v>
      </c>
      <c r="D1449" t="s">
        <v>49</v>
      </c>
      <c r="E1449" t="s">
        <v>37</v>
      </c>
      <c r="F1449" t="s">
        <v>14</v>
      </c>
      <c r="G1449" s="4">
        <v>9</v>
      </c>
      <c r="H1449" s="1">
        <v>28305</v>
      </c>
      <c r="I1449" s="3" t="s">
        <v>15</v>
      </c>
      <c r="J1449" s="4">
        <v>2</v>
      </c>
    </row>
    <row r="1450" spans="1:10" x14ac:dyDescent="0.35">
      <c r="A1450" s="2" t="s">
        <v>1486</v>
      </c>
      <c r="B1450" s="4">
        <v>75</v>
      </c>
      <c r="C1450" t="s">
        <v>17</v>
      </c>
      <c r="D1450" t="s">
        <v>18</v>
      </c>
      <c r="E1450" t="s">
        <v>37</v>
      </c>
      <c r="F1450" t="s">
        <v>14</v>
      </c>
      <c r="G1450" s="4">
        <v>10</v>
      </c>
      <c r="H1450" s="1">
        <v>85774</v>
      </c>
      <c r="I1450" s="3" t="s">
        <v>21</v>
      </c>
      <c r="J1450" s="4">
        <v>2</v>
      </c>
    </row>
    <row r="1451" spans="1:10" x14ac:dyDescent="0.35">
      <c r="A1451" s="2" t="s">
        <v>1487</v>
      </c>
      <c r="B1451" s="4">
        <v>50</v>
      </c>
      <c r="C1451" t="s">
        <v>17</v>
      </c>
      <c r="D1451" t="s">
        <v>18</v>
      </c>
      <c r="E1451" t="s">
        <v>19</v>
      </c>
      <c r="F1451" t="s">
        <v>30</v>
      </c>
      <c r="G1451" s="4">
        <v>6</v>
      </c>
      <c r="H1451" s="1">
        <v>34059</v>
      </c>
      <c r="I1451" s="3" t="s">
        <v>15</v>
      </c>
      <c r="J1451" s="4">
        <v>2</v>
      </c>
    </row>
    <row r="1452" spans="1:10" x14ac:dyDescent="0.35">
      <c r="A1452" s="2" t="s">
        <v>1488</v>
      </c>
      <c r="B1452" s="4">
        <v>36</v>
      </c>
      <c r="C1452" t="s">
        <v>17</v>
      </c>
      <c r="D1452" t="s">
        <v>26</v>
      </c>
      <c r="E1452" t="s">
        <v>24</v>
      </c>
      <c r="F1452" t="s">
        <v>14</v>
      </c>
      <c r="G1452" s="4">
        <v>1</v>
      </c>
      <c r="H1452" s="1">
        <v>15223</v>
      </c>
      <c r="I1452" s="3" t="s">
        <v>21</v>
      </c>
      <c r="J1452" s="4">
        <v>3</v>
      </c>
    </row>
    <row r="1453" spans="1:10" x14ac:dyDescent="0.35">
      <c r="A1453" s="2" t="s">
        <v>1489</v>
      </c>
      <c r="B1453" s="4">
        <v>81</v>
      </c>
      <c r="C1453" t="s">
        <v>17</v>
      </c>
      <c r="D1453" t="s">
        <v>33</v>
      </c>
      <c r="E1453" t="s">
        <v>34</v>
      </c>
      <c r="F1453" t="s">
        <v>30</v>
      </c>
      <c r="G1453" s="4">
        <v>13</v>
      </c>
      <c r="H1453" s="1">
        <v>27239</v>
      </c>
      <c r="I1453" s="3" t="s">
        <v>15</v>
      </c>
      <c r="J1453" s="4">
        <v>1</v>
      </c>
    </row>
    <row r="1454" spans="1:10" x14ac:dyDescent="0.35">
      <c r="A1454" s="2" t="s">
        <v>1490</v>
      </c>
      <c r="B1454" s="4">
        <v>88</v>
      </c>
      <c r="C1454" t="s">
        <v>11</v>
      </c>
      <c r="D1454" t="s">
        <v>26</v>
      </c>
      <c r="E1454" t="s">
        <v>53</v>
      </c>
      <c r="F1454" t="s">
        <v>30</v>
      </c>
      <c r="G1454" s="4">
        <v>12</v>
      </c>
      <c r="H1454" s="1">
        <v>69854</v>
      </c>
      <c r="I1454" s="3" t="s">
        <v>21</v>
      </c>
      <c r="J1454" s="4">
        <v>4</v>
      </c>
    </row>
    <row r="1455" spans="1:10" x14ac:dyDescent="0.35">
      <c r="A1455" s="2" t="s">
        <v>1491</v>
      </c>
      <c r="B1455" s="4">
        <v>89</v>
      </c>
      <c r="C1455" t="s">
        <v>11</v>
      </c>
      <c r="D1455" t="s">
        <v>23</v>
      </c>
      <c r="E1455" t="s">
        <v>37</v>
      </c>
      <c r="F1455" t="s">
        <v>14</v>
      </c>
      <c r="G1455" s="4">
        <v>1</v>
      </c>
      <c r="H1455" s="1">
        <v>98616</v>
      </c>
      <c r="I1455" s="3" t="s">
        <v>15</v>
      </c>
      <c r="J1455" s="4">
        <v>3</v>
      </c>
    </row>
    <row r="1456" spans="1:10" x14ac:dyDescent="0.35">
      <c r="A1456" s="2" t="s">
        <v>1492</v>
      </c>
      <c r="B1456" s="4">
        <v>16</v>
      </c>
      <c r="C1456" t="s">
        <v>17</v>
      </c>
      <c r="D1456" t="s">
        <v>39</v>
      </c>
      <c r="E1456" t="s">
        <v>24</v>
      </c>
      <c r="F1456" t="s">
        <v>14</v>
      </c>
      <c r="G1456" s="4">
        <v>13</v>
      </c>
      <c r="H1456" s="1">
        <v>23223</v>
      </c>
      <c r="I1456" s="3" t="s">
        <v>21</v>
      </c>
      <c r="J1456" s="4">
        <v>5</v>
      </c>
    </row>
    <row r="1457" spans="1:10" x14ac:dyDescent="0.35">
      <c r="A1457" s="2" t="s">
        <v>1493</v>
      </c>
      <c r="B1457" s="4">
        <v>51</v>
      </c>
      <c r="C1457" t="s">
        <v>17</v>
      </c>
      <c r="D1457" t="s">
        <v>28</v>
      </c>
      <c r="E1457" t="s">
        <v>13</v>
      </c>
      <c r="F1457" t="s">
        <v>20</v>
      </c>
      <c r="G1457" s="4">
        <v>7</v>
      </c>
      <c r="H1457" s="1">
        <v>56970</v>
      </c>
      <c r="I1457" s="3" t="s">
        <v>21</v>
      </c>
      <c r="J1457" s="4">
        <v>4</v>
      </c>
    </row>
    <row r="1458" spans="1:10" x14ac:dyDescent="0.35">
      <c r="A1458" s="2" t="s">
        <v>1494</v>
      </c>
      <c r="B1458" s="4">
        <v>19</v>
      </c>
      <c r="C1458" t="s">
        <v>17</v>
      </c>
      <c r="D1458" t="s">
        <v>33</v>
      </c>
      <c r="E1458" t="s">
        <v>53</v>
      </c>
      <c r="F1458" t="s">
        <v>30</v>
      </c>
      <c r="G1458" s="4">
        <v>13</v>
      </c>
      <c r="H1458" s="1">
        <v>84407</v>
      </c>
      <c r="I1458" s="3" t="s">
        <v>15</v>
      </c>
      <c r="J1458" s="4">
        <v>1</v>
      </c>
    </row>
    <row r="1459" spans="1:10" x14ac:dyDescent="0.35">
      <c r="A1459" s="2" t="s">
        <v>1495</v>
      </c>
      <c r="B1459" s="4">
        <v>83</v>
      </c>
      <c r="C1459" t="s">
        <v>17</v>
      </c>
      <c r="D1459" t="s">
        <v>36</v>
      </c>
      <c r="E1459" t="s">
        <v>65</v>
      </c>
      <c r="F1459" t="s">
        <v>30</v>
      </c>
      <c r="G1459" s="4">
        <v>1</v>
      </c>
      <c r="H1459" s="1">
        <v>54764</v>
      </c>
      <c r="I1459" s="3" t="s">
        <v>21</v>
      </c>
      <c r="J1459" s="4">
        <v>2</v>
      </c>
    </row>
    <row r="1460" spans="1:10" x14ac:dyDescent="0.35">
      <c r="A1460" s="2" t="s">
        <v>1496</v>
      </c>
      <c r="B1460" s="4">
        <v>83</v>
      </c>
      <c r="C1460" t="s">
        <v>11</v>
      </c>
      <c r="D1460" t="s">
        <v>28</v>
      </c>
      <c r="E1460" t="s">
        <v>53</v>
      </c>
      <c r="F1460" t="s">
        <v>20</v>
      </c>
      <c r="G1460" s="4">
        <v>3</v>
      </c>
      <c r="H1460" s="1">
        <v>62576</v>
      </c>
      <c r="I1460" s="3" t="s">
        <v>15</v>
      </c>
      <c r="J1460" s="4">
        <v>1</v>
      </c>
    </row>
    <row r="1461" spans="1:10" x14ac:dyDescent="0.35">
      <c r="A1461" s="2" t="s">
        <v>1497</v>
      </c>
      <c r="B1461" s="4">
        <v>83</v>
      </c>
      <c r="C1461" t="s">
        <v>17</v>
      </c>
      <c r="D1461" t="s">
        <v>26</v>
      </c>
      <c r="E1461" t="s">
        <v>19</v>
      </c>
      <c r="F1461" t="s">
        <v>30</v>
      </c>
      <c r="G1461" s="4">
        <v>10</v>
      </c>
      <c r="H1461" s="1">
        <v>9238</v>
      </c>
      <c r="I1461" s="3" t="s">
        <v>21</v>
      </c>
      <c r="J1461" s="4">
        <v>1</v>
      </c>
    </row>
    <row r="1462" spans="1:10" x14ac:dyDescent="0.35">
      <c r="A1462" s="2" t="s">
        <v>1498</v>
      </c>
      <c r="B1462" s="4">
        <v>68</v>
      </c>
      <c r="C1462" t="s">
        <v>11</v>
      </c>
      <c r="D1462" t="s">
        <v>26</v>
      </c>
      <c r="E1462" t="s">
        <v>34</v>
      </c>
      <c r="F1462" t="s">
        <v>30</v>
      </c>
      <c r="G1462" s="4">
        <v>5</v>
      </c>
      <c r="H1462" s="1">
        <v>46906</v>
      </c>
      <c r="I1462" s="3" t="s">
        <v>21</v>
      </c>
      <c r="J1462" s="4">
        <v>5</v>
      </c>
    </row>
    <row r="1463" spans="1:10" x14ac:dyDescent="0.35">
      <c r="A1463" s="2" t="s">
        <v>1499</v>
      </c>
      <c r="B1463" s="4">
        <v>39</v>
      </c>
      <c r="C1463" t="s">
        <v>17</v>
      </c>
      <c r="D1463" t="s">
        <v>23</v>
      </c>
      <c r="E1463" t="s">
        <v>53</v>
      </c>
      <c r="F1463" t="s">
        <v>14</v>
      </c>
      <c r="G1463" s="4">
        <v>10</v>
      </c>
      <c r="H1463" s="1">
        <v>29633</v>
      </c>
      <c r="I1463" s="3" t="s">
        <v>21</v>
      </c>
      <c r="J1463" s="4">
        <v>4</v>
      </c>
    </row>
    <row r="1464" spans="1:10" x14ac:dyDescent="0.35">
      <c r="A1464" s="2" t="s">
        <v>1500</v>
      </c>
      <c r="B1464" s="4">
        <v>63</v>
      </c>
      <c r="C1464" t="s">
        <v>17</v>
      </c>
      <c r="D1464" t="s">
        <v>28</v>
      </c>
      <c r="E1464" t="s">
        <v>24</v>
      </c>
      <c r="F1464" t="s">
        <v>30</v>
      </c>
      <c r="G1464" s="4">
        <v>4</v>
      </c>
      <c r="H1464" s="1">
        <v>56315</v>
      </c>
      <c r="I1464" s="3" t="s">
        <v>21</v>
      </c>
      <c r="J1464" s="4">
        <v>4</v>
      </c>
    </row>
    <row r="1465" spans="1:10" x14ac:dyDescent="0.35">
      <c r="A1465" s="2" t="s">
        <v>1501</v>
      </c>
      <c r="B1465" s="4">
        <v>43</v>
      </c>
      <c r="C1465" t="s">
        <v>17</v>
      </c>
      <c r="D1465" t="s">
        <v>26</v>
      </c>
      <c r="E1465" t="s">
        <v>42</v>
      </c>
      <c r="F1465" t="s">
        <v>30</v>
      </c>
      <c r="G1465" s="4">
        <v>11</v>
      </c>
      <c r="H1465" s="1">
        <v>10121</v>
      </c>
      <c r="I1465" s="3" t="s">
        <v>21</v>
      </c>
      <c r="J1465" s="4">
        <v>3</v>
      </c>
    </row>
    <row r="1466" spans="1:10" x14ac:dyDescent="0.35">
      <c r="A1466" s="2" t="s">
        <v>1502</v>
      </c>
      <c r="B1466" s="4">
        <v>49</v>
      </c>
      <c r="C1466" t="s">
        <v>11</v>
      </c>
      <c r="D1466" t="s">
        <v>36</v>
      </c>
      <c r="E1466" t="s">
        <v>13</v>
      </c>
      <c r="F1466" t="s">
        <v>14</v>
      </c>
      <c r="G1466" s="4">
        <v>13</v>
      </c>
      <c r="H1466" s="1">
        <v>87266</v>
      </c>
      <c r="I1466" s="3" t="s">
        <v>21</v>
      </c>
      <c r="J1466" s="4">
        <v>3</v>
      </c>
    </row>
    <row r="1467" spans="1:10" x14ac:dyDescent="0.35">
      <c r="A1467" s="2" t="s">
        <v>1503</v>
      </c>
      <c r="B1467" s="4">
        <v>56</v>
      </c>
      <c r="C1467" t="s">
        <v>11</v>
      </c>
      <c r="D1467" t="s">
        <v>18</v>
      </c>
      <c r="E1467" t="s">
        <v>24</v>
      </c>
      <c r="F1467" t="s">
        <v>20</v>
      </c>
      <c r="G1467" s="4">
        <v>15</v>
      </c>
      <c r="H1467" s="1">
        <v>43006</v>
      </c>
      <c r="I1467" s="3" t="s">
        <v>21</v>
      </c>
      <c r="J1467" s="4">
        <v>5</v>
      </c>
    </row>
    <row r="1468" spans="1:10" x14ac:dyDescent="0.35">
      <c r="A1468" s="2" t="s">
        <v>1504</v>
      </c>
      <c r="B1468" s="4">
        <v>34</v>
      </c>
      <c r="C1468" t="s">
        <v>11</v>
      </c>
      <c r="D1468" t="s">
        <v>49</v>
      </c>
      <c r="E1468" t="s">
        <v>53</v>
      </c>
      <c r="F1468" t="s">
        <v>20</v>
      </c>
      <c r="G1468" s="4">
        <v>9</v>
      </c>
      <c r="H1468" s="1">
        <v>49375</v>
      </c>
      <c r="I1468" s="3" t="s">
        <v>21</v>
      </c>
      <c r="J1468" s="4">
        <v>4</v>
      </c>
    </row>
    <row r="1469" spans="1:10" x14ac:dyDescent="0.35">
      <c r="A1469" s="2" t="s">
        <v>1505</v>
      </c>
      <c r="B1469" s="4">
        <v>64</v>
      </c>
      <c r="C1469" t="s">
        <v>17</v>
      </c>
      <c r="D1469" t="s">
        <v>41</v>
      </c>
      <c r="E1469" t="s">
        <v>13</v>
      </c>
      <c r="F1469" t="s">
        <v>20</v>
      </c>
      <c r="G1469" s="4">
        <v>9</v>
      </c>
      <c r="H1469" s="1">
        <v>39451</v>
      </c>
      <c r="I1469" s="3" t="s">
        <v>15</v>
      </c>
      <c r="J1469" s="4">
        <v>3</v>
      </c>
    </row>
    <row r="1470" spans="1:10" x14ac:dyDescent="0.35">
      <c r="A1470" s="2" t="s">
        <v>1506</v>
      </c>
      <c r="B1470" s="4">
        <v>7</v>
      </c>
      <c r="C1470" t="s">
        <v>11</v>
      </c>
      <c r="D1470" t="s">
        <v>26</v>
      </c>
      <c r="E1470" t="s">
        <v>34</v>
      </c>
      <c r="F1470" t="s">
        <v>20</v>
      </c>
      <c r="G1470" s="4">
        <v>15</v>
      </c>
      <c r="H1470" s="1">
        <v>6343</v>
      </c>
      <c r="I1470" s="3" t="s">
        <v>15</v>
      </c>
      <c r="J1470" s="4">
        <v>5</v>
      </c>
    </row>
    <row r="1471" spans="1:10" x14ac:dyDescent="0.35">
      <c r="A1471" s="2" t="s">
        <v>1507</v>
      </c>
      <c r="B1471" s="4">
        <v>37</v>
      </c>
      <c r="C1471" t="s">
        <v>11</v>
      </c>
      <c r="D1471" t="s">
        <v>12</v>
      </c>
      <c r="E1471" t="s">
        <v>37</v>
      </c>
      <c r="F1471" t="s">
        <v>14</v>
      </c>
      <c r="G1471" s="4">
        <v>3</v>
      </c>
      <c r="H1471" s="1">
        <v>42575</v>
      </c>
      <c r="I1471" s="3" t="s">
        <v>21</v>
      </c>
      <c r="J1471" s="4">
        <v>4</v>
      </c>
    </row>
    <row r="1472" spans="1:10" x14ac:dyDescent="0.35">
      <c r="A1472" s="2" t="s">
        <v>1508</v>
      </c>
      <c r="B1472" s="4">
        <v>48</v>
      </c>
      <c r="C1472" t="s">
        <v>17</v>
      </c>
      <c r="D1472" t="s">
        <v>33</v>
      </c>
      <c r="E1472" t="s">
        <v>37</v>
      </c>
      <c r="F1472" t="s">
        <v>20</v>
      </c>
      <c r="G1472" s="4">
        <v>6</v>
      </c>
      <c r="H1472" s="1">
        <v>94651</v>
      </c>
      <c r="I1472" s="3" t="s">
        <v>15</v>
      </c>
      <c r="J1472" s="4">
        <v>4</v>
      </c>
    </row>
    <row r="1473" spans="1:10" x14ac:dyDescent="0.35">
      <c r="A1473" s="2" t="s">
        <v>1509</v>
      </c>
      <c r="B1473" s="4">
        <v>18</v>
      </c>
      <c r="C1473" t="s">
        <v>11</v>
      </c>
      <c r="D1473" t="s">
        <v>36</v>
      </c>
      <c r="E1473" t="s">
        <v>29</v>
      </c>
      <c r="F1473" t="s">
        <v>14</v>
      </c>
      <c r="G1473" s="4">
        <v>11</v>
      </c>
      <c r="H1473" s="1">
        <v>40615</v>
      </c>
      <c r="I1473" s="3" t="s">
        <v>15</v>
      </c>
      <c r="J1473" s="4">
        <v>2</v>
      </c>
    </row>
    <row r="1474" spans="1:10" x14ac:dyDescent="0.35">
      <c r="A1474" s="2" t="s">
        <v>1510</v>
      </c>
      <c r="B1474" s="4">
        <v>54</v>
      </c>
      <c r="C1474" t="s">
        <v>17</v>
      </c>
      <c r="D1474" t="s">
        <v>26</v>
      </c>
      <c r="E1474" t="s">
        <v>42</v>
      </c>
      <c r="F1474" t="s">
        <v>30</v>
      </c>
      <c r="G1474" s="4">
        <v>6</v>
      </c>
      <c r="H1474" s="1">
        <v>83205</v>
      </c>
      <c r="I1474" s="3" t="s">
        <v>15</v>
      </c>
      <c r="J1474" s="4">
        <v>1</v>
      </c>
    </row>
    <row r="1475" spans="1:10" x14ac:dyDescent="0.35">
      <c r="A1475" s="2" t="s">
        <v>1511</v>
      </c>
      <c r="B1475" s="4">
        <v>86</v>
      </c>
      <c r="C1475" t="s">
        <v>11</v>
      </c>
      <c r="D1475" t="s">
        <v>41</v>
      </c>
      <c r="E1475" t="s">
        <v>13</v>
      </c>
      <c r="F1475" t="s">
        <v>14</v>
      </c>
      <c r="G1475" s="4">
        <v>8</v>
      </c>
      <c r="H1475" s="1">
        <v>34880</v>
      </c>
      <c r="I1475" s="3" t="s">
        <v>21</v>
      </c>
      <c r="J1475" s="4">
        <v>2</v>
      </c>
    </row>
    <row r="1476" spans="1:10" x14ac:dyDescent="0.35">
      <c r="A1476" s="2" t="s">
        <v>1512</v>
      </c>
      <c r="B1476" s="4">
        <v>67</v>
      </c>
      <c r="C1476" t="s">
        <v>11</v>
      </c>
      <c r="D1476" t="s">
        <v>41</v>
      </c>
      <c r="E1476" t="s">
        <v>19</v>
      </c>
      <c r="F1476" t="s">
        <v>20</v>
      </c>
      <c r="G1476" s="4">
        <v>7</v>
      </c>
      <c r="H1476" s="1">
        <v>70274</v>
      </c>
      <c r="I1476" s="3" t="s">
        <v>21</v>
      </c>
      <c r="J1476" s="4">
        <v>5</v>
      </c>
    </row>
    <row r="1477" spans="1:10" x14ac:dyDescent="0.35">
      <c r="A1477" s="2" t="s">
        <v>1513</v>
      </c>
      <c r="B1477" s="4">
        <v>5</v>
      </c>
      <c r="C1477" t="s">
        <v>17</v>
      </c>
      <c r="D1477" t="s">
        <v>23</v>
      </c>
      <c r="E1477" t="s">
        <v>37</v>
      </c>
      <c r="F1477" t="s">
        <v>30</v>
      </c>
      <c r="G1477" s="4">
        <v>1</v>
      </c>
      <c r="H1477" s="1">
        <v>85888</v>
      </c>
      <c r="I1477" s="3" t="s">
        <v>21</v>
      </c>
      <c r="J1477" s="4">
        <v>4</v>
      </c>
    </row>
    <row r="1478" spans="1:10" x14ac:dyDescent="0.35">
      <c r="A1478" s="2" t="s">
        <v>1514</v>
      </c>
      <c r="B1478" s="4">
        <v>38</v>
      </c>
      <c r="C1478" t="s">
        <v>17</v>
      </c>
      <c r="D1478" t="s">
        <v>28</v>
      </c>
      <c r="E1478" t="s">
        <v>34</v>
      </c>
      <c r="F1478" t="s">
        <v>30</v>
      </c>
      <c r="G1478" s="4">
        <v>6</v>
      </c>
      <c r="H1478" s="1">
        <v>37999</v>
      </c>
      <c r="I1478" s="3" t="s">
        <v>15</v>
      </c>
      <c r="J1478" s="4">
        <v>1</v>
      </c>
    </row>
    <row r="1479" spans="1:10" x14ac:dyDescent="0.35">
      <c r="A1479" s="2" t="s">
        <v>1515</v>
      </c>
      <c r="B1479" s="4">
        <v>70</v>
      </c>
      <c r="C1479" t="s">
        <v>11</v>
      </c>
      <c r="D1479" t="s">
        <v>49</v>
      </c>
      <c r="E1479" t="s">
        <v>27</v>
      </c>
      <c r="F1479" t="s">
        <v>14</v>
      </c>
      <c r="G1479" s="4">
        <v>14</v>
      </c>
      <c r="H1479" s="1">
        <v>84612</v>
      </c>
      <c r="I1479" s="3" t="s">
        <v>21</v>
      </c>
      <c r="J1479" s="4">
        <v>3</v>
      </c>
    </row>
    <row r="1480" spans="1:10" x14ac:dyDescent="0.35">
      <c r="A1480" s="2" t="s">
        <v>1516</v>
      </c>
      <c r="B1480" s="4">
        <v>2</v>
      </c>
      <c r="C1480" t="s">
        <v>11</v>
      </c>
      <c r="D1480" t="s">
        <v>12</v>
      </c>
      <c r="E1480" t="s">
        <v>27</v>
      </c>
      <c r="F1480" t="s">
        <v>30</v>
      </c>
      <c r="G1480" s="4">
        <v>11</v>
      </c>
      <c r="H1480" s="1">
        <v>20857</v>
      </c>
      <c r="I1480" s="3" t="s">
        <v>15</v>
      </c>
      <c r="J1480" s="4">
        <v>5</v>
      </c>
    </row>
    <row r="1481" spans="1:10" x14ac:dyDescent="0.35">
      <c r="A1481" s="2" t="s">
        <v>1517</v>
      </c>
      <c r="B1481" s="4">
        <v>22</v>
      </c>
      <c r="C1481" t="s">
        <v>11</v>
      </c>
      <c r="D1481" t="s">
        <v>33</v>
      </c>
      <c r="E1481" t="s">
        <v>42</v>
      </c>
      <c r="F1481" t="s">
        <v>20</v>
      </c>
      <c r="G1481" s="4">
        <v>3</v>
      </c>
      <c r="H1481" s="1">
        <v>11350</v>
      </c>
      <c r="I1481" s="3" t="s">
        <v>15</v>
      </c>
      <c r="J1481" s="4">
        <v>3</v>
      </c>
    </row>
    <row r="1482" spans="1:10" x14ac:dyDescent="0.35">
      <c r="A1482" s="2" t="s">
        <v>1518</v>
      </c>
      <c r="B1482" s="4">
        <v>15</v>
      </c>
      <c r="C1482" t="s">
        <v>17</v>
      </c>
      <c r="D1482" t="s">
        <v>39</v>
      </c>
      <c r="E1482" t="s">
        <v>19</v>
      </c>
      <c r="F1482" t="s">
        <v>14</v>
      </c>
      <c r="G1482" s="4">
        <v>5</v>
      </c>
      <c r="H1482" s="1">
        <v>52119</v>
      </c>
      <c r="I1482" s="3" t="s">
        <v>21</v>
      </c>
      <c r="J1482" s="4">
        <v>2</v>
      </c>
    </row>
    <row r="1483" spans="1:10" x14ac:dyDescent="0.35">
      <c r="A1483" s="2" t="s">
        <v>1519</v>
      </c>
      <c r="B1483" s="4">
        <v>49</v>
      </c>
      <c r="C1483" t="s">
        <v>11</v>
      </c>
      <c r="D1483" t="s">
        <v>18</v>
      </c>
      <c r="E1483" t="s">
        <v>65</v>
      </c>
      <c r="F1483" t="s">
        <v>20</v>
      </c>
      <c r="G1483" s="4">
        <v>14</v>
      </c>
      <c r="H1483" s="1">
        <v>74623</v>
      </c>
      <c r="I1483" s="3" t="s">
        <v>21</v>
      </c>
      <c r="J1483" s="4">
        <v>2</v>
      </c>
    </row>
    <row r="1484" spans="1:10" x14ac:dyDescent="0.35">
      <c r="A1484" s="2" t="s">
        <v>1520</v>
      </c>
      <c r="B1484" s="4">
        <v>73</v>
      </c>
      <c r="C1484" t="s">
        <v>17</v>
      </c>
      <c r="D1484" t="s">
        <v>28</v>
      </c>
      <c r="E1484" t="s">
        <v>53</v>
      </c>
      <c r="F1484" t="s">
        <v>30</v>
      </c>
      <c r="G1484" s="4">
        <v>3</v>
      </c>
      <c r="H1484" s="1">
        <v>35351</v>
      </c>
      <c r="I1484" s="3" t="s">
        <v>15</v>
      </c>
      <c r="J1484" s="4">
        <v>1</v>
      </c>
    </row>
    <row r="1485" spans="1:10" x14ac:dyDescent="0.35">
      <c r="A1485" s="2" t="s">
        <v>1521</v>
      </c>
      <c r="B1485" s="4">
        <v>64</v>
      </c>
      <c r="C1485" t="s">
        <v>11</v>
      </c>
      <c r="D1485" t="s">
        <v>12</v>
      </c>
      <c r="E1485" t="s">
        <v>37</v>
      </c>
      <c r="F1485" t="s">
        <v>30</v>
      </c>
      <c r="G1485" s="4">
        <v>1</v>
      </c>
      <c r="H1485" s="1">
        <v>94132</v>
      </c>
      <c r="I1485" s="3" t="s">
        <v>21</v>
      </c>
      <c r="J1485" s="4">
        <v>5</v>
      </c>
    </row>
    <row r="1486" spans="1:10" x14ac:dyDescent="0.35">
      <c r="A1486" s="2" t="s">
        <v>1522</v>
      </c>
      <c r="B1486" s="4">
        <v>45</v>
      </c>
      <c r="C1486" t="s">
        <v>11</v>
      </c>
      <c r="D1486" t="s">
        <v>41</v>
      </c>
      <c r="E1486" t="s">
        <v>65</v>
      </c>
      <c r="F1486" t="s">
        <v>14</v>
      </c>
      <c r="G1486" s="4">
        <v>8</v>
      </c>
      <c r="H1486" s="1">
        <v>86074</v>
      </c>
      <c r="I1486" s="3" t="s">
        <v>15</v>
      </c>
      <c r="J1486" s="4">
        <v>5</v>
      </c>
    </row>
    <row r="1487" spans="1:10" x14ac:dyDescent="0.35">
      <c r="A1487" s="2" t="s">
        <v>1523</v>
      </c>
      <c r="B1487" s="4">
        <v>37</v>
      </c>
      <c r="C1487" t="s">
        <v>17</v>
      </c>
      <c r="D1487" t="s">
        <v>36</v>
      </c>
      <c r="E1487" t="s">
        <v>34</v>
      </c>
      <c r="F1487" t="s">
        <v>30</v>
      </c>
      <c r="G1487" s="4">
        <v>14</v>
      </c>
      <c r="H1487" s="1">
        <v>38207</v>
      </c>
      <c r="I1487" s="3" t="s">
        <v>21</v>
      </c>
      <c r="J1487" s="4">
        <v>1</v>
      </c>
    </row>
    <row r="1488" spans="1:10" x14ac:dyDescent="0.35">
      <c r="A1488" s="2" t="s">
        <v>1524</v>
      </c>
      <c r="B1488" s="4">
        <v>58</v>
      </c>
      <c r="C1488" t="s">
        <v>17</v>
      </c>
      <c r="D1488" t="s">
        <v>12</v>
      </c>
      <c r="E1488" t="s">
        <v>24</v>
      </c>
      <c r="F1488" t="s">
        <v>20</v>
      </c>
      <c r="G1488" s="4">
        <v>4</v>
      </c>
      <c r="H1488" s="1">
        <v>84374</v>
      </c>
      <c r="I1488" s="3" t="s">
        <v>21</v>
      </c>
      <c r="J1488" s="4">
        <v>5</v>
      </c>
    </row>
    <row r="1489" spans="1:10" x14ac:dyDescent="0.35">
      <c r="A1489" s="2" t="s">
        <v>1525</v>
      </c>
      <c r="B1489" s="4">
        <v>59</v>
      </c>
      <c r="C1489" t="s">
        <v>17</v>
      </c>
      <c r="D1489" t="s">
        <v>18</v>
      </c>
      <c r="E1489" t="s">
        <v>29</v>
      </c>
      <c r="F1489" t="s">
        <v>20</v>
      </c>
      <c r="G1489" s="4">
        <v>1</v>
      </c>
      <c r="H1489" s="1">
        <v>49771</v>
      </c>
      <c r="I1489" s="3" t="s">
        <v>15</v>
      </c>
      <c r="J1489" s="4">
        <v>4</v>
      </c>
    </row>
    <row r="1490" spans="1:10" x14ac:dyDescent="0.35">
      <c r="A1490" s="2" t="s">
        <v>1526</v>
      </c>
      <c r="B1490" s="4">
        <v>22</v>
      </c>
      <c r="C1490" t="s">
        <v>11</v>
      </c>
      <c r="D1490" t="s">
        <v>26</v>
      </c>
      <c r="E1490" t="s">
        <v>37</v>
      </c>
      <c r="F1490" t="s">
        <v>14</v>
      </c>
      <c r="G1490" s="4">
        <v>6</v>
      </c>
      <c r="H1490" s="1">
        <v>57214</v>
      </c>
      <c r="I1490" s="3" t="s">
        <v>15</v>
      </c>
      <c r="J1490" s="4">
        <v>4</v>
      </c>
    </row>
    <row r="1491" spans="1:10" x14ac:dyDescent="0.35">
      <c r="A1491" s="2" t="s">
        <v>1527</v>
      </c>
      <c r="B1491" s="4">
        <v>72</v>
      </c>
      <c r="C1491" t="s">
        <v>17</v>
      </c>
      <c r="D1491" t="s">
        <v>18</v>
      </c>
      <c r="E1491" t="s">
        <v>53</v>
      </c>
      <c r="F1491" t="s">
        <v>14</v>
      </c>
      <c r="G1491" s="4">
        <v>3</v>
      </c>
      <c r="H1491" s="1">
        <v>71679</v>
      </c>
      <c r="I1491" s="3" t="s">
        <v>21</v>
      </c>
      <c r="J1491" s="4">
        <v>5</v>
      </c>
    </row>
    <row r="1492" spans="1:10" x14ac:dyDescent="0.35">
      <c r="A1492" s="2" t="s">
        <v>1528</v>
      </c>
      <c r="B1492" s="4">
        <v>21</v>
      </c>
      <c r="C1492" t="s">
        <v>17</v>
      </c>
      <c r="D1492" t="s">
        <v>26</v>
      </c>
      <c r="E1492" t="s">
        <v>29</v>
      </c>
      <c r="F1492" t="s">
        <v>30</v>
      </c>
      <c r="G1492" s="4">
        <v>4</v>
      </c>
      <c r="H1492" s="1">
        <v>88665</v>
      </c>
      <c r="I1492" s="3" t="s">
        <v>15</v>
      </c>
      <c r="J1492" s="4">
        <v>5</v>
      </c>
    </row>
    <row r="1493" spans="1:10" x14ac:dyDescent="0.35">
      <c r="A1493" s="2" t="s">
        <v>1529</v>
      </c>
      <c r="B1493" s="4">
        <v>67</v>
      </c>
      <c r="C1493" t="s">
        <v>11</v>
      </c>
      <c r="D1493" t="s">
        <v>12</v>
      </c>
      <c r="E1493" t="s">
        <v>29</v>
      </c>
      <c r="F1493" t="s">
        <v>14</v>
      </c>
      <c r="G1493" s="4">
        <v>9</v>
      </c>
      <c r="H1493" s="1">
        <v>46427</v>
      </c>
      <c r="I1493" s="3" t="s">
        <v>21</v>
      </c>
      <c r="J1493" s="4">
        <v>5</v>
      </c>
    </row>
    <row r="1494" spans="1:10" x14ac:dyDescent="0.35">
      <c r="A1494" s="2" t="s">
        <v>1530</v>
      </c>
      <c r="B1494" s="4">
        <v>39</v>
      </c>
      <c r="C1494" t="s">
        <v>17</v>
      </c>
      <c r="D1494" t="s">
        <v>33</v>
      </c>
      <c r="E1494" t="s">
        <v>27</v>
      </c>
      <c r="F1494" t="s">
        <v>14</v>
      </c>
      <c r="G1494" s="4">
        <v>4</v>
      </c>
      <c r="H1494" s="1">
        <v>53570</v>
      </c>
      <c r="I1494" s="3" t="s">
        <v>15</v>
      </c>
      <c r="J1494" s="4">
        <v>2</v>
      </c>
    </row>
    <row r="1495" spans="1:10" x14ac:dyDescent="0.35">
      <c r="A1495" s="2" t="s">
        <v>1531</v>
      </c>
      <c r="B1495" s="4">
        <v>51</v>
      </c>
      <c r="C1495" t="s">
        <v>17</v>
      </c>
      <c r="D1495" t="s">
        <v>33</v>
      </c>
      <c r="E1495" t="s">
        <v>37</v>
      </c>
      <c r="F1495" t="s">
        <v>30</v>
      </c>
      <c r="G1495" s="4">
        <v>11</v>
      </c>
      <c r="H1495" s="1">
        <v>7987</v>
      </c>
      <c r="I1495" s="3" t="s">
        <v>21</v>
      </c>
      <c r="J1495" s="4">
        <v>1</v>
      </c>
    </row>
    <row r="1496" spans="1:10" x14ac:dyDescent="0.35">
      <c r="A1496" s="2" t="s">
        <v>1532</v>
      </c>
      <c r="B1496" s="4">
        <v>58</v>
      </c>
      <c r="C1496" t="s">
        <v>17</v>
      </c>
      <c r="D1496" t="s">
        <v>23</v>
      </c>
      <c r="E1496" t="s">
        <v>34</v>
      </c>
      <c r="F1496" t="s">
        <v>14</v>
      </c>
      <c r="G1496" s="4">
        <v>10</v>
      </c>
      <c r="H1496" s="1">
        <v>21467</v>
      </c>
      <c r="I1496" s="3" t="s">
        <v>21</v>
      </c>
      <c r="J1496" s="4">
        <v>5</v>
      </c>
    </row>
    <row r="1497" spans="1:10" x14ac:dyDescent="0.35">
      <c r="A1497" s="2" t="s">
        <v>1533</v>
      </c>
      <c r="B1497" s="4">
        <v>4</v>
      </c>
      <c r="C1497" t="s">
        <v>17</v>
      </c>
      <c r="D1497" t="s">
        <v>23</v>
      </c>
      <c r="E1497" t="s">
        <v>27</v>
      </c>
      <c r="F1497" t="s">
        <v>14</v>
      </c>
      <c r="G1497" s="4">
        <v>14</v>
      </c>
      <c r="H1497" s="1">
        <v>16339</v>
      </c>
      <c r="I1497" s="3" t="s">
        <v>21</v>
      </c>
      <c r="J1497" s="4">
        <v>3</v>
      </c>
    </row>
    <row r="1498" spans="1:10" x14ac:dyDescent="0.35">
      <c r="A1498" s="2" t="s">
        <v>1534</v>
      </c>
      <c r="B1498" s="4">
        <v>90</v>
      </c>
      <c r="C1498" t="s">
        <v>17</v>
      </c>
      <c r="D1498" t="s">
        <v>23</v>
      </c>
      <c r="E1498" t="s">
        <v>34</v>
      </c>
      <c r="F1498" t="s">
        <v>14</v>
      </c>
      <c r="G1498" s="4">
        <v>3</v>
      </c>
      <c r="H1498" s="1">
        <v>42986</v>
      </c>
      <c r="I1498" s="3" t="s">
        <v>15</v>
      </c>
      <c r="J1498" s="4">
        <v>5</v>
      </c>
    </row>
    <row r="1499" spans="1:10" x14ac:dyDescent="0.35">
      <c r="A1499" s="2" t="s">
        <v>1535</v>
      </c>
      <c r="B1499" s="4">
        <v>15</v>
      </c>
      <c r="C1499" t="s">
        <v>11</v>
      </c>
      <c r="D1499" t="s">
        <v>33</v>
      </c>
      <c r="E1499" t="s">
        <v>19</v>
      </c>
      <c r="F1499" t="s">
        <v>20</v>
      </c>
      <c r="G1499" s="4">
        <v>9</v>
      </c>
      <c r="H1499" s="1">
        <v>82098</v>
      </c>
      <c r="I1499" s="3" t="s">
        <v>21</v>
      </c>
      <c r="J1499" s="4">
        <v>2</v>
      </c>
    </row>
    <row r="1500" spans="1:10" x14ac:dyDescent="0.35">
      <c r="A1500" s="2" t="s">
        <v>1536</v>
      </c>
      <c r="B1500" s="4">
        <v>16</v>
      </c>
      <c r="C1500" t="s">
        <v>17</v>
      </c>
      <c r="D1500" t="s">
        <v>12</v>
      </c>
      <c r="E1500" t="s">
        <v>34</v>
      </c>
      <c r="F1500" t="s">
        <v>20</v>
      </c>
      <c r="G1500" s="4">
        <v>7</v>
      </c>
      <c r="H1500" s="1">
        <v>9829</v>
      </c>
      <c r="I1500" s="3" t="s">
        <v>21</v>
      </c>
      <c r="J1500" s="4">
        <v>1</v>
      </c>
    </row>
    <row r="1501" spans="1:10" x14ac:dyDescent="0.35">
      <c r="A1501" s="2" t="s">
        <v>1537</v>
      </c>
      <c r="B1501" s="4">
        <v>59</v>
      </c>
      <c r="C1501" t="s">
        <v>11</v>
      </c>
      <c r="D1501" t="s">
        <v>18</v>
      </c>
      <c r="E1501" t="s">
        <v>27</v>
      </c>
      <c r="F1501" t="s">
        <v>30</v>
      </c>
      <c r="G1501" s="4">
        <v>15</v>
      </c>
      <c r="H1501" s="1">
        <v>79043</v>
      </c>
      <c r="I1501" s="3" t="s">
        <v>21</v>
      </c>
      <c r="J1501" s="4">
        <v>3</v>
      </c>
    </row>
    <row r="1502" spans="1:10" x14ac:dyDescent="0.35">
      <c r="A1502" s="2" t="s">
        <v>1538</v>
      </c>
      <c r="B1502" s="4">
        <v>30</v>
      </c>
      <c r="C1502" t="s">
        <v>11</v>
      </c>
      <c r="D1502" t="s">
        <v>26</v>
      </c>
      <c r="E1502" t="s">
        <v>19</v>
      </c>
      <c r="F1502" t="s">
        <v>30</v>
      </c>
      <c r="G1502" s="4">
        <v>7</v>
      </c>
      <c r="H1502" s="1">
        <v>78086</v>
      </c>
      <c r="I1502" s="3" t="s">
        <v>15</v>
      </c>
      <c r="J1502" s="4">
        <v>5</v>
      </c>
    </row>
    <row r="1503" spans="1:10" x14ac:dyDescent="0.35">
      <c r="A1503" s="2" t="s">
        <v>1539</v>
      </c>
      <c r="B1503" s="4">
        <v>21</v>
      </c>
      <c r="C1503" t="s">
        <v>11</v>
      </c>
      <c r="D1503" t="s">
        <v>33</v>
      </c>
      <c r="E1503" t="s">
        <v>42</v>
      </c>
      <c r="F1503" t="s">
        <v>14</v>
      </c>
      <c r="G1503" s="4">
        <v>6</v>
      </c>
      <c r="H1503" s="1">
        <v>19036</v>
      </c>
      <c r="I1503" s="3" t="s">
        <v>21</v>
      </c>
      <c r="J1503" s="4">
        <v>2</v>
      </c>
    </row>
    <row r="1504" spans="1:10" x14ac:dyDescent="0.35">
      <c r="A1504" s="2" t="s">
        <v>1540</v>
      </c>
      <c r="B1504" s="4">
        <v>17</v>
      </c>
      <c r="C1504" t="s">
        <v>11</v>
      </c>
      <c r="D1504" t="s">
        <v>36</v>
      </c>
      <c r="E1504" t="s">
        <v>53</v>
      </c>
      <c r="F1504" t="s">
        <v>30</v>
      </c>
      <c r="G1504" s="4">
        <v>11</v>
      </c>
      <c r="H1504" s="1">
        <v>48872</v>
      </c>
      <c r="I1504" s="3" t="s">
        <v>15</v>
      </c>
      <c r="J1504" s="4">
        <v>3</v>
      </c>
    </row>
    <row r="1505" spans="1:10" x14ac:dyDescent="0.35">
      <c r="A1505" s="2" t="s">
        <v>1541</v>
      </c>
      <c r="B1505" s="4">
        <v>32</v>
      </c>
      <c r="C1505" t="s">
        <v>11</v>
      </c>
      <c r="D1505" t="s">
        <v>39</v>
      </c>
      <c r="E1505" t="s">
        <v>27</v>
      </c>
      <c r="F1505" t="s">
        <v>14</v>
      </c>
      <c r="G1505" s="4">
        <v>10</v>
      </c>
      <c r="H1505" s="1">
        <v>60697</v>
      </c>
      <c r="I1505" s="3" t="s">
        <v>21</v>
      </c>
      <c r="J1505" s="4">
        <v>1</v>
      </c>
    </row>
    <row r="1506" spans="1:10" x14ac:dyDescent="0.35">
      <c r="A1506" s="2" t="s">
        <v>1542</v>
      </c>
      <c r="B1506" s="4">
        <v>50</v>
      </c>
      <c r="C1506" t="s">
        <v>17</v>
      </c>
      <c r="D1506" t="s">
        <v>28</v>
      </c>
      <c r="E1506" t="s">
        <v>34</v>
      </c>
      <c r="F1506" t="s">
        <v>30</v>
      </c>
      <c r="G1506" s="4">
        <v>9</v>
      </c>
      <c r="H1506" s="1">
        <v>68530</v>
      </c>
      <c r="I1506" s="3" t="s">
        <v>15</v>
      </c>
      <c r="J1506" s="4">
        <v>1</v>
      </c>
    </row>
    <row r="1507" spans="1:10" x14ac:dyDescent="0.35">
      <c r="A1507" s="2" t="s">
        <v>1543</v>
      </c>
      <c r="B1507" s="4">
        <v>6</v>
      </c>
      <c r="C1507" t="s">
        <v>17</v>
      </c>
      <c r="D1507" t="s">
        <v>49</v>
      </c>
      <c r="E1507" t="s">
        <v>37</v>
      </c>
      <c r="F1507" t="s">
        <v>30</v>
      </c>
      <c r="G1507" s="4">
        <v>2</v>
      </c>
      <c r="H1507" s="1">
        <v>8753</v>
      </c>
      <c r="I1507" s="3" t="s">
        <v>21</v>
      </c>
      <c r="J1507" s="4">
        <v>3</v>
      </c>
    </row>
    <row r="1508" spans="1:10" x14ac:dyDescent="0.35">
      <c r="A1508" s="2" t="s">
        <v>1544</v>
      </c>
      <c r="B1508" s="4">
        <v>53</v>
      </c>
      <c r="C1508" t="s">
        <v>11</v>
      </c>
      <c r="D1508" t="s">
        <v>26</v>
      </c>
      <c r="E1508" t="s">
        <v>24</v>
      </c>
      <c r="F1508" t="s">
        <v>20</v>
      </c>
      <c r="G1508" s="4">
        <v>1</v>
      </c>
      <c r="H1508" s="1">
        <v>13250</v>
      </c>
      <c r="I1508" s="3" t="s">
        <v>21</v>
      </c>
      <c r="J1508" s="4">
        <v>5</v>
      </c>
    </row>
    <row r="1509" spans="1:10" x14ac:dyDescent="0.35">
      <c r="A1509" s="2" t="s">
        <v>1545</v>
      </c>
      <c r="B1509" s="4">
        <v>10</v>
      </c>
      <c r="C1509" t="s">
        <v>17</v>
      </c>
      <c r="D1509" t="s">
        <v>39</v>
      </c>
      <c r="E1509" t="s">
        <v>27</v>
      </c>
      <c r="F1509" t="s">
        <v>20</v>
      </c>
      <c r="G1509" s="4">
        <v>2</v>
      </c>
      <c r="H1509" s="1">
        <v>81572</v>
      </c>
      <c r="I1509" s="3" t="s">
        <v>15</v>
      </c>
      <c r="J1509" s="4">
        <v>5</v>
      </c>
    </row>
    <row r="1510" spans="1:10" x14ac:dyDescent="0.35">
      <c r="A1510" s="2" t="s">
        <v>1546</v>
      </c>
      <c r="B1510" s="4">
        <v>56</v>
      </c>
      <c r="C1510" t="s">
        <v>11</v>
      </c>
      <c r="D1510" t="s">
        <v>39</v>
      </c>
      <c r="E1510" t="s">
        <v>42</v>
      </c>
      <c r="F1510" t="s">
        <v>30</v>
      </c>
      <c r="G1510" s="4">
        <v>8</v>
      </c>
      <c r="H1510" s="1">
        <v>89302</v>
      </c>
      <c r="I1510" s="3" t="s">
        <v>15</v>
      </c>
      <c r="J1510" s="4">
        <v>1</v>
      </c>
    </row>
    <row r="1511" spans="1:10" x14ac:dyDescent="0.35">
      <c r="A1511" s="2" t="s">
        <v>1547</v>
      </c>
      <c r="B1511" s="4">
        <v>41</v>
      </c>
      <c r="C1511" t="s">
        <v>17</v>
      </c>
      <c r="D1511" t="s">
        <v>18</v>
      </c>
      <c r="E1511" t="s">
        <v>53</v>
      </c>
      <c r="F1511" t="s">
        <v>30</v>
      </c>
      <c r="G1511" s="4">
        <v>4</v>
      </c>
      <c r="H1511" s="1">
        <v>91387</v>
      </c>
      <c r="I1511" s="3" t="s">
        <v>15</v>
      </c>
      <c r="J1511" s="4">
        <v>2</v>
      </c>
    </row>
    <row r="1512" spans="1:10" x14ac:dyDescent="0.35">
      <c r="A1512" s="2" t="s">
        <v>1548</v>
      </c>
      <c r="B1512" s="4">
        <v>6</v>
      </c>
      <c r="C1512" t="s">
        <v>17</v>
      </c>
      <c r="D1512" t="s">
        <v>49</v>
      </c>
      <c r="E1512" t="s">
        <v>13</v>
      </c>
      <c r="F1512" t="s">
        <v>20</v>
      </c>
      <c r="G1512" s="4">
        <v>7</v>
      </c>
      <c r="H1512" s="1">
        <v>15194</v>
      </c>
      <c r="I1512" s="3" t="s">
        <v>21</v>
      </c>
      <c r="J1512" s="4">
        <v>3</v>
      </c>
    </row>
    <row r="1513" spans="1:10" x14ac:dyDescent="0.35">
      <c r="A1513" s="2" t="s">
        <v>1549</v>
      </c>
      <c r="B1513" s="4">
        <v>21</v>
      </c>
      <c r="C1513" t="s">
        <v>17</v>
      </c>
      <c r="D1513" t="s">
        <v>12</v>
      </c>
      <c r="E1513" t="s">
        <v>65</v>
      </c>
      <c r="F1513" t="s">
        <v>14</v>
      </c>
      <c r="G1513" s="4">
        <v>8</v>
      </c>
      <c r="H1513" s="1">
        <v>71495</v>
      </c>
      <c r="I1513" s="3" t="s">
        <v>15</v>
      </c>
      <c r="J1513" s="4">
        <v>3</v>
      </c>
    </row>
    <row r="1514" spans="1:10" x14ac:dyDescent="0.35">
      <c r="A1514" s="2" t="s">
        <v>1550</v>
      </c>
      <c r="B1514" s="4">
        <v>25</v>
      </c>
      <c r="C1514" t="s">
        <v>17</v>
      </c>
      <c r="D1514" t="s">
        <v>28</v>
      </c>
      <c r="E1514" t="s">
        <v>27</v>
      </c>
      <c r="F1514" t="s">
        <v>20</v>
      </c>
      <c r="G1514" s="4">
        <v>9</v>
      </c>
      <c r="H1514" s="1">
        <v>10847</v>
      </c>
      <c r="I1514" s="3" t="s">
        <v>15</v>
      </c>
      <c r="J1514" s="4">
        <v>1</v>
      </c>
    </row>
    <row r="1515" spans="1:10" x14ac:dyDescent="0.35">
      <c r="A1515" s="2" t="s">
        <v>1551</v>
      </c>
      <c r="B1515" s="4">
        <v>74</v>
      </c>
      <c r="C1515" t="s">
        <v>17</v>
      </c>
      <c r="D1515" t="s">
        <v>41</v>
      </c>
      <c r="E1515" t="s">
        <v>37</v>
      </c>
      <c r="F1515" t="s">
        <v>30</v>
      </c>
      <c r="G1515" s="4">
        <v>14</v>
      </c>
      <c r="H1515" s="1">
        <v>30118</v>
      </c>
      <c r="I1515" s="3" t="s">
        <v>21</v>
      </c>
      <c r="J1515" s="4">
        <v>2</v>
      </c>
    </row>
    <row r="1516" spans="1:10" x14ac:dyDescent="0.35">
      <c r="A1516" s="2" t="s">
        <v>1552</v>
      </c>
      <c r="B1516" s="4">
        <v>63</v>
      </c>
      <c r="C1516" t="s">
        <v>17</v>
      </c>
      <c r="D1516" t="s">
        <v>23</v>
      </c>
      <c r="E1516" t="s">
        <v>24</v>
      </c>
      <c r="F1516" t="s">
        <v>14</v>
      </c>
      <c r="G1516" s="4">
        <v>15</v>
      </c>
      <c r="H1516" s="1">
        <v>5711</v>
      </c>
      <c r="I1516" s="3" t="s">
        <v>15</v>
      </c>
      <c r="J1516" s="4">
        <v>3</v>
      </c>
    </row>
    <row r="1517" spans="1:10" x14ac:dyDescent="0.35">
      <c r="A1517" s="2" t="s">
        <v>1553</v>
      </c>
      <c r="B1517" s="4">
        <v>50</v>
      </c>
      <c r="C1517" t="s">
        <v>17</v>
      </c>
      <c r="D1517" t="s">
        <v>23</v>
      </c>
      <c r="E1517" t="s">
        <v>34</v>
      </c>
      <c r="F1517" t="s">
        <v>20</v>
      </c>
      <c r="G1517" s="4">
        <v>3</v>
      </c>
      <c r="H1517" s="1">
        <v>82047</v>
      </c>
      <c r="I1517" s="3" t="s">
        <v>21</v>
      </c>
      <c r="J1517" s="4">
        <v>3</v>
      </c>
    </row>
    <row r="1518" spans="1:10" x14ac:dyDescent="0.35">
      <c r="A1518" s="2" t="s">
        <v>1554</v>
      </c>
      <c r="B1518" s="4">
        <v>26</v>
      </c>
      <c r="C1518" t="s">
        <v>17</v>
      </c>
      <c r="D1518" t="s">
        <v>36</v>
      </c>
      <c r="E1518" t="s">
        <v>27</v>
      </c>
      <c r="F1518" t="s">
        <v>30</v>
      </c>
      <c r="G1518" s="4">
        <v>3</v>
      </c>
      <c r="H1518" s="1">
        <v>64547</v>
      </c>
      <c r="I1518" s="3" t="s">
        <v>21</v>
      </c>
      <c r="J1518" s="4">
        <v>2</v>
      </c>
    </row>
    <row r="1519" spans="1:10" x14ac:dyDescent="0.35">
      <c r="A1519" s="2" t="s">
        <v>1555</v>
      </c>
      <c r="B1519" s="4">
        <v>90</v>
      </c>
      <c r="C1519" t="s">
        <v>17</v>
      </c>
      <c r="D1519" t="s">
        <v>28</v>
      </c>
      <c r="E1519" t="s">
        <v>37</v>
      </c>
      <c r="F1519" t="s">
        <v>20</v>
      </c>
      <c r="G1519" s="4">
        <v>8</v>
      </c>
      <c r="H1519" s="1">
        <v>91423</v>
      </c>
      <c r="I1519" s="3" t="s">
        <v>21</v>
      </c>
      <c r="J1519" s="4">
        <v>2</v>
      </c>
    </row>
    <row r="1520" spans="1:10" x14ac:dyDescent="0.35">
      <c r="A1520" s="2" t="s">
        <v>1556</v>
      </c>
      <c r="B1520" s="4">
        <v>50</v>
      </c>
      <c r="C1520" t="s">
        <v>17</v>
      </c>
      <c r="D1520" t="s">
        <v>23</v>
      </c>
      <c r="E1520" t="s">
        <v>34</v>
      </c>
      <c r="F1520" t="s">
        <v>30</v>
      </c>
      <c r="G1520" s="4">
        <v>8</v>
      </c>
      <c r="H1520" s="1">
        <v>60686</v>
      </c>
      <c r="I1520" s="3" t="s">
        <v>15</v>
      </c>
      <c r="J1520" s="4">
        <v>5</v>
      </c>
    </row>
    <row r="1521" spans="1:10" x14ac:dyDescent="0.35">
      <c r="A1521" s="2" t="s">
        <v>1557</v>
      </c>
      <c r="B1521" s="4">
        <v>10</v>
      </c>
      <c r="C1521" t="s">
        <v>11</v>
      </c>
      <c r="D1521" t="s">
        <v>33</v>
      </c>
      <c r="E1521" t="s">
        <v>29</v>
      </c>
      <c r="F1521" t="s">
        <v>30</v>
      </c>
      <c r="G1521" s="4">
        <v>12</v>
      </c>
      <c r="H1521" s="1">
        <v>5723</v>
      </c>
      <c r="I1521" s="3" t="s">
        <v>21</v>
      </c>
      <c r="J1521" s="4">
        <v>5</v>
      </c>
    </row>
    <row r="1522" spans="1:10" x14ac:dyDescent="0.35">
      <c r="A1522" s="2" t="s">
        <v>1558</v>
      </c>
      <c r="B1522" s="4">
        <v>40</v>
      </c>
      <c r="C1522" t="s">
        <v>11</v>
      </c>
      <c r="D1522" t="s">
        <v>36</v>
      </c>
      <c r="E1522" t="s">
        <v>13</v>
      </c>
      <c r="F1522" t="s">
        <v>20</v>
      </c>
      <c r="G1522" s="4">
        <v>1</v>
      </c>
      <c r="H1522" s="1">
        <v>57112</v>
      </c>
      <c r="I1522" s="3" t="s">
        <v>15</v>
      </c>
      <c r="J1522" s="4">
        <v>3</v>
      </c>
    </row>
    <row r="1523" spans="1:10" x14ac:dyDescent="0.35">
      <c r="A1523" s="2" t="s">
        <v>1559</v>
      </c>
      <c r="B1523" s="4">
        <v>11</v>
      </c>
      <c r="C1523" t="s">
        <v>11</v>
      </c>
      <c r="D1523" t="s">
        <v>39</v>
      </c>
      <c r="E1523" t="s">
        <v>27</v>
      </c>
      <c r="F1523" t="s">
        <v>30</v>
      </c>
      <c r="G1523" s="4">
        <v>15</v>
      </c>
      <c r="H1523" s="1">
        <v>28822</v>
      </c>
      <c r="I1523" s="3" t="s">
        <v>15</v>
      </c>
      <c r="J1523" s="4">
        <v>2</v>
      </c>
    </row>
    <row r="1524" spans="1:10" x14ac:dyDescent="0.35">
      <c r="A1524" s="2" t="s">
        <v>1560</v>
      </c>
      <c r="B1524" s="4">
        <v>14</v>
      </c>
      <c r="C1524" t="s">
        <v>17</v>
      </c>
      <c r="D1524" t="s">
        <v>41</v>
      </c>
      <c r="E1524" t="s">
        <v>42</v>
      </c>
      <c r="F1524" t="s">
        <v>14</v>
      </c>
      <c r="G1524" s="4">
        <v>4</v>
      </c>
      <c r="H1524" s="1">
        <v>77419</v>
      </c>
      <c r="I1524" s="3" t="s">
        <v>15</v>
      </c>
      <c r="J1524" s="4">
        <v>4</v>
      </c>
    </row>
    <row r="1525" spans="1:10" x14ac:dyDescent="0.35">
      <c r="A1525" s="2" t="s">
        <v>1561</v>
      </c>
      <c r="B1525" s="4">
        <v>54</v>
      </c>
      <c r="C1525" t="s">
        <v>17</v>
      </c>
      <c r="D1525" t="s">
        <v>36</v>
      </c>
      <c r="E1525" t="s">
        <v>53</v>
      </c>
      <c r="F1525" t="s">
        <v>30</v>
      </c>
      <c r="G1525" s="4">
        <v>5</v>
      </c>
      <c r="H1525" s="1">
        <v>30533</v>
      </c>
      <c r="I1525" s="3" t="s">
        <v>21</v>
      </c>
      <c r="J1525" s="4">
        <v>1</v>
      </c>
    </row>
    <row r="1526" spans="1:10" x14ac:dyDescent="0.35">
      <c r="A1526" s="2" t="s">
        <v>1562</v>
      </c>
      <c r="B1526" s="4">
        <v>73</v>
      </c>
      <c r="C1526" t="s">
        <v>17</v>
      </c>
      <c r="D1526" t="s">
        <v>26</v>
      </c>
      <c r="E1526" t="s">
        <v>19</v>
      </c>
      <c r="F1526" t="s">
        <v>20</v>
      </c>
      <c r="G1526" s="4">
        <v>14</v>
      </c>
      <c r="H1526" s="1">
        <v>25385</v>
      </c>
      <c r="I1526" s="3" t="s">
        <v>15</v>
      </c>
      <c r="J1526" s="4">
        <v>1</v>
      </c>
    </row>
    <row r="1527" spans="1:10" x14ac:dyDescent="0.35">
      <c r="A1527" s="2" t="s">
        <v>1563</v>
      </c>
      <c r="B1527" s="4">
        <v>35</v>
      </c>
      <c r="C1527" t="s">
        <v>17</v>
      </c>
      <c r="D1527" t="s">
        <v>49</v>
      </c>
      <c r="E1527" t="s">
        <v>13</v>
      </c>
      <c r="F1527" t="s">
        <v>14</v>
      </c>
      <c r="G1527" s="4">
        <v>9</v>
      </c>
      <c r="H1527" s="1">
        <v>99126</v>
      </c>
      <c r="I1527" s="3" t="s">
        <v>21</v>
      </c>
      <c r="J1527" s="4">
        <v>4</v>
      </c>
    </row>
    <row r="1528" spans="1:10" x14ac:dyDescent="0.35">
      <c r="A1528" s="2" t="s">
        <v>1564</v>
      </c>
      <c r="B1528" s="4">
        <v>72</v>
      </c>
      <c r="C1528" t="s">
        <v>11</v>
      </c>
      <c r="D1528" t="s">
        <v>39</v>
      </c>
      <c r="E1528" t="s">
        <v>13</v>
      </c>
      <c r="F1528" t="s">
        <v>20</v>
      </c>
      <c r="G1528" s="4">
        <v>14</v>
      </c>
      <c r="H1528" s="1">
        <v>86340</v>
      </c>
      <c r="I1528" s="3" t="s">
        <v>15</v>
      </c>
      <c r="J1528" s="4">
        <v>1</v>
      </c>
    </row>
    <row r="1529" spans="1:10" x14ac:dyDescent="0.35">
      <c r="A1529" s="2" t="s">
        <v>1565</v>
      </c>
      <c r="B1529" s="4">
        <v>35</v>
      </c>
      <c r="C1529" t="s">
        <v>17</v>
      </c>
      <c r="D1529" t="s">
        <v>33</v>
      </c>
      <c r="E1529" t="s">
        <v>42</v>
      </c>
      <c r="F1529" t="s">
        <v>20</v>
      </c>
      <c r="G1529" s="4">
        <v>5</v>
      </c>
      <c r="H1529" s="1">
        <v>90189</v>
      </c>
      <c r="I1529" s="3" t="s">
        <v>21</v>
      </c>
      <c r="J1529" s="4">
        <v>4</v>
      </c>
    </row>
    <row r="1530" spans="1:10" x14ac:dyDescent="0.35">
      <c r="A1530" s="2" t="s">
        <v>1566</v>
      </c>
      <c r="B1530" s="4">
        <v>23</v>
      </c>
      <c r="C1530" t="s">
        <v>11</v>
      </c>
      <c r="D1530" t="s">
        <v>36</v>
      </c>
      <c r="E1530" t="s">
        <v>34</v>
      </c>
      <c r="F1530" t="s">
        <v>14</v>
      </c>
      <c r="G1530" s="4">
        <v>9</v>
      </c>
      <c r="H1530" s="1">
        <v>72009</v>
      </c>
      <c r="I1530" s="3" t="s">
        <v>21</v>
      </c>
      <c r="J1530" s="4">
        <v>1</v>
      </c>
    </row>
    <row r="1531" spans="1:10" x14ac:dyDescent="0.35">
      <c r="A1531" s="2" t="s">
        <v>1567</v>
      </c>
      <c r="B1531" s="4">
        <v>38</v>
      </c>
      <c r="C1531" t="s">
        <v>17</v>
      </c>
      <c r="D1531" t="s">
        <v>36</v>
      </c>
      <c r="E1531" t="s">
        <v>53</v>
      </c>
      <c r="F1531" t="s">
        <v>14</v>
      </c>
      <c r="G1531" s="4">
        <v>8</v>
      </c>
      <c r="H1531" s="1">
        <v>46444</v>
      </c>
      <c r="I1531" s="3" t="s">
        <v>21</v>
      </c>
      <c r="J1531" s="4">
        <v>5</v>
      </c>
    </row>
    <row r="1532" spans="1:10" x14ac:dyDescent="0.35">
      <c r="A1532" s="2" t="s">
        <v>1568</v>
      </c>
      <c r="B1532" s="4">
        <v>18</v>
      </c>
      <c r="C1532" t="s">
        <v>11</v>
      </c>
      <c r="D1532" t="s">
        <v>12</v>
      </c>
      <c r="E1532" t="s">
        <v>53</v>
      </c>
      <c r="F1532" t="s">
        <v>14</v>
      </c>
      <c r="G1532" s="4">
        <v>13</v>
      </c>
      <c r="H1532" s="1">
        <v>47660</v>
      </c>
      <c r="I1532" s="3" t="s">
        <v>15</v>
      </c>
      <c r="J1532" s="4">
        <v>2</v>
      </c>
    </row>
    <row r="1533" spans="1:10" x14ac:dyDescent="0.35">
      <c r="A1533" s="2" t="s">
        <v>1569</v>
      </c>
      <c r="B1533" s="4">
        <v>75</v>
      </c>
      <c r="C1533" t="s">
        <v>17</v>
      </c>
      <c r="D1533" t="s">
        <v>23</v>
      </c>
      <c r="E1533" t="s">
        <v>27</v>
      </c>
      <c r="F1533" t="s">
        <v>30</v>
      </c>
      <c r="G1533" s="4">
        <v>13</v>
      </c>
      <c r="H1533" s="1">
        <v>6764</v>
      </c>
      <c r="I1533" s="3" t="s">
        <v>21</v>
      </c>
      <c r="J1533" s="4">
        <v>4</v>
      </c>
    </row>
    <row r="1534" spans="1:10" x14ac:dyDescent="0.35">
      <c r="A1534" s="2" t="s">
        <v>1570</v>
      </c>
      <c r="B1534" s="4">
        <v>8</v>
      </c>
      <c r="C1534" t="s">
        <v>11</v>
      </c>
      <c r="D1534" t="s">
        <v>12</v>
      </c>
      <c r="E1534" t="s">
        <v>37</v>
      </c>
      <c r="F1534" t="s">
        <v>14</v>
      </c>
      <c r="G1534" s="4">
        <v>11</v>
      </c>
      <c r="H1534" s="1">
        <v>40142</v>
      </c>
      <c r="I1534" s="3" t="s">
        <v>15</v>
      </c>
      <c r="J1534" s="4">
        <v>2</v>
      </c>
    </row>
    <row r="1535" spans="1:10" x14ac:dyDescent="0.35">
      <c r="A1535" s="2" t="s">
        <v>1571</v>
      </c>
      <c r="B1535" s="4">
        <v>78</v>
      </c>
      <c r="C1535" t="s">
        <v>17</v>
      </c>
      <c r="D1535" t="s">
        <v>41</v>
      </c>
      <c r="E1535" t="s">
        <v>34</v>
      </c>
      <c r="F1535" t="s">
        <v>14</v>
      </c>
      <c r="G1535" s="4">
        <v>10</v>
      </c>
      <c r="H1535" s="1">
        <v>58331</v>
      </c>
      <c r="I1535" s="3" t="s">
        <v>15</v>
      </c>
      <c r="J1535" s="4">
        <v>5</v>
      </c>
    </row>
    <row r="1536" spans="1:10" x14ac:dyDescent="0.35">
      <c r="A1536" s="2" t="s">
        <v>1572</v>
      </c>
      <c r="B1536" s="4">
        <v>25</v>
      </c>
      <c r="C1536" t="s">
        <v>11</v>
      </c>
      <c r="D1536" t="s">
        <v>28</v>
      </c>
      <c r="E1536" t="s">
        <v>27</v>
      </c>
      <c r="F1536" t="s">
        <v>20</v>
      </c>
      <c r="G1536" s="4">
        <v>1</v>
      </c>
      <c r="H1536" s="1">
        <v>48133</v>
      </c>
      <c r="I1536" s="3" t="s">
        <v>21</v>
      </c>
      <c r="J1536" s="4">
        <v>4</v>
      </c>
    </row>
    <row r="1537" spans="1:10" x14ac:dyDescent="0.35">
      <c r="A1537" s="2" t="s">
        <v>1573</v>
      </c>
      <c r="B1537" s="4">
        <v>65</v>
      </c>
      <c r="C1537" t="s">
        <v>11</v>
      </c>
      <c r="D1537" t="s">
        <v>23</v>
      </c>
      <c r="E1537" t="s">
        <v>13</v>
      </c>
      <c r="F1537" t="s">
        <v>20</v>
      </c>
      <c r="G1537" s="4">
        <v>8</v>
      </c>
      <c r="H1537" s="1">
        <v>56363</v>
      </c>
      <c r="I1537" s="3" t="s">
        <v>15</v>
      </c>
      <c r="J1537" s="4">
        <v>3</v>
      </c>
    </row>
    <row r="1538" spans="1:10" x14ac:dyDescent="0.35">
      <c r="A1538" s="2" t="s">
        <v>1574</v>
      </c>
      <c r="B1538" s="4">
        <v>65</v>
      </c>
      <c r="C1538" t="s">
        <v>11</v>
      </c>
      <c r="D1538" t="s">
        <v>28</v>
      </c>
      <c r="E1538" t="s">
        <v>37</v>
      </c>
      <c r="F1538" t="s">
        <v>20</v>
      </c>
      <c r="G1538" s="4">
        <v>15</v>
      </c>
      <c r="H1538" s="1">
        <v>99426</v>
      </c>
      <c r="I1538" s="3" t="s">
        <v>15</v>
      </c>
      <c r="J1538" s="4">
        <v>3</v>
      </c>
    </row>
    <row r="1539" spans="1:10" x14ac:dyDescent="0.35">
      <c r="A1539" s="2" t="s">
        <v>1575</v>
      </c>
      <c r="B1539" s="4">
        <v>31</v>
      </c>
      <c r="C1539" t="s">
        <v>11</v>
      </c>
      <c r="D1539" t="s">
        <v>49</v>
      </c>
      <c r="E1539" t="s">
        <v>29</v>
      </c>
      <c r="F1539" t="s">
        <v>30</v>
      </c>
      <c r="G1539" s="4">
        <v>9</v>
      </c>
      <c r="H1539" s="1">
        <v>83643</v>
      </c>
      <c r="I1539" s="3" t="s">
        <v>21</v>
      </c>
      <c r="J1539" s="4">
        <v>2</v>
      </c>
    </row>
    <row r="1540" spans="1:10" x14ac:dyDescent="0.35">
      <c r="A1540" s="2" t="s">
        <v>1576</v>
      </c>
      <c r="B1540" s="4">
        <v>1</v>
      </c>
      <c r="C1540" t="s">
        <v>17</v>
      </c>
      <c r="D1540" t="s">
        <v>23</v>
      </c>
      <c r="E1540" t="s">
        <v>13</v>
      </c>
      <c r="F1540" t="s">
        <v>30</v>
      </c>
      <c r="G1540" s="4">
        <v>4</v>
      </c>
      <c r="H1540" s="1">
        <v>13265</v>
      </c>
      <c r="I1540" s="3" t="s">
        <v>15</v>
      </c>
      <c r="J1540" s="4">
        <v>2</v>
      </c>
    </row>
    <row r="1541" spans="1:10" x14ac:dyDescent="0.35">
      <c r="A1541" s="2" t="s">
        <v>1577</v>
      </c>
      <c r="B1541" s="4">
        <v>22</v>
      </c>
      <c r="C1541" t="s">
        <v>11</v>
      </c>
      <c r="D1541" t="s">
        <v>39</v>
      </c>
      <c r="E1541" t="s">
        <v>37</v>
      </c>
      <c r="F1541" t="s">
        <v>14</v>
      </c>
      <c r="G1541" s="4">
        <v>8</v>
      </c>
      <c r="H1541" s="1">
        <v>48975</v>
      </c>
      <c r="I1541" s="3" t="s">
        <v>15</v>
      </c>
      <c r="J1541" s="4">
        <v>5</v>
      </c>
    </row>
    <row r="1542" spans="1:10" x14ac:dyDescent="0.35">
      <c r="A1542" s="2" t="s">
        <v>1578</v>
      </c>
      <c r="B1542" s="4">
        <v>2</v>
      </c>
      <c r="C1542" t="s">
        <v>11</v>
      </c>
      <c r="D1542" t="s">
        <v>39</v>
      </c>
      <c r="E1542" t="s">
        <v>27</v>
      </c>
      <c r="F1542" t="s">
        <v>30</v>
      </c>
      <c r="G1542" s="4">
        <v>7</v>
      </c>
      <c r="H1542" s="1">
        <v>97760</v>
      </c>
      <c r="I1542" s="3" t="s">
        <v>21</v>
      </c>
      <c r="J1542" s="4">
        <v>5</v>
      </c>
    </row>
    <row r="1543" spans="1:10" x14ac:dyDescent="0.35">
      <c r="A1543" s="2" t="s">
        <v>1579</v>
      </c>
      <c r="B1543" s="4">
        <v>32</v>
      </c>
      <c r="C1543" t="s">
        <v>17</v>
      </c>
      <c r="D1543" t="s">
        <v>39</v>
      </c>
      <c r="E1543" t="s">
        <v>27</v>
      </c>
      <c r="F1543" t="s">
        <v>30</v>
      </c>
      <c r="G1543" s="4">
        <v>11</v>
      </c>
      <c r="H1543" s="1">
        <v>93926</v>
      </c>
      <c r="I1543" s="3" t="s">
        <v>21</v>
      </c>
      <c r="J1543" s="4">
        <v>5</v>
      </c>
    </row>
    <row r="1544" spans="1:10" x14ac:dyDescent="0.35">
      <c r="A1544" s="2" t="s">
        <v>1580</v>
      </c>
      <c r="B1544" s="4">
        <v>13</v>
      </c>
      <c r="C1544" t="s">
        <v>17</v>
      </c>
      <c r="D1544" t="s">
        <v>26</v>
      </c>
      <c r="E1544" t="s">
        <v>42</v>
      </c>
      <c r="F1544" t="s">
        <v>30</v>
      </c>
      <c r="G1544" s="4">
        <v>15</v>
      </c>
      <c r="H1544" s="1">
        <v>53005</v>
      </c>
      <c r="I1544" s="3" t="s">
        <v>15</v>
      </c>
      <c r="J1544" s="4">
        <v>3</v>
      </c>
    </row>
    <row r="1545" spans="1:10" x14ac:dyDescent="0.35">
      <c r="A1545" s="2" t="s">
        <v>1581</v>
      </c>
      <c r="B1545" s="4">
        <v>83</v>
      </c>
      <c r="C1545" t="s">
        <v>17</v>
      </c>
      <c r="D1545" t="s">
        <v>39</v>
      </c>
      <c r="E1545" t="s">
        <v>19</v>
      </c>
      <c r="F1545" t="s">
        <v>20</v>
      </c>
      <c r="G1545" s="4">
        <v>15</v>
      </c>
      <c r="H1545" s="1">
        <v>38863</v>
      </c>
      <c r="I1545" s="3" t="s">
        <v>21</v>
      </c>
      <c r="J1545" s="4">
        <v>5</v>
      </c>
    </row>
    <row r="1546" spans="1:10" x14ac:dyDescent="0.35">
      <c r="A1546" s="2" t="s">
        <v>1582</v>
      </c>
      <c r="B1546" s="4">
        <v>33</v>
      </c>
      <c r="C1546" t="s">
        <v>11</v>
      </c>
      <c r="D1546" t="s">
        <v>36</v>
      </c>
      <c r="E1546" t="s">
        <v>13</v>
      </c>
      <c r="F1546" t="s">
        <v>20</v>
      </c>
      <c r="G1546" s="4">
        <v>1</v>
      </c>
      <c r="H1546" s="1">
        <v>57080</v>
      </c>
      <c r="I1546" s="3" t="s">
        <v>15</v>
      </c>
      <c r="J1546" s="4">
        <v>1</v>
      </c>
    </row>
    <row r="1547" spans="1:10" x14ac:dyDescent="0.35">
      <c r="A1547" s="2" t="s">
        <v>1583</v>
      </c>
      <c r="B1547" s="4">
        <v>19</v>
      </c>
      <c r="C1547" t="s">
        <v>17</v>
      </c>
      <c r="D1547" t="s">
        <v>36</v>
      </c>
      <c r="E1547" t="s">
        <v>19</v>
      </c>
      <c r="F1547" t="s">
        <v>20</v>
      </c>
      <c r="G1547" s="4">
        <v>11</v>
      </c>
      <c r="H1547" s="1">
        <v>56288</v>
      </c>
      <c r="I1547" s="3" t="s">
        <v>21</v>
      </c>
      <c r="J1547" s="4">
        <v>2</v>
      </c>
    </row>
    <row r="1548" spans="1:10" x14ac:dyDescent="0.35">
      <c r="A1548" s="2" t="s">
        <v>1584</v>
      </c>
      <c r="B1548" s="4">
        <v>31</v>
      </c>
      <c r="C1548" t="s">
        <v>11</v>
      </c>
      <c r="D1548" t="s">
        <v>39</v>
      </c>
      <c r="E1548" t="s">
        <v>53</v>
      </c>
      <c r="F1548" t="s">
        <v>14</v>
      </c>
      <c r="G1548" s="4">
        <v>6</v>
      </c>
      <c r="H1548" s="1">
        <v>48248</v>
      </c>
      <c r="I1548" s="3" t="s">
        <v>15</v>
      </c>
      <c r="J1548" s="4">
        <v>5</v>
      </c>
    </row>
    <row r="1549" spans="1:10" x14ac:dyDescent="0.35">
      <c r="A1549" s="2" t="s">
        <v>1585</v>
      </c>
      <c r="B1549" s="4">
        <v>6</v>
      </c>
      <c r="C1549" t="s">
        <v>11</v>
      </c>
      <c r="D1549" t="s">
        <v>33</v>
      </c>
      <c r="E1549" t="s">
        <v>65</v>
      </c>
      <c r="F1549" t="s">
        <v>14</v>
      </c>
      <c r="G1549" s="4">
        <v>11</v>
      </c>
      <c r="H1549" s="1">
        <v>6823</v>
      </c>
      <c r="I1549" s="3" t="s">
        <v>21</v>
      </c>
      <c r="J1549" s="4">
        <v>3</v>
      </c>
    </row>
    <row r="1550" spans="1:10" x14ac:dyDescent="0.35">
      <c r="A1550" s="2" t="s">
        <v>1586</v>
      </c>
      <c r="B1550" s="4">
        <v>70</v>
      </c>
      <c r="C1550" t="s">
        <v>17</v>
      </c>
      <c r="D1550" t="s">
        <v>36</v>
      </c>
      <c r="E1550" t="s">
        <v>13</v>
      </c>
      <c r="F1550" t="s">
        <v>30</v>
      </c>
      <c r="G1550" s="4">
        <v>4</v>
      </c>
      <c r="H1550" s="1">
        <v>29787</v>
      </c>
      <c r="I1550" s="3" t="s">
        <v>15</v>
      </c>
      <c r="J1550" s="4">
        <v>2</v>
      </c>
    </row>
    <row r="1551" spans="1:10" x14ac:dyDescent="0.35">
      <c r="A1551" s="2" t="s">
        <v>1587</v>
      </c>
      <c r="B1551" s="4">
        <v>33</v>
      </c>
      <c r="C1551" t="s">
        <v>11</v>
      </c>
      <c r="D1551" t="s">
        <v>33</v>
      </c>
      <c r="E1551" t="s">
        <v>42</v>
      </c>
      <c r="F1551" t="s">
        <v>14</v>
      </c>
      <c r="G1551" s="4">
        <v>7</v>
      </c>
      <c r="H1551" s="1">
        <v>7825</v>
      </c>
      <c r="I1551" s="3" t="s">
        <v>21</v>
      </c>
      <c r="J1551" s="4">
        <v>4</v>
      </c>
    </row>
    <row r="1552" spans="1:10" x14ac:dyDescent="0.35">
      <c r="A1552" s="2" t="s">
        <v>1588</v>
      </c>
      <c r="B1552" s="4">
        <v>4</v>
      </c>
      <c r="C1552" t="s">
        <v>11</v>
      </c>
      <c r="D1552" t="s">
        <v>49</v>
      </c>
      <c r="E1552" t="s">
        <v>34</v>
      </c>
      <c r="F1552" t="s">
        <v>14</v>
      </c>
      <c r="G1552" s="4">
        <v>4</v>
      </c>
      <c r="H1552" s="1">
        <v>19057</v>
      </c>
      <c r="I1552" s="3" t="s">
        <v>21</v>
      </c>
      <c r="J1552" s="4">
        <v>1</v>
      </c>
    </row>
    <row r="1553" spans="1:10" x14ac:dyDescent="0.35">
      <c r="A1553" s="2" t="s">
        <v>1589</v>
      </c>
      <c r="B1553" s="4">
        <v>19</v>
      </c>
      <c r="C1553" t="s">
        <v>11</v>
      </c>
      <c r="D1553" t="s">
        <v>12</v>
      </c>
      <c r="E1553" t="s">
        <v>19</v>
      </c>
      <c r="F1553" t="s">
        <v>30</v>
      </c>
      <c r="G1553" s="4">
        <v>9</v>
      </c>
      <c r="H1553" s="1">
        <v>7336</v>
      </c>
      <c r="I1553" s="3" t="s">
        <v>21</v>
      </c>
      <c r="J1553" s="4">
        <v>2</v>
      </c>
    </row>
    <row r="1554" spans="1:10" x14ac:dyDescent="0.35">
      <c r="A1554" s="2" t="s">
        <v>1590</v>
      </c>
      <c r="B1554" s="4">
        <v>76</v>
      </c>
      <c r="C1554" t="s">
        <v>17</v>
      </c>
      <c r="D1554" t="s">
        <v>36</v>
      </c>
      <c r="E1554" t="s">
        <v>65</v>
      </c>
      <c r="F1554" t="s">
        <v>20</v>
      </c>
      <c r="G1554" s="4">
        <v>10</v>
      </c>
      <c r="H1554" s="1">
        <v>90917</v>
      </c>
      <c r="I1554" s="3" t="s">
        <v>21</v>
      </c>
      <c r="J1554" s="4">
        <v>3</v>
      </c>
    </row>
    <row r="1555" spans="1:10" x14ac:dyDescent="0.35">
      <c r="A1555" s="2" t="s">
        <v>1591</v>
      </c>
      <c r="B1555" s="4">
        <v>83</v>
      </c>
      <c r="C1555" t="s">
        <v>11</v>
      </c>
      <c r="D1555" t="s">
        <v>49</v>
      </c>
      <c r="E1555" t="s">
        <v>37</v>
      </c>
      <c r="F1555" t="s">
        <v>30</v>
      </c>
      <c r="G1555" s="4">
        <v>3</v>
      </c>
      <c r="H1555" s="1">
        <v>23211</v>
      </c>
      <c r="I1555" s="3" t="s">
        <v>15</v>
      </c>
      <c r="J1555" s="4">
        <v>1</v>
      </c>
    </row>
    <row r="1556" spans="1:10" x14ac:dyDescent="0.35">
      <c r="A1556" s="2" t="s">
        <v>1592</v>
      </c>
      <c r="B1556" s="4">
        <v>54</v>
      </c>
      <c r="C1556" t="s">
        <v>17</v>
      </c>
      <c r="D1556" t="s">
        <v>28</v>
      </c>
      <c r="E1556" t="s">
        <v>19</v>
      </c>
      <c r="F1556" t="s">
        <v>30</v>
      </c>
      <c r="G1556" s="4">
        <v>2</v>
      </c>
      <c r="H1556" s="1">
        <v>18801</v>
      </c>
      <c r="I1556" s="3" t="s">
        <v>15</v>
      </c>
      <c r="J1556" s="4">
        <v>5</v>
      </c>
    </row>
    <row r="1557" spans="1:10" x14ac:dyDescent="0.35">
      <c r="A1557" s="2" t="s">
        <v>1593</v>
      </c>
      <c r="B1557" s="4">
        <v>9</v>
      </c>
      <c r="C1557" t="s">
        <v>17</v>
      </c>
      <c r="D1557" t="s">
        <v>23</v>
      </c>
      <c r="E1557" t="s">
        <v>37</v>
      </c>
      <c r="F1557" t="s">
        <v>30</v>
      </c>
      <c r="G1557" s="4">
        <v>8</v>
      </c>
      <c r="H1557" s="1">
        <v>76008</v>
      </c>
      <c r="I1557" s="3" t="s">
        <v>21</v>
      </c>
      <c r="J1557" s="4">
        <v>1</v>
      </c>
    </row>
    <row r="1558" spans="1:10" x14ac:dyDescent="0.35">
      <c r="A1558" s="2" t="s">
        <v>1594</v>
      </c>
      <c r="B1558" s="4">
        <v>46</v>
      </c>
      <c r="C1558" t="s">
        <v>17</v>
      </c>
      <c r="D1558" t="s">
        <v>41</v>
      </c>
      <c r="E1558" t="s">
        <v>29</v>
      </c>
      <c r="F1558" t="s">
        <v>30</v>
      </c>
      <c r="G1558" s="4">
        <v>1</v>
      </c>
      <c r="H1558" s="1">
        <v>67236</v>
      </c>
      <c r="I1558" s="3" t="s">
        <v>21</v>
      </c>
      <c r="J1558" s="4">
        <v>1</v>
      </c>
    </row>
    <row r="1559" spans="1:10" x14ac:dyDescent="0.35">
      <c r="A1559" s="2" t="s">
        <v>1595</v>
      </c>
      <c r="B1559" s="4">
        <v>27</v>
      </c>
      <c r="C1559" t="s">
        <v>17</v>
      </c>
      <c r="D1559" t="s">
        <v>23</v>
      </c>
      <c r="E1559" t="s">
        <v>13</v>
      </c>
      <c r="F1559" t="s">
        <v>20</v>
      </c>
      <c r="G1559" s="4">
        <v>6</v>
      </c>
      <c r="H1559" s="1">
        <v>20909</v>
      </c>
      <c r="I1559" s="3" t="s">
        <v>21</v>
      </c>
      <c r="J1559" s="4">
        <v>5</v>
      </c>
    </row>
    <row r="1560" spans="1:10" x14ac:dyDescent="0.35">
      <c r="A1560" s="2" t="s">
        <v>1596</v>
      </c>
      <c r="B1560" s="4">
        <v>59</v>
      </c>
      <c r="C1560" t="s">
        <v>11</v>
      </c>
      <c r="D1560" t="s">
        <v>41</v>
      </c>
      <c r="E1560" t="s">
        <v>29</v>
      </c>
      <c r="F1560" t="s">
        <v>20</v>
      </c>
      <c r="G1560" s="4">
        <v>8</v>
      </c>
      <c r="H1560" s="1">
        <v>29145</v>
      </c>
      <c r="I1560" s="3" t="s">
        <v>15</v>
      </c>
      <c r="J1560" s="4">
        <v>1</v>
      </c>
    </row>
    <row r="1561" spans="1:10" x14ac:dyDescent="0.35">
      <c r="A1561" s="2" t="s">
        <v>1597</v>
      </c>
      <c r="B1561" s="4">
        <v>86</v>
      </c>
      <c r="C1561" t="s">
        <v>11</v>
      </c>
      <c r="D1561" t="s">
        <v>23</v>
      </c>
      <c r="E1561" t="s">
        <v>24</v>
      </c>
      <c r="F1561" t="s">
        <v>20</v>
      </c>
      <c r="G1561" s="4">
        <v>3</v>
      </c>
      <c r="H1561" s="1">
        <v>79100</v>
      </c>
      <c r="I1561" s="3" t="s">
        <v>21</v>
      </c>
      <c r="J1561" s="4">
        <v>5</v>
      </c>
    </row>
    <row r="1562" spans="1:10" x14ac:dyDescent="0.35">
      <c r="A1562" s="2" t="s">
        <v>1598</v>
      </c>
      <c r="B1562" s="4">
        <v>56</v>
      </c>
      <c r="C1562" t="s">
        <v>11</v>
      </c>
      <c r="D1562" t="s">
        <v>23</v>
      </c>
      <c r="E1562" t="s">
        <v>65</v>
      </c>
      <c r="F1562" t="s">
        <v>30</v>
      </c>
      <c r="G1562" s="4">
        <v>4</v>
      </c>
      <c r="H1562" s="1">
        <v>46019</v>
      </c>
      <c r="I1562" s="3" t="s">
        <v>21</v>
      </c>
      <c r="J1562" s="4">
        <v>2</v>
      </c>
    </row>
    <row r="1563" spans="1:10" x14ac:dyDescent="0.35">
      <c r="A1563" s="2" t="s">
        <v>1599</v>
      </c>
      <c r="B1563" s="4">
        <v>29</v>
      </c>
      <c r="C1563" t="s">
        <v>17</v>
      </c>
      <c r="D1563" t="s">
        <v>36</v>
      </c>
      <c r="E1563" t="s">
        <v>29</v>
      </c>
      <c r="F1563" t="s">
        <v>20</v>
      </c>
      <c r="G1563" s="4">
        <v>6</v>
      </c>
      <c r="H1563" s="1">
        <v>72098</v>
      </c>
      <c r="I1563" s="3" t="s">
        <v>21</v>
      </c>
      <c r="J1563" s="4">
        <v>2</v>
      </c>
    </row>
    <row r="1564" spans="1:10" x14ac:dyDescent="0.35">
      <c r="A1564" s="2" t="s">
        <v>1600</v>
      </c>
      <c r="B1564" s="4">
        <v>72</v>
      </c>
      <c r="C1564" t="s">
        <v>17</v>
      </c>
      <c r="D1564" t="s">
        <v>12</v>
      </c>
      <c r="E1564" t="s">
        <v>65</v>
      </c>
      <c r="F1564" t="s">
        <v>14</v>
      </c>
      <c r="G1564" s="4">
        <v>4</v>
      </c>
      <c r="H1564" s="1">
        <v>78632</v>
      </c>
      <c r="I1564" s="3" t="s">
        <v>15</v>
      </c>
      <c r="J1564" s="4">
        <v>5</v>
      </c>
    </row>
    <row r="1565" spans="1:10" x14ac:dyDescent="0.35">
      <c r="A1565" s="2" t="s">
        <v>1601</v>
      </c>
      <c r="B1565" s="4">
        <v>54</v>
      </c>
      <c r="C1565" t="s">
        <v>11</v>
      </c>
      <c r="D1565" t="s">
        <v>36</v>
      </c>
      <c r="E1565" t="s">
        <v>13</v>
      </c>
      <c r="F1565" t="s">
        <v>20</v>
      </c>
      <c r="G1565" s="4">
        <v>3</v>
      </c>
      <c r="H1565" s="1">
        <v>30954</v>
      </c>
      <c r="I1565" s="3" t="s">
        <v>15</v>
      </c>
      <c r="J1565" s="4">
        <v>4</v>
      </c>
    </row>
    <row r="1566" spans="1:10" x14ac:dyDescent="0.35">
      <c r="A1566" s="2" t="s">
        <v>1602</v>
      </c>
      <c r="B1566" s="4">
        <v>56</v>
      </c>
      <c r="C1566" t="s">
        <v>11</v>
      </c>
      <c r="D1566" t="s">
        <v>33</v>
      </c>
      <c r="E1566" t="s">
        <v>53</v>
      </c>
      <c r="F1566" t="s">
        <v>14</v>
      </c>
      <c r="G1566" s="4">
        <v>7</v>
      </c>
      <c r="H1566" s="1">
        <v>65122</v>
      </c>
      <c r="I1566" s="3" t="s">
        <v>21</v>
      </c>
      <c r="J1566" s="4">
        <v>3</v>
      </c>
    </row>
    <row r="1567" spans="1:10" x14ac:dyDescent="0.35">
      <c r="A1567" s="2" t="s">
        <v>1603</v>
      </c>
      <c r="B1567" s="4">
        <v>81</v>
      </c>
      <c r="C1567" t="s">
        <v>17</v>
      </c>
      <c r="D1567" t="s">
        <v>33</v>
      </c>
      <c r="E1567" t="s">
        <v>37</v>
      </c>
      <c r="F1567" t="s">
        <v>30</v>
      </c>
      <c r="G1567" s="4">
        <v>7</v>
      </c>
      <c r="H1567" s="1">
        <v>54159</v>
      </c>
      <c r="I1567" s="3" t="s">
        <v>21</v>
      </c>
      <c r="J1567" s="4">
        <v>4</v>
      </c>
    </row>
    <row r="1568" spans="1:10" x14ac:dyDescent="0.35">
      <c r="A1568" s="2" t="s">
        <v>1604</v>
      </c>
      <c r="B1568" s="4">
        <v>33</v>
      </c>
      <c r="C1568" t="s">
        <v>17</v>
      </c>
      <c r="D1568" t="s">
        <v>39</v>
      </c>
      <c r="E1568" t="s">
        <v>42</v>
      </c>
      <c r="F1568" t="s">
        <v>20</v>
      </c>
      <c r="G1568" s="4">
        <v>4</v>
      </c>
      <c r="H1568" s="1">
        <v>13415</v>
      </c>
      <c r="I1568" s="3" t="s">
        <v>15</v>
      </c>
      <c r="J1568" s="4">
        <v>3</v>
      </c>
    </row>
    <row r="1569" spans="1:10" x14ac:dyDescent="0.35">
      <c r="A1569" s="2" t="s">
        <v>1605</v>
      </c>
      <c r="B1569" s="4">
        <v>64</v>
      </c>
      <c r="C1569" t="s">
        <v>17</v>
      </c>
      <c r="D1569" t="s">
        <v>36</v>
      </c>
      <c r="E1569" t="s">
        <v>24</v>
      </c>
      <c r="F1569" t="s">
        <v>14</v>
      </c>
      <c r="G1569" s="4">
        <v>2</v>
      </c>
      <c r="H1569" s="1">
        <v>86305</v>
      </c>
      <c r="I1569" s="3" t="s">
        <v>21</v>
      </c>
      <c r="J1569" s="4">
        <v>5</v>
      </c>
    </row>
    <row r="1570" spans="1:10" x14ac:dyDescent="0.35">
      <c r="A1570" s="2" t="s">
        <v>1606</v>
      </c>
      <c r="B1570" s="4">
        <v>51</v>
      </c>
      <c r="C1570" t="s">
        <v>11</v>
      </c>
      <c r="D1570" t="s">
        <v>36</v>
      </c>
      <c r="E1570" t="s">
        <v>27</v>
      </c>
      <c r="F1570" t="s">
        <v>30</v>
      </c>
      <c r="G1570" s="4">
        <v>1</v>
      </c>
      <c r="H1570" s="1">
        <v>32356</v>
      </c>
      <c r="I1570" s="3" t="s">
        <v>21</v>
      </c>
      <c r="J1570" s="4">
        <v>4</v>
      </c>
    </row>
    <row r="1571" spans="1:10" x14ac:dyDescent="0.35">
      <c r="A1571" s="2" t="s">
        <v>1607</v>
      </c>
      <c r="B1571" s="4">
        <v>10</v>
      </c>
      <c r="C1571" t="s">
        <v>11</v>
      </c>
      <c r="D1571" t="s">
        <v>12</v>
      </c>
      <c r="E1571" t="s">
        <v>24</v>
      </c>
      <c r="F1571" t="s">
        <v>20</v>
      </c>
      <c r="G1571" s="4">
        <v>10</v>
      </c>
      <c r="H1571" s="1">
        <v>38866</v>
      </c>
      <c r="I1571" s="3" t="s">
        <v>15</v>
      </c>
      <c r="J1571" s="4">
        <v>1</v>
      </c>
    </row>
    <row r="1572" spans="1:10" x14ac:dyDescent="0.35">
      <c r="A1572" s="2" t="s">
        <v>1608</v>
      </c>
      <c r="B1572" s="4">
        <v>65</v>
      </c>
      <c r="C1572" t="s">
        <v>17</v>
      </c>
      <c r="D1572" t="s">
        <v>26</v>
      </c>
      <c r="E1572" t="s">
        <v>53</v>
      </c>
      <c r="F1572" t="s">
        <v>30</v>
      </c>
      <c r="G1572" s="4">
        <v>4</v>
      </c>
      <c r="H1572" s="1">
        <v>82984</v>
      </c>
      <c r="I1572" s="3" t="s">
        <v>15</v>
      </c>
      <c r="J1572" s="4">
        <v>4</v>
      </c>
    </row>
    <row r="1573" spans="1:10" x14ac:dyDescent="0.35">
      <c r="A1573" s="2" t="s">
        <v>1609</v>
      </c>
      <c r="B1573" s="4">
        <v>79</v>
      </c>
      <c r="C1573" t="s">
        <v>11</v>
      </c>
      <c r="D1573" t="s">
        <v>18</v>
      </c>
      <c r="E1573" t="s">
        <v>27</v>
      </c>
      <c r="F1573" t="s">
        <v>14</v>
      </c>
      <c r="G1573" s="4">
        <v>9</v>
      </c>
      <c r="H1573" s="1">
        <v>16546</v>
      </c>
      <c r="I1573" s="3" t="s">
        <v>15</v>
      </c>
      <c r="J1573" s="4">
        <v>1</v>
      </c>
    </row>
    <row r="1574" spans="1:10" x14ac:dyDescent="0.35">
      <c r="A1574" s="2" t="s">
        <v>1610</v>
      </c>
      <c r="B1574" s="4">
        <v>31</v>
      </c>
      <c r="C1574" t="s">
        <v>11</v>
      </c>
      <c r="D1574" t="s">
        <v>26</v>
      </c>
      <c r="E1574" t="s">
        <v>34</v>
      </c>
      <c r="F1574" t="s">
        <v>30</v>
      </c>
      <c r="G1574" s="4">
        <v>8</v>
      </c>
      <c r="H1574" s="1">
        <v>25212</v>
      </c>
      <c r="I1574" s="3" t="s">
        <v>15</v>
      </c>
      <c r="J1574" s="4">
        <v>3</v>
      </c>
    </row>
    <row r="1575" spans="1:10" x14ac:dyDescent="0.35">
      <c r="A1575" s="2" t="s">
        <v>1611</v>
      </c>
      <c r="B1575" s="4">
        <v>1</v>
      </c>
      <c r="C1575" t="s">
        <v>17</v>
      </c>
      <c r="D1575" t="s">
        <v>49</v>
      </c>
      <c r="E1575" t="s">
        <v>34</v>
      </c>
      <c r="F1575" t="s">
        <v>14</v>
      </c>
      <c r="G1575" s="4">
        <v>9</v>
      </c>
      <c r="H1575" s="1">
        <v>66686</v>
      </c>
      <c r="I1575" s="3" t="s">
        <v>15</v>
      </c>
      <c r="J1575" s="4">
        <v>1</v>
      </c>
    </row>
    <row r="1576" spans="1:10" x14ac:dyDescent="0.35">
      <c r="A1576" s="2" t="s">
        <v>1612</v>
      </c>
      <c r="B1576" s="4">
        <v>47</v>
      </c>
      <c r="C1576" t="s">
        <v>17</v>
      </c>
      <c r="D1576" t="s">
        <v>33</v>
      </c>
      <c r="E1576" t="s">
        <v>24</v>
      </c>
      <c r="F1576" t="s">
        <v>20</v>
      </c>
      <c r="G1576" s="4">
        <v>9</v>
      </c>
      <c r="H1576" s="1">
        <v>82308</v>
      </c>
      <c r="I1576" s="3" t="s">
        <v>21</v>
      </c>
      <c r="J1576" s="4">
        <v>4</v>
      </c>
    </row>
    <row r="1577" spans="1:10" x14ac:dyDescent="0.35">
      <c r="A1577" s="2" t="s">
        <v>1613</v>
      </c>
      <c r="B1577" s="4">
        <v>49</v>
      </c>
      <c r="C1577" t="s">
        <v>17</v>
      </c>
      <c r="D1577" t="s">
        <v>39</v>
      </c>
      <c r="E1577" t="s">
        <v>37</v>
      </c>
      <c r="F1577" t="s">
        <v>30</v>
      </c>
      <c r="G1577" s="4">
        <v>1</v>
      </c>
      <c r="H1577" s="1">
        <v>37783</v>
      </c>
      <c r="I1577" s="3" t="s">
        <v>15</v>
      </c>
      <c r="J1577" s="4">
        <v>3</v>
      </c>
    </row>
    <row r="1578" spans="1:10" x14ac:dyDescent="0.35">
      <c r="A1578" s="2" t="s">
        <v>1614</v>
      </c>
      <c r="B1578" s="4">
        <v>77</v>
      </c>
      <c r="C1578" t="s">
        <v>11</v>
      </c>
      <c r="D1578" t="s">
        <v>26</v>
      </c>
      <c r="E1578" t="s">
        <v>24</v>
      </c>
      <c r="F1578" t="s">
        <v>20</v>
      </c>
      <c r="G1578" s="4">
        <v>10</v>
      </c>
      <c r="H1578" s="1">
        <v>60678</v>
      </c>
      <c r="I1578" s="3" t="s">
        <v>15</v>
      </c>
      <c r="J1578" s="4">
        <v>1</v>
      </c>
    </row>
    <row r="1579" spans="1:10" x14ac:dyDescent="0.35">
      <c r="A1579" s="2" t="s">
        <v>1615</v>
      </c>
      <c r="B1579" s="4">
        <v>14</v>
      </c>
      <c r="C1579" t="s">
        <v>11</v>
      </c>
      <c r="D1579" t="s">
        <v>41</v>
      </c>
      <c r="E1579" t="s">
        <v>42</v>
      </c>
      <c r="F1579" t="s">
        <v>30</v>
      </c>
      <c r="G1579" s="4">
        <v>3</v>
      </c>
      <c r="H1579" s="1">
        <v>71304</v>
      </c>
      <c r="I1579" s="3" t="s">
        <v>21</v>
      </c>
      <c r="J1579" s="4">
        <v>1</v>
      </c>
    </row>
    <row r="1580" spans="1:10" x14ac:dyDescent="0.35">
      <c r="A1580" s="2" t="s">
        <v>1616</v>
      </c>
      <c r="B1580" s="4">
        <v>39</v>
      </c>
      <c r="C1580" t="s">
        <v>17</v>
      </c>
      <c r="D1580" t="s">
        <v>33</v>
      </c>
      <c r="E1580" t="s">
        <v>24</v>
      </c>
      <c r="F1580" t="s">
        <v>20</v>
      </c>
      <c r="G1580" s="4">
        <v>11</v>
      </c>
      <c r="H1580" s="1">
        <v>62024</v>
      </c>
      <c r="I1580" s="3" t="s">
        <v>15</v>
      </c>
      <c r="J1580" s="4">
        <v>5</v>
      </c>
    </row>
    <row r="1581" spans="1:10" x14ac:dyDescent="0.35">
      <c r="A1581" s="2" t="s">
        <v>1617</v>
      </c>
      <c r="B1581" s="4">
        <v>22</v>
      </c>
      <c r="C1581" t="s">
        <v>11</v>
      </c>
      <c r="D1581" t="s">
        <v>18</v>
      </c>
      <c r="E1581" t="s">
        <v>29</v>
      </c>
      <c r="F1581" t="s">
        <v>30</v>
      </c>
      <c r="G1581" s="4">
        <v>11</v>
      </c>
      <c r="H1581" s="1">
        <v>86239</v>
      </c>
      <c r="I1581" s="3" t="s">
        <v>15</v>
      </c>
      <c r="J1581" s="4">
        <v>4</v>
      </c>
    </row>
    <row r="1582" spans="1:10" x14ac:dyDescent="0.35">
      <c r="A1582" s="2" t="s">
        <v>1618</v>
      </c>
      <c r="B1582" s="4">
        <v>83</v>
      </c>
      <c r="C1582" t="s">
        <v>17</v>
      </c>
      <c r="D1582" t="s">
        <v>36</v>
      </c>
      <c r="E1582" t="s">
        <v>53</v>
      </c>
      <c r="F1582" t="s">
        <v>14</v>
      </c>
      <c r="G1582" s="4">
        <v>3</v>
      </c>
      <c r="H1582" s="1">
        <v>90992</v>
      </c>
      <c r="I1582" s="3" t="s">
        <v>15</v>
      </c>
      <c r="J1582" s="4">
        <v>2</v>
      </c>
    </row>
    <row r="1583" spans="1:10" x14ac:dyDescent="0.35">
      <c r="A1583" s="2" t="s">
        <v>1619</v>
      </c>
      <c r="B1583" s="4">
        <v>55</v>
      </c>
      <c r="C1583" t="s">
        <v>17</v>
      </c>
      <c r="D1583" t="s">
        <v>39</v>
      </c>
      <c r="E1583" t="s">
        <v>42</v>
      </c>
      <c r="F1583" t="s">
        <v>30</v>
      </c>
      <c r="G1583" s="4">
        <v>10</v>
      </c>
      <c r="H1583" s="1">
        <v>71810</v>
      </c>
      <c r="I1583" s="3" t="s">
        <v>21</v>
      </c>
      <c r="J1583" s="4">
        <v>4</v>
      </c>
    </row>
    <row r="1584" spans="1:10" x14ac:dyDescent="0.35">
      <c r="A1584" s="2" t="s">
        <v>1620</v>
      </c>
      <c r="B1584" s="4">
        <v>59</v>
      </c>
      <c r="C1584" t="s">
        <v>17</v>
      </c>
      <c r="D1584" t="s">
        <v>23</v>
      </c>
      <c r="E1584" t="s">
        <v>29</v>
      </c>
      <c r="F1584" t="s">
        <v>20</v>
      </c>
      <c r="G1584" s="4">
        <v>5</v>
      </c>
      <c r="H1584" s="1">
        <v>55036</v>
      </c>
      <c r="I1584" s="3" t="s">
        <v>15</v>
      </c>
      <c r="J1584" s="4">
        <v>4</v>
      </c>
    </row>
    <row r="1585" spans="1:10" x14ac:dyDescent="0.35">
      <c r="A1585" s="2" t="s">
        <v>1621</v>
      </c>
      <c r="B1585" s="4">
        <v>1</v>
      </c>
      <c r="C1585" t="s">
        <v>17</v>
      </c>
      <c r="D1585" t="s">
        <v>23</v>
      </c>
      <c r="E1585" t="s">
        <v>34</v>
      </c>
      <c r="F1585" t="s">
        <v>20</v>
      </c>
      <c r="G1585" s="4">
        <v>12</v>
      </c>
      <c r="H1585" s="1">
        <v>22226</v>
      </c>
      <c r="I1585" s="3" t="s">
        <v>15</v>
      </c>
      <c r="J1585" s="4">
        <v>3</v>
      </c>
    </row>
    <row r="1586" spans="1:10" x14ac:dyDescent="0.35">
      <c r="A1586" s="2" t="s">
        <v>1622</v>
      </c>
      <c r="B1586" s="4">
        <v>80</v>
      </c>
      <c r="C1586" t="s">
        <v>17</v>
      </c>
      <c r="D1586" t="s">
        <v>23</v>
      </c>
      <c r="E1586" t="s">
        <v>29</v>
      </c>
      <c r="F1586" t="s">
        <v>20</v>
      </c>
      <c r="G1586" s="4">
        <v>11</v>
      </c>
      <c r="H1586" s="1">
        <v>62841</v>
      </c>
      <c r="I1586" s="3" t="s">
        <v>15</v>
      </c>
      <c r="J1586" s="4">
        <v>1</v>
      </c>
    </row>
    <row r="1587" spans="1:10" x14ac:dyDescent="0.35">
      <c r="A1587" s="2" t="s">
        <v>1623</v>
      </c>
      <c r="B1587" s="4">
        <v>27</v>
      </c>
      <c r="C1587" t="s">
        <v>17</v>
      </c>
      <c r="D1587" t="s">
        <v>12</v>
      </c>
      <c r="E1587" t="s">
        <v>42</v>
      </c>
      <c r="F1587" t="s">
        <v>20</v>
      </c>
      <c r="G1587" s="4">
        <v>6</v>
      </c>
      <c r="H1587" s="1">
        <v>32715</v>
      </c>
      <c r="I1587" s="3" t="s">
        <v>21</v>
      </c>
      <c r="J1587" s="4">
        <v>3</v>
      </c>
    </row>
    <row r="1588" spans="1:10" x14ac:dyDescent="0.35">
      <c r="A1588" s="2" t="s">
        <v>1624</v>
      </c>
      <c r="B1588" s="4">
        <v>79</v>
      </c>
      <c r="C1588" t="s">
        <v>11</v>
      </c>
      <c r="D1588" t="s">
        <v>12</v>
      </c>
      <c r="E1588" t="s">
        <v>24</v>
      </c>
      <c r="F1588" t="s">
        <v>14</v>
      </c>
      <c r="G1588" s="4">
        <v>7</v>
      </c>
      <c r="H1588" s="1">
        <v>70512</v>
      </c>
      <c r="I1588" s="3" t="s">
        <v>15</v>
      </c>
      <c r="J1588" s="4">
        <v>5</v>
      </c>
    </row>
    <row r="1589" spans="1:10" x14ac:dyDescent="0.35">
      <c r="A1589" s="2" t="s">
        <v>1625</v>
      </c>
      <c r="B1589" s="4">
        <v>34</v>
      </c>
      <c r="C1589" t="s">
        <v>11</v>
      </c>
      <c r="D1589" t="s">
        <v>12</v>
      </c>
      <c r="E1589" t="s">
        <v>13</v>
      </c>
      <c r="F1589" t="s">
        <v>30</v>
      </c>
      <c r="G1589" s="4">
        <v>15</v>
      </c>
      <c r="H1589" s="1">
        <v>48181</v>
      </c>
      <c r="I1589" s="3" t="s">
        <v>15</v>
      </c>
      <c r="J1589" s="4">
        <v>4</v>
      </c>
    </row>
    <row r="1590" spans="1:10" x14ac:dyDescent="0.35">
      <c r="A1590" s="2" t="s">
        <v>1626</v>
      </c>
      <c r="B1590" s="4">
        <v>79</v>
      </c>
      <c r="C1590" t="s">
        <v>17</v>
      </c>
      <c r="D1590" t="s">
        <v>36</v>
      </c>
      <c r="E1590" t="s">
        <v>37</v>
      </c>
      <c r="F1590" t="s">
        <v>20</v>
      </c>
      <c r="G1590" s="4">
        <v>9</v>
      </c>
      <c r="H1590" s="1">
        <v>82341</v>
      </c>
      <c r="I1590" s="3" t="s">
        <v>21</v>
      </c>
      <c r="J1590" s="4">
        <v>5</v>
      </c>
    </row>
    <row r="1591" spans="1:10" x14ac:dyDescent="0.35">
      <c r="A1591" s="2" t="s">
        <v>1627</v>
      </c>
      <c r="B1591" s="4">
        <v>13</v>
      </c>
      <c r="C1591" t="s">
        <v>17</v>
      </c>
      <c r="D1591" t="s">
        <v>49</v>
      </c>
      <c r="E1591" t="s">
        <v>29</v>
      </c>
      <c r="F1591" t="s">
        <v>30</v>
      </c>
      <c r="G1591" s="4">
        <v>8</v>
      </c>
      <c r="H1591" s="1">
        <v>32759</v>
      </c>
      <c r="I1591" s="3" t="s">
        <v>15</v>
      </c>
      <c r="J1591" s="4">
        <v>5</v>
      </c>
    </row>
    <row r="1592" spans="1:10" x14ac:dyDescent="0.35">
      <c r="A1592" s="2" t="s">
        <v>1628</v>
      </c>
      <c r="B1592" s="4">
        <v>43</v>
      </c>
      <c r="C1592" t="s">
        <v>17</v>
      </c>
      <c r="D1592" t="s">
        <v>33</v>
      </c>
      <c r="E1592" t="s">
        <v>42</v>
      </c>
      <c r="F1592" t="s">
        <v>14</v>
      </c>
      <c r="G1592" s="4">
        <v>14</v>
      </c>
      <c r="H1592" s="1">
        <v>52911</v>
      </c>
      <c r="I1592" s="3" t="s">
        <v>21</v>
      </c>
      <c r="J1592" s="4">
        <v>1</v>
      </c>
    </row>
    <row r="1593" spans="1:10" x14ac:dyDescent="0.35">
      <c r="A1593" s="2" t="s">
        <v>1629</v>
      </c>
      <c r="B1593" s="4">
        <v>12</v>
      </c>
      <c r="C1593" t="s">
        <v>17</v>
      </c>
      <c r="D1593" t="s">
        <v>26</v>
      </c>
      <c r="E1593" t="s">
        <v>53</v>
      </c>
      <c r="F1593" t="s">
        <v>14</v>
      </c>
      <c r="G1593" s="4">
        <v>10</v>
      </c>
      <c r="H1593" s="1">
        <v>97869</v>
      </c>
      <c r="I1593" s="3" t="s">
        <v>15</v>
      </c>
      <c r="J1593" s="4">
        <v>3</v>
      </c>
    </row>
    <row r="1594" spans="1:10" x14ac:dyDescent="0.35">
      <c r="A1594" s="2" t="s">
        <v>1630</v>
      </c>
      <c r="B1594" s="4">
        <v>60</v>
      </c>
      <c r="C1594" t="s">
        <v>17</v>
      </c>
      <c r="D1594" t="s">
        <v>39</v>
      </c>
      <c r="E1594" t="s">
        <v>53</v>
      </c>
      <c r="F1594" t="s">
        <v>20</v>
      </c>
      <c r="G1594" s="4">
        <v>2</v>
      </c>
      <c r="H1594" s="1">
        <v>18166</v>
      </c>
      <c r="I1594" s="3" t="s">
        <v>21</v>
      </c>
      <c r="J1594" s="4">
        <v>2</v>
      </c>
    </row>
    <row r="1595" spans="1:10" x14ac:dyDescent="0.35">
      <c r="A1595" s="2" t="s">
        <v>1631</v>
      </c>
      <c r="B1595" s="4">
        <v>60</v>
      </c>
      <c r="C1595" t="s">
        <v>17</v>
      </c>
      <c r="D1595" t="s">
        <v>12</v>
      </c>
      <c r="E1595" t="s">
        <v>27</v>
      </c>
      <c r="F1595" t="s">
        <v>14</v>
      </c>
      <c r="G1595" s="4">
        <v>7</v>
      </c>
      <c r="H1595" s="1">
        <v>70090</v>
      </c>
      <c r="I1595" s="3" t="s">
        <v>15</v>
      </c>
      <c r="J1595" s="4">
        <v>4</v>
      </c>
    </row>
    <row r="1596" spans="1:10" x14ac:dyDescent="0.35">
      <c r="A1596" s="2" t="s">
        <v>1632</v>
      </c>
      <c r="B1596" s="4">
        <v>79</v>
      </c>
      <c r="C1596" t="s">
        <v>11</v>
      </c>
      <c r="D1596" t="s">
        <v>49</v>
      </c>
      <c r="E1596" t="s">
        <v>42</v>
      </c>
      <c r="F1596" t="s">
        <v>14</v>
      </c>
      <c r="G1596" s="4">
        <v>14</v>
      </c>
      <c r="H1596" s="1">
        <v>12790</v>
      </c>
      <c r="I1596" s="3" t="s">
        <v>21</v>
      </c>
      <c r="J1596" s="4">
        <v>5</v>
      </c>
    </row>
    <row r="1597" spans="1:10" x14ac:dyDescent="0.35">
      <c r="A1597" s="2" t="s">
        <v>1633</v>
      </c>
      <c r="B1597" s="4">
        <v>37</v>
      </c>
      <c r="C1597" t="s">
        <v>17</v>
      </c>
      <c r="D1597" t="s">
        <v>28</v>
      </c>
      <c r="E1597" t="s">
        <v>42</v>
      </c>
      <c r="F1597" t="s">
        <v>20</v>
      </c>
      <c r="G1597" s="4">
        <v>9</v>
      </c>
      <c r="H1597" s="1">
        <v>70008</v>
      </c>
      <c r="I1597" s="3" t="s">
        <v>21</v>
      </c>
      <c r="J1597" s="4">
        <v>2</v>
      </c>
    </row>
    <row r="1598" spans="1:10" x14ac:dyDescent="0.35">
      <c r="A1598" s="2" t="s">
        <v>1634</v>
      </c>
      <c r="B1598" s="4">
        <v>17</v>
      </c>
      <c r="C1598" t="s">
        <v>17</v>
      </c>
      <c r="D1598" t="s">
        <v>41</v>
      </c>
      <c r="E1598" t="s">
        <v>65</v>
      </c>
      <c r="F1598" t="s">
        <v>14</v>
      </c>
      <c r="G1598" s="4">
        <v>8</v>
      </c>
      <c r="H1598" s="1">
        <v>5145</v>
      </c>
      <c r="I1598" s="3" t="s">
        <v>15</v>
      </c>
      <c r="J1598" s="4">
        <v>5</v>
      </c>
    </row>
    <row r="1599" spans="1:10" x14ac:dyDescent="0.35">
      <c r="A1599" s="2" t="s">
        <v>1635</v>
      </c>
      <c r="B1599" s="4">
        <v>27</v>
      </c>
      <c r="C1599" t="s">
        <v>17</v>
      </c>
      <c r="D1599" t="s">
        <v>36</v>
      </c>
      <c r="E1599" t="s">
        <v>65</v>
      </c>
      <c r="F1599" t="s">
        <v>30</v>
      </c>
      <c r="G1599" s="4">
        <v>9</v>
      </c>
      <c r="H1599" s="1">
        <v>19705</v>
      </c>
      <c r="I1599" s="3" t="s">
        <v>21</v>
      </c>
      <c r="J1599" s="4">
        <v>1</v>
      </c>
    </row>
    <row r="1600" spans="1:10" x14ac:dyDescent="0.35">
      <c r="A1600" s="2" t="s">
        <v>1636</v>
      </c>
      <c r="B1600" s="4">
        <v>70</v>
      </c>
      <c r="C1600" t="s">
        <v>11</v>
      </c>
      <c r="D1600" t="s">
        <v>36</v>
      </c>
      <c r="E1600" t="s">
        <v>19</v>
      </c>
      <c r="F1600" t="s">
        <v>14</v>
      </c>
      <c r="G1600" s="4">
        <v>15</v>
      </c>
      <c r="H1600" s="1">
        <v>47022</v>
      </c>
      <c r="I1600" s="3" t="s">
        <v>21</v>
      </c>
      <c r="J1600" s="4">
        <v>4</v>
      </c>
    </row>
    <row r="1601" spans="1:10" x14ac:dyDescent="0.35">
      <c r="A1601" s="2" t="s">
        <v>1637</v>
      </c>
      <c r="B1601" s="4">
        <v>89</v>
      </c>
      <c r="C1601" t="s">
        <v>11</v>
      </c>
      <c r="D1601" t="s">
        <v>33</v>
      </c>
      <c r="E1601" t="s">
        <v>53</v>
      </c>
      <c r="F1601" t="s">
        <v>30</v>
      </c>
      <c r="G1601" s="4">
        <v>13</v>
      </c>
      <c r="H1601" s="1">
        <v>65901</v>
      </c>
      <c r="I1601" s="3" t="s">
        <v>15</v>
      </c>
      <c r="J1601" s="4">
        <v>4</v>
      </c>
    </row>
    <row r="1602" spans="1:10" x14ac:dyDescent="0.35">
      <c r="A1602" s="2" t="s">
        <v>1638</v>
      </c>
      <c r="B1602" s="4">
        <v>40</v>
      </c>
      <c r="C1602" t="s">
        <v>11</v>
      </c>
      <c r="D1602" t="s">
        <v>39</v>
      </c>
      <c r="E1602" t="s">
        <v>65</v>
      </c>
      <c r="F1602" t="s">
        <v>14</v>
      </c>
      <c r="G1602" s="4">
        <v>2</v>
      </c>
      <c r="H1602" s="1">
        <v>57275</v>
      </c>
      <c r="I1602" s="3" t="s">
        <v>15</v>
      </c>
      <c r="J1602" s="4">
        <v>5</v>
      </c>
    </row>
    <row r="1603" spans="1:10" x14ac:dyDescent="0.35">
      <c r="A1603" s="2" t="s">
        <v>1639</v>
      </c>
      <c r="B1603" s="4">
        <v>90</v>
      </c>
      <c r="C1603" t="s">
        <v>11</v>
      </c>
      <c r="D1603" t="s">
        <v>41</v>
      </c>
      <c r="E1603" t="s">
        <v>42</v>
      </c>
      <c r="F1603" t="s">
        <v>30</v>
      </c>
      <c r="G1603" s="4">
        <v>7</v>
      </c>
      <c r="H1603" s="1">
        <v>71158</v>
      </c>
      <c r="I1603" s="3" t="s">
        <v>21</v>
      </c>
      <c r="J1603" s="4">
        <v>3</v>
      </c>
    </row>
    <row r="1604" spans="1:10" x14ac:dyDescent="0.35">
      <c r="A1604" s="2" t="s">
        <v>1640</v>
      </c>
      <c r="B1604" s="4">
        <v>10</v>
      </c>
      <c r="C1604" t="s">
        <v>11</v>
      </c>
      <c r="D1604" t="s">
        <v>36</v>
      </c>
      <c r="E1604" t="s">
        <v>34</v>
      </c>
      <c r="F1604" t="s">
        <v>20</v>
      </c>
      <c r="G1604" s="4">
        <v>5</v>
      </c>
      <c r="H1604" s="1">
        <v>9892</v>
      </c>
      <c r="I1604" s="3" t="s">
        <v>15</v>
      </c>
      <c r="J1604" s="4">
        <v>1</v>
      </c>
    </row>
    <row r="1605" spans="1:10" x14ac:dyDescent="0.35">
      <c r="A1605" s="2" t="s">
        <v>1641</v>
      </c>
      <c r="B1605" s="4">
        <v>22</v>
      </c>
      <c r="C1605" t="s">
        <v>17</v>
      </c>
      <c r="D1605" t="s">
        <v>28</v>
      </c>
      <c r="E1605" t="s">
        <v>19</v>
      </c>
      <c r="F1605" t="s">
        <v>14</v>
      </c>
      <c r="G1605" s="4">
        <v>2</v>
      </c>
      <c r="H1605" s="1">
        <v>80077</v>
      </c>
      <c r="I1605" s="3" t="s">
        <v>15</v>
      </c>
      <c r="J1605" s="4">
        <v>1</v>
      </c>
    </row>
    <row r="1606" spans="1:10" x14ac:dyDescent="0.35">
      <c r="A1606" s="2" t="s">
        <v>1642</v>
      </c>
      <c r="B1606" s="4">
        <v>32</v>
      </c>
      <c r="C1606" t="s">
        <v>17</v>
      </c>
      <c r="D1606" t="s">
        <v>18</v>
      </c>
      <c r="E1606" t="s">
        <v>65</v>
      </c>
      <c r="F1606" t="s">
        <v>20</v>
      </c>
      <c r="G1606" s="4">
        <v>15</v>
      </c>
      <c r="H1606" s="1">
        <v>34629</v>
      </c>
      <c r="I1606" s="3" t="s">
        <v>15</v>
      </c>
      <c r="J1606" s="4">
        <v>4</v>
      </c>
    </row>
    <row r="1607" spans="1:10" x14ac:dyDescent="0.35">
      <c r="A1607" s="2" t="s">
        <v>1643</v>
      </c>
      <c r="B1607" s="4">
        <v>37</v>
      </c>
      <c r="C1607" t="s">
        <v>17</v>
      </c>
      <c r="D1607" t="s">
        <v>28</v>
      </c>
      <c r="E1607" t="s">
        <v>53</v>
      </c>
      <c r="F1607" t="s">
        <v>20</v>
      </c>
      <c r="G1607" s="4">
        <v>2</v>
      </c>
      <c r="H1607" s="1">
        <v>62375</v>
      </c>
      <c r="I1607" s="3" t="s">
        <v>21</v>
      </c>
      <c r="J1607" s="4">
        <v>1</v>
      </c>
    </row>
    <row r="1608" spans="1:10" x14ac:dyDescent="0.35">
      <c r="A1608" s="2" t="s">
        <v>1644</v>
      </c>
      <c r="B1608" s="4">
        <v>24</v>
      </c>
      <c r="C1608" t="s">
        <v>11</v>
      </c>
      <c r="D1608" t="s">
        <v>36</v>
      </c>
      <c r="E1608" t="s">
        <v>27</v>
      </c>
      <c r="F1608" t="s">
        <v>14</v>
      </c>
      <c r="G1608" s="4">
        <v>11</v>
      </c>
      <c r="H1608" s="1">
        <v>71901</v>
      </c>
      <c r="I1608" s="3" t="s">
        <v>21</v>
      </c>
      <c r="J1608" s="4">
        <v>5</v>
      </c>
    </row>
    <row r="1609" spans="1:10" x14ac:dyDescent="0.35">
      <c r="A1609" s="2" t="s">
        <v>1645</v>
      </c>
      <c r="B1609" s="4">
        <v>71</v>
      </c>
      <c r="C1609" t="s">
        <v>17</v>
      </c>
      <c r="D1609" t="s">
        <v>41</v>
      </c>
      <c r="E1609" t="s">
        <v>34</v>
      </c>
      <c r="F1609" t="s">
        <v>30</v>
      </c>
      <c r="G1609" s="4">
        <v>6</v>
      </c>
      <c r="H1609" s="1">
        <v>23940</v>
      </c>
      <c r="I1609" s="3" t="s">
        <v>21</v>
      </c>
      <c r="J1609" s="4">
        <v>4</v>
      </c>
    </row>
    <row r="1610" spans="1:10" x14ac:dyDescent="0.35">
      <c r="A1610" s="2" t="s">
        <v>1646</v>
      </c>
      <c r="B1610" s="4">
        <v>67</v>
      </c>
      <c r="C1610" t="s">
        <v>17</v>
      </c>
      <c r="D1610" t="s">
        <v>12</v>
      </c>
      <c r="E1610" t="s">
        <v>42</v>
      </c>
      <c r="F1610" t="s">
        <v>30</v>
      </c>
      <c r="G1610" s="4">
        <v>11</v>
      </c>
      <c r="H1610" s="1">
        <v>10104</v>
      </c>
      <c r="I1610" s="3" t="s">
        <v>15</v>
      </c>
      <c r="J1610" s="4">
        <v>4</v>
      </c>
    </row>
    <row r="1611" spans="1:10" x14ac:dyDescent="0.35">
      <c r="A1611" s="2" t="s">
        <v>1647</v>
      </c>
      <c r="B1611" s="4">
        <v>43</v>
      </c>
      <c r="C1611" t="s">
        <v>17</v>
      </c>
      <c r="D1611" t="s">
        <v>12</v>
      </c>
      <c r="E1611" t="s">
        <v>13</v>
      </c>
      <c r="F1611" t="s">
        <v>14</v>
      </c>
      <c r="G1611" s="4">
        <v>10</v>
      </c>
      <c r="H1611" s="1">
        <v>49082</v>
      </c>
      <c r="I1611" s="3" t="s">
        <v>15</v>
      </c>
      <c r="J1611" s="4">
        <v>3</v>
      </c>
    </row>
    <row r="1612" spans="1:10" x14ac:dyDescent="0.35">
      <c r="A1612" s="2" t="s">
        <v>1648</v>
      </c>
      <c r="B1612" s="4">
        <v>58</v>
      </c>
      <c r="C1612" t="s">
        <v>11</v>
      </c>
      <c r="D1612" t="s">
        <v>39</v>
      </c>
      <c r="E1612" t="s">
        <v>27</v>
      </c>
      <c r="F1612" t="s">
        <v>20</v>
      </c>
      <c r="G1612" s="4">
        <v>3</v>
      </c>
      <c r="H1612" s="1">
        <v>86778</v>
      </c>
      <c r="I1612" s="3" t="s">
        <v>15</v>
      </c>
      <c r="J1612" s="4">
        <v>1</v>
      </c>
    </row>
    <row r="1613" spans="1:10" x14ac:dyDescent="0.35">
      <c r="A1613" s="2" t="s">
        <v>1649</v>
      </c>
      <c r="B1613" s="4">
        <v>18</v>
      </c>
      <c r="C1613" t="s">
        <v>11</v>
      </c>
      <c r="D1613" t="s">
        <v>39</v>
      </c>
      <c r="E1613" t="s">
        <v>37</v>
      </c>
      <c r="F1613" t="s">
        <v>20</v>
      </c>
      <c r="G1613" s="4">
        <v>12</v>
      </c>
      <c r="H1613" s="1">
        <v>86579</v>
      </c>
      <c r="I1613" s="3" t="s">
        <v>21</v>
      </c>
      <c r="J1613" s="4">
        <v>5</v>
      </c>
    </row>
    <row r="1614" spans="1:10" x14ac:dyDescent="0.35">
      <c r="A1614" s="2" t="s">
        <v>1650</v>
      </c>
      <c r="B1614" s="4">
        <v>23</v>
      </c>
      <c r="C1614" t="s">
        <v>17</v>
      </c>
      <c r="D1614" t="s">
        <v>49</v>
      </c>
      <c r="E1614" t="s">
        <v>53</v>
      </c>
      <c r="F1614" t="s">
        <v>30</v>
      </c>
      <c r="G1614" s="4">
        <v>2</v>
      </c>
      <c r="H1614" s="1">
        <v>98426</v>
      </c>
      <c r="I1614" s="3" t="s">
        <v>21</v>
      </c>
      <c r="J1614" s="4">
        <v>5</v>
      </c>
    </row>
    <row r="1615" spans="1:10" x14ac:dyDescent="0.35">
      <c r="A1615" s="2" t="s">
        <v>1651</v>
      </c>
      <c r="B1615" s="4">
        <v>60</v>
      </c>
      <c r="C1615" t="s">
        <v>17</v>
      </c>
      <c r="D1615" t="s">
        <v>36</v>
      </c>
      <c r="E1615" t="s">
        <v>65</v>
      </c>
      <c r="F1615" t="s">
        <v>14</v>
      </c>
      <c r="G1615" s="4">
        <v>11</v>
      </c>
      <c r="H1615" s="1">
        <v>44005</v>
      </c>
      <c r="I1615" s="3" t="s">
        <v>15</v>
      </c>
      <c r="J1615" s="4">
        <v>1</v>
      </c>
    </row>
    <row r="1616" spans="1:10" x14ac:dyDescent="0.35">
      <c r="A1616" s="2" t="s">
        <v>1652</v>
      </c>
      <c r="B1616" s="4">
        <v>65</v>
      </c>
      <c r="C1616" t="s">
        <v>17</v>
      </c>
      <c r="D1616" t="s">
        <v>33</v>
      </c>
      <c r="E1616" t="s">
        <v>34</v>
      </c>
      <c r="F1616" t="s">
        <v>30</v>
      </c>
      <c r="G1616" s="4">
        <v>7</v>
      </c>
      <c r="H1616" s="1">
        <v>38098</v>
      </c>
      <c r="I1616" s="3" t="s">
        <v>21</v>
      </c>
      <c r="J1616" s="4">
        <v>3</v>
      </c>
    </row>
    <row r="1617" spans="1:10" x14ac:dyDescent="0.35">
      <c r="A1617" s="2" t="s">
        <v>1653</v>
      </c>
      <c r="B1617" s="4">
        <v>63</v>
      </c>
      <c r="C1617" t="s">
        <v>17</v>
      </c>
      <c r="D1617" t="s">
        <v>18</v>
      </c>
      <c r="E1617" t="s">
        <v>53</v>
      </c>
      <c r="F1617" t="s">
        <v>30</v>
      </c>
      <c r="G1617" s="4">
        <v>8</v>
      </c>
      <c r="H1617" s="1">
        <v>5997</v>
      </c>
      <c r="I1617" s="3" t="s">
        <v>15</v>
      </c>
      <c r="J1617" s="4">
        <v>5</v>
      </c>
    </row>
    <row r="1618" spans="1:10" x14ac:dyDescent="0.35">
      <c r="A1618" s="2" t="s">
        <v>1654</v>
      </c>
      <c r="B1618" s="4">
        <v>2</v>
      </c>
      <c r="C1618" t="s">
        <v>11</v>
      </c>
      <c r="D1618" t="s">
        <v>26</v>
      </c>
      <c r="E1618" t="s">
        <v>37</v>
      </c>
      <c r="F1618" t="s">
        <v>30</v>
      </c>
      <c r="G1618" s="4">
        <v>6</v>
      </c>
      <c r="H1618" s="1">
        <v>58032</v>
      </c>
      <c r="I1618" s="3" t="s">
        <v>21</v>
      </c>
      <c r="J1618" s="4">
        <v>1</v>
      </c>
    </row>
    <row r="1619" spans="1:10" x14ac:dyDescent="0.35">
      <c r="A1619" s="2" t="s">
        <v>1655</v>
      </c>
      <c r="B1619" s="4">
        <v>67</v>
      </c>
      <c r="C1619" t="s">
        <v>11</v>
      </c>
      <c r="D1619" t="s">
        <v>41</v>
      </c>
      <c r="E1619" t="s">
        <v>34</v>
      </c>
      <c r="F1619" t="s">
        <v>30</v>
      </c>
      <c r="G1619" s="4">
        <v>12</v>
      </c>
      <c r="H1619" s="1">
        <v>78269</v>
      </c>
      <c r="I1619" s="3" t="s">
        <v>21</v>
      </c>
      <c r="J1619" s="4">
        <v>2</v>
      </c>
    </row>
    <row r="1620" spans="1:10" x14ac:dyDescent="0.35">
      <c r="A1620" s="2" t="s">
        <v>1656</v>
      </c>
      <c r="B1620" s="4">
        <v>69</v>
      </c>
      <c r="C1620" t="s">
        <v>11</v>
      </c>
      <c r="D1620" t="s">
        <v>23</v>
      </c>
      <c r="E1620" t="s">
        <v>27</v>
      </c>
      <c r="F1620" t="s">
        <v>30</v>
      </c>
      <c r="G1620" s="4">
        <v>14</v>
      </c>
      <c r="H1620" s="1">
        <v>6765</v>
      </c>
      <c r="I1620" s="3" t="s">
        <v>21</v>
      </c>
      <c r="J1620" s="4">
        <v>2</v>
      </c>
    </row>
    <row r="1621" spans="1:10" x14ac:dyDescent="0.35">
      <c r="A1621" s="2" t="s">
        <v>1657</v>
      </c>
      <c r="B1621" s="4">
        <v>88</v>
      </c>
      <c r="C1621" t="s">
        <v>17</v>
      </c>
      <c r="D1621" t="s">
        <v>28</v>
      </c>
      <c r="E1621" t="s">
        <v>19</v>
      </c>
      <c r="F1621" t="s">
        <v>30</v>
      </c>
      <c r="G1621" s="4">
        <v>9</v>
      </c>
      <c r="H1621" s="1">
        <v>16063</v>
      </c>
      <c r="I1621" s="3" t="s">
        <v>21</v>
      </c>
      <c r="J1621" s="4">
        <v>2</v>
      </c>
    </row>
    <row r="1622" spans="1:10" x14ac:dyDescent="0.35">
      <c r="A1622" s="2" t="s">
        <v>1658</v>
      </c>
      <c r="B1622" s="4">
        <v>36</v>
      </c>
      <c r="C1622" t="s">
        <v>11</v>
      </c>
      <c r="D1622" t="s">
        <v>49</v>
      </c>
      <c r="E1622" t="s">
        <v>53</v>
      </c>
      <c r="F1622" t="s">
        <v>30</v>
      </c>
      <c r="G1622" s="4">
        <v>1</v>
      </c>
      <c r="H1622" s="1">
        <v>60265</v>
      </c>
      <c r="I1622" s="3" t="s">
        <v>21</v>
      </c>
      <c r="J1622" s="4">
        <v>4</v>
      </c>
    </row>
    <row r="1623" spans="1:10" x14ac:dyDescent="0.35">
      <c r="A1623" s="2" t="s">
        <v>1659</v>
      </c>
      <c r="B1623" s="4">
        <v>67</v>
      </c>
      <c r="C1623" t="s">
        <v>17</v>
      </c>
      <c r="D1623" t="s">
        <v>12</v>
      </c>
      <c r="E1623" t="s">
        <v>53</v>
      </c>
      <c r="F1623" t="s">
        <v>14</v>
      </c>
      <c r="G1623" s="4">
        <v>15</v>
      </c>
      <c r="H1623" s="1">
        <v>27018</v>
      </c>
      <c r="I1623" s="3" t="s">
        <v>15</v>
      </c>
      <c r="J1623" s="4">
        <v>3</v>
      </c>
    </row>
    <row r="1624" spans="1:10" x14ac:dyDescent="0.35">
      <c r="A1624" s="2" t="s">
        <v>1660</v>
      </c>
      <c r="B1624" s="4">
        <v>88</v>
      </c>
      <c r="C1624" t="s">
        <v>11</v>
      </c>
      <c r="D1624" t="s">
        <v>39</v>
      </c>
      <c r="E1624" t="s">
        <v>34</v>
      </c>
      <c r="F1624" t="s">
        <v>14</v>
      </c>
      <c r="G1624" s="4">
        <v>3</v>
      </c>
      <c r="H1624" s="1">
        <v>87094</v>
      </c>
      <c r="I1624" s="3" t="s">
        <v>21</v>
      </c>
      <c r="J1624" s="4">
        <v>4</v>
      </c>
    </row>
    <row r="1625" spans="1:10" x14ac:dyDescent="0.35">
      <c r="A1625" s="2" t="s">
        <v>1661</v>
      </c>
      <c r="B1625" s="4">
        <v>65</v>
      </c>
      <c r="C1625" t="s">
        <v>11</v>
      </c>
      <c r="D1625" t="s">
        <v>26</v>
      </c>
      <c r="E1625" t="s">
        <v>65</v>
      </c>
      <c r="F1625" t="s">
        <v>14</v>
      </c>
      <c r="G1625" s="4">
        <v>13</v>
      </c>
      <c r="H1625" s="1">
        <v>54258</v>
      </c>
      <c r="I1625" s="3" t="s">
        <v>21</v>
      </c>
      <c r="J1625" s="4">
        <v>2</v>
      </c>
    </row>
    <row r="1626" spans="1:10" x14ac:dyDescent="0.35">
      <c r="A1626" s="2" t="s">
        <v>1662</v>
      </c>
      <c r="B1626" s="4">
        <v>52</v>
      </c>
      <c r="C1626" t="s">
        <v>17</v>
      </c>
      <c r="D1626" t="s">
        <v>33</v>
      </c>
      <c r="E1626" t="s">
        <v>34</v>
      </c>
      <c r="F1626" t="s">
        <v>30</v>
      </c>
      <c r="G1626" s="4">
        <v>14</v>
      </c>
      <c r="H1626" s="1">
        <v>63364</v>
      </c>
      <c r="I1626" s="3" t="s">
        <v>15</v>
      </c>
      <c r="J1626" s="4">
        <v>4</v>
      </c>
    </row>
    <row r="1627" spans="1:10" x14ac:dyDescent="0.35">
      <c r="A1627" s="2" t="s">
        <v>1663</v>
      </c>
      <c r="B1627" s="4">
        <v>85</v>
      </c>
      <c r="C1627" t="s">
        <v>11</v>
      </c>
      <c r="D1627" t="s">
        <v>49</v>
      </c>
      <c r="E1627" t="s">
        <v>29</v>
      </c>
      <c r="F1627" t="s">
        <v>14</v>
      </c>
      <c r="G1627" s="4">
        <v>8</v>
      </c>
      <c r="H1627" s="1">
        <v>60853</v>
      </c>
      <c r="I1627" s="3" t="s">
        <v>21</v>
      </c>
      <c r="J1627" s="4">
        <v>2</v>
      </c>
    </row>
    <row r="1628" spans="1:10" x14ac:dyDescent="0.35">
      <c r="A1628" s="2" t="s">
        <v>1664</v>
      </c>
      <c r="B1628" s="4">
        <v>56</v>
      </c>
      <c r="C1628" t="s">
        <v>17</v>
      </c>
      <c r="D1628" t="s">
        <v>36</v>
      </c>
      <c r="E1628" t="s">
        <v>65</v>
      </c>
      <c r="F1628" t="s">
        <v>30</v>
      </c>
      <c r="G1628" s="4">
        <v>12</v>
      </c>
      <c r="H1628" s="1">
        <v>89134</v>
      </c>
      <c r="I1628" s="3" t="s">
        <v>21</v>
      </c>
      <c r="J1628" s="4">
        <v>2</v>
      </c>
    </row>
    <row r="1629" spans="1:10" x14ac:dyDescent="0.35">
      <c r="A1629" s="2" t="s">
        <v>1665</v>
      </c>
      <c r="B1629" s="4">
        <v>22</v>
      </c>
      <c r="C1629" t="s">
        <v>17</v>
      </c>
      <c r="D1629" t="s">
        <v>49</v>
      </c>
      <c r="E1629" t="s">
        <v>19</v>
      </c>
      <c r="F1629" t="s">
        <v>20</v>
      </c>
      <c r="G1629" s="4">
        <v>6</v>
      </c>
      <c r="H1629" s="1">
        <v>86868</v>
      </c>
      <c r="I1629" s="3" t="s">
        <v>15</v>
      </c>
      <c r="J1629" s="4">
        <v>2</v>
      </c>
    </row>
    <row r="1630" spans="1:10" x14ac:dyDescent="0.35">
      <c r="A1630" s="2" t="s">
        <v>1666</v>
      </c>
      <c r="B1630" s="4">
        <v>2</v>
      </c>
      <c r="C1630" t="s">
        <v>17</v>
      </c>
      <c r="D1630" t="s">
        <v>33</v>
      </c>
      <c r="E1630" t="s">
        <v>34</v>
      </c>
      <c r="F1630" t="s">
        <v>30</v>
      </c>
      <c r="G1630" s="4">
        <v>8</v>
      </c>
      <c r="H1630" s="1">
        <v>69659</v>
      </c>
      <c r="I1630" s="3" t="s">
        <v>21</v>
      </c>
      <c r="J1630" s="4">
        <v>5</v>
      </c>
    </row>
    <row r="1631" spans="1:10" x14ac:dyDescent="0.35">
      <c r="A1631" s="2" t="s">
        <v>1667</v>
      </c>
      <c r="B1631" s="4">
        <v>31</v>
      </c>
      <c r="C1631" t="s">
        <v>17</v>
      </c>
      <c r="D1631" t="s">
        <v>18</v>
      </c>
      <c r="E1631" t="s">
        <v>53</v>
      </c>
      <c r="F1631" t="s">
        <v>14</v>
      </c>
      <c r="G1631" s="4">
        <v>14</v>
      </c>
      <c r="H1631" s="1">
        <v>21712</v>
      </c>
      <c r="I1631" s="3" t="s">
        <v>15</v>
      </c>
      <c r="J1631" s="4">
        <v>3</v>
      </c>
    </row>
    <row r="1632" spans="1:10" x14ac:dyDescent="0.35">
      <c r="A1632" s="2" t="s">
        <v>1668</v>
      </c>
      <c r="B1632" s="4">
        <v>19</v>
      </c>
      <c r="C1632" t="s">
        <v>17</v>
      </c>
      <c r="D1632" t="s">
        <v>23</v>
      </c>
      <c r="E1632" t="s">
        <v>27</v>
      </c>
      <c r="F1632" t="s">
        <v>14</v>
      </c>
      <c r="G1632" s="4">
        <v>15</v>
      </c>
      <c r="H1632" s="1">
        <v>10848</v>
      </c>
      <c r="I1632" s="3" t="s">
        <v>15</v>
      </c>
      <c r="J1632" s="4">
        <v>2</v>
      </c>
    </row>
    <row r="1633" spans="1:10" x14ac:dyDescent="0.35">
      <c r="A1633" s="2" t="s">
        <v>1669</v>
      </c>
      <c r="B1633" s="4">
        <v>43</v>
      </c>
      <c r="C1633" t="s">
        <v>17</v>
      </c>
      <c r="D1633" t="s">
        <v>36</v>
      </c>
      <c r="E1633" t="s">
        <v>42</v>
      </c>
      <c r="F1633" t="s">
        <v>20</v>
      </c>
      <c r="G1633" s="4">
        <v>9</v>
      </c>
      <c r="H1633" s="1">
        <v>22567</v>
      </c>
      <c r="I1633" s="3" t="s">
        <v>21</v>
      </c>
      <c r="J1633" s="4">
        <v>4</v>
      </c>
    </row>
    <row r="1634" spans="1:10" x14ac:dyDescent="0.35">
      <c r="A1634" s="2" t="s">
        <v>1670</v>
      </c>
      <c r="B1634" s="4">
        <v>81</v>
      </c>
      <c r="C1634" t="s">
        <v>11</v>
      </c>
      <c r="D1634" t="s">
        <v>36</v>
      </c>
      <c r="E1634" t="s">
        <v>65</v>
      </c>
      <c r="F1634" t="s">
        <v>30</v>
      </c>
      <c r="G1634" s="4">
        <v>5</v>
      </c>
      <c r="H1634" s="1">
        <v>58669</v>
      </c>
      <c r="I1634" s="3" t="s">
        <v>21</v>
      </c>
      <c r="J1634" s="4">
        <v>4</v>
      </c>
    </row>
    <row r="1635" spans="1:10" x14ac:dyDescent="0.35">
      <c r="A1635" s="2" t="s">
        <v>1671</v>
      </c>
      <c r="B1635" s="4">
        <v>65</v>
      </c>
      <c r="C1635" t="s">
        <v>17</v>
      </c>
      <c r="D1635" t="s">
        <v>12</v>
      </c>
      <c r="E1635" t="s">
        <v>27</v>
      </c>
      <c r="F1635" t="s">
        <v>30</v>
      </c>
      <c r="G1635" s="4">
        <v>4</v>
      </c>
      <c r="H1635" s="1">
        <v>41074</v>
      </c>
      <c r="I1635" s="3" t="s">
        <v>15</v>
      </c>
      <c r="J1635" s="4">
        <v>3</v>
      </c>
    </row>
    <row r="1636" spans="1:10" x14ac:dyDescent="0.35">
      <c r="A1636" s="2" t="s">
        <v>1672</v>
      </c>
      <c r="B1636" s="4">
        <v>9</v>
      </c>
      <c r="C1636" t="s">
        <v>11</v>
      </c>
      <c r="D1636" t="s">
        <v>12</v>
      </c>
      <c r="E1636" t="s">
        <v>29</v>
      </c>
      <c r="F1636" t="s">
        <v>14</v>
      </c>
      <c r="G1636" s="4">
        <v>11</v>
      </c>
      <c r="H1636" s="1">
        <v>95954</v>
      </c>
      <c r="I1636" s="3" t="s">
        <v>21</v>
      </c>
      <c r="J1636" s="4">
        <v>4</v>
      </c>
    </row>
    <row r="1637" spans="1:10" x14ac:dyDescent="0.35">
      <c r="A1637" s="2" t="s">
        <v>1673</v>
      </c>
      <c r="B1637" s="4">
        <v>80</v>
      </c>
      <c r="C1637" t="s">
        <v>17</v>
      </c>
      <c r="D1637" t="s">
        <v>41</v>
      </c>
      <c r="E1637" t="s">
        <v>27</v>
      </c>
      <c r="F1637" t="s">
        <v>30</v>
      </c>
      <c r="G1637" s="4">
        <v>7</v>
      </c>
      <c r="H1637" s="1">
        <v>54433</v>
      </c>
      <c r="I1637" s="3" t="s">
        <v>15</v>
      </c>
      <c r="J1637" s="4">
        <v>1</v>
      </c>
    </row>
    <row r="1638" spans="1:10" x14ac:dyDescent="0.35">
      <c r="A1638" s="2" t="s">
        <v>1674</v>
      </c>
      <c r="B1638" s="4">
        <v>47</v>
      </c>
      <c r="C1638" t="s">
        <v>11</v>
      </c>
      <c r="D1638" t="s">
        <v>18</v>
      </c>
      <c r="E1638" t="s">
        <v>27</v>
      </c>
      <c r="F1638" t="s">
        <v>30</v>
      </c>
      <c r="G1638" s="4">
        <v>11</v>
      </c>
      <c r="H1638" s="1">
        <v>82775</v>
      </c>
      <c r="I1638" s="3" t="s">
        <v>21</v>
      </c>
      <c r="J1638" s="4">
        <v>1</v>
      </c>
    </row>
    <row r="1639" spans="1:10" x14ac:dyDescent="0.35">
      <c r="A1639" s="2" t="s">
        <v>1675</v>
      </c>
      <c r="B1639" s="4">
        <v>21</v>
      </c>
      <c r="C1639" t="s">
        <v>11</v>
      </c>
      <c r="D1639" t="s">
        <v>12</v>
      </c>
      <c r="E1639" t="s">
        <v>24</v>
      </c>
      <c r="F1639" t="s">
        <v>30</v>
      </c>
      <c r="G1639" s="4">
        <v>9</v>
      </c>
      <c r="H1639" s="1">
        <v>6980</v>
      </c>
      <c r="I1639" s="3" t="s">
        <v>21</v>
      </c>
      <c r="J1639" s="4">
        <v>3</v>
      </c>
    </row>
    <row r="1640" spans="1:10" x14ac:dyDescent="0.35">
      <c r="A1640" s="2" t="s">
        <v>1676</v>
      </c>
      <c r="B1640" s="4">
        <v>46</v>
      </c>
      <c r="C1640" t="s">
        <v>11</v>
      </c>
      <c r="D1640" t="s">
        <v>26</v>
      </c>
      <c r="E1640" t="s">
        <v>42</v>
      </c>
      <c r="F1640" t="s">
        <v>14</v>
      </c>
      <c r="G1640" s="4">
        <v>3</v>
      </c>
      <c r="H1640" s="1">
        <v>26216</v>
      </c>
      <c r="I1640" s="3" t="s">
        <v>15</v>
      </c>
      <c r="J1640" s="4">
        <v>1</v>
      </c>
    </row>
    <row r="1641" spans="1:10" x14ac:dyDescent="0.35">
      <c r="A1641" s="2" t="s">
        <v>1677</v>
      </c>
      <c r="B1641" s="4">
        <v>85</v>
      </c>
      <c r="C1641" t="s">
        <v>11</v>
      </c>
      <c r="D1641" t="s">
        <v>26</v>
      </c>
      <c r="E1641" t="s">
        <v>37</v>
      </c>
      <c r="F1641" t="s">
        <v>20</v>
      </c>
      <c r="G1641" s="4">
        <v>13</v>
      </c>
      <c r="H1641" s="1">
        <v>45793</v>
      </c>
      <c r="I1641" s="3" t="s">
        <v>21</v>
      </c>
      <c r="J1641" s="4">
        <v>1</v>
      </c>
    </row>
    <row r="1642" spans="1:10" x14ac:dyDescent="0.35">
      <c r="A1642" s="2" t="s">
        <v>1678</v>
      </c>
      <c r="B1642" s="4">
        <v>30</v>
      </c>
      <c r="C1642" t="s">
        <v>17</v>
      </c>
      <c r="D1642" t="s">
        <v>49</v>
      </c>
      <c r="E1642" t="s">
        <v>24</v>
      </c>
      <c r="F1642" t="s">
        <v>30</v>
      </c>
      <c r="G1642" s="4">
        <v>15</v>
      </c>
      <c r="H1642" s="1">
        <v>43027</v>
      </c>
      <c r="I1642" s="3" t="s">
        <v>15</v>
      </c>
      <c r="J1642" s="4">
        <v>1</v>
      </c>
    </row>
    <row r="1643" spans="1:10" x14ac:dyDescent="0.35">
      <c r="A1643" s="2" t="s">
        <v>1679</v>
      </c>
      <c r="B1643" s="4">
        <v>5</v>
      </c>
      <c r="C1643" t="s">
        <v>11</v>
      </c>
      <c r="D1643" t="s">
        <v>33</v>
      </c>
      <c r="E1643" t="s">
        <v>13</v>
      </c>
      <c r="F1643" t="s">
        <v>14</v>
      </c>
      <c r="G1643" s="4">
        <v>9</v>
      </c>
      <c r="H1643" s="1">
        <v>27498</v>
      </c>
      <c r="I1643" s="3" t="s">
        <v>21</v>
      </c>
      <c r="J1643" s="4">
        <v>1</v>
      </c>
    </row>
    <row r="1644" spans="1:10" x14ac:dyDescent="0.35">
      <c r="A1644" s="2" t="s">
        <v>1680</v>
      </c>
      <c r="B1644" s="4">
        <v>66</v>
      </c>
      <c r="C1644" t="s">
        <v>17</v>
      </c>
      <c r="D1644" t="s">
        <v>41</v>
      </c>
      <c r="E1644" t="s">
        <v>65</v>
      </c>
      <c r="F1644" t="s">
        <v>20</v>
      </c>
      <c r="G1644" s="4">
        <v>9</v>
      </c>
      <c r="H1644" s="1">
        <v>6071</v>
      </c>
      <c r="I1644" s="3" t="s">
        <v>21</v>
      </c>
      <c r="J1644" s="4">
        <v>5</v>
      </c>
    </row>
    <row r="1645" spans="1:10" x14ac:dyDescent="0.35">
      <c r="A1645" s="2" t="s">
        <v>1681</v>
      </c>
      <c r="B1645" s="4">
        <v>1</v>
      </c>
      <c r="C1645" t="s">
        <v>11</v>
      </c>
      <c r="D1645" t="s">
        <v>41</v>
      </c>
      <c r="E1645" t="s">
        <v>37</v>
      </c>
      <c r="F1645" t="s">
        <v>14</v>
      </c>
      <c r="G1645" s="4">
        <v>13</v>
      </c>
      <c r="H1645" s="1">
        <v>48972</v>
      </c>
      <c r="I1645" s="3" t="s">
        <v>21</v>
      </c>
      <c r="J1645" s="4">
        <v>1</v>
      </c>
    </row>
    <row r="1646" spans="1:10" x14ac:dyDescent="0.35">
      <c r="A1646" s="2" t="s">
        <v>1682</v>
      </c>
      <c r="B1646" s="4">
        <v>90</v>
      </c>
      <c r="C1646" t="s">
        <v>17</v>
      </c>
      <c r="D1646" t="s">
        <v>18</v>
      </c>
      <c r="E1646" t="s">
        <v>13</v>
      </c>
      <c r="F1646" t="s">
        <v>30</v>
      </c>
      <c r="G1646" s="4">
        <v>1</v>
      </c>
      <c r="H1646" s="1">
        <v>71924</v>
      </c>
      <c r="I1646" s="3" t="s">
        <v>21</v>
      </c>
      <c r="J1646" s="4">
        <v>1</v>
      </c>
    </row>
    <row r="1647" spans="1:10" x14ac:dyDescent="0.35">
      <c r="A1647" s="2" t="s">
        <v>1683</v>
      </c>
      <c r="B1647" s="4">
        <v>13</v>
      </c>
      <c r="C1647" t="s">
        <v>11</v>
      </c>
      <c r="D1647" t="s">
        <v>49</v>
      </c>
      <c r="E1647" t="s">
        <v>29</v>
      </c>
      <c r="F1647" t="s">
        <v>14</v>
      </c>
      <c r="G1647" s="4">
        <v>7</v>
      </c>
      <c r="H1647" s="1">
        <v>82302</v>
      </c>
      <c r="I1647" s="3" t="s">
        <v>15</v>
      </c>
      <c r="J1647" s="4">
        <v>1</v>
      </c>
    </row>
    <row r="1648" spans="1:10" x14ac:dyDescent="0.35">
      <c r="A1648" s="2" t="s">
        <v>1684</v>
      </c>
      <c r="B1648" s="4">
        <v>78</v>
      </c>
      <c r="C1648" t="s">
        <v>17</v>
      </c>
      <c r="D1648" t="s">
        <v>36</v>
      </c>
      <c r="E1648" t="s">
        <v>27</v>
      </c>
      <c r="F1648" t="s">
        <v>20</v>
      </c>
      <c r="G1648" s="4">
        <v>10</v>
      </c>
      <c r="H1648" s="1">
        <v>6950</v>
      </c>
      <c r="I1648" s="3" t="s">
        <v>21</v>
      </c>
      <c r="J1648" s="4">
        <v>3</v>
      </c>
    </row>
    <row r="1649" spans="1:10" x14ac:dyDescent="0.35">
      <c r="A1649" s="2" t="s">
        <v>1685</v>
      </c>
      <c r="B1649" s="4">
        <v>62</v>
      </c>
      <c r="C1649" t="s">
        <v>11</v>
      </c>
      <c r="D1649" t="s">
        <v>41</v>
      </c>
      <c r="E1649" t="s">
        <v>65</v>
      </c>
      <c r="F1649" t="s">
        <v>14</v>
      </c>
      <c r="G1649" s="4">
        <v>15</v>
      </c>
      <c r="H1649" s="1">
        <v>27450</v>
      </c>
      <c r="I1649" s="3" t="s">
        <v>21</v>
      </c>
      <c r="J1649" s="4">
        <v>1</v>
      </c>
    </row>
    <row r="1650" spans="1:10" x14ac:dyDescent="0.35">
      <c r="A1650" s="2" t="s">
        <v>1686</v>
      </c>
      <c r="B1650" s="4">
        <v>81</v>
      </c>
      <c r="C1650" t="s">
        <v>17</v>
      </c>
      <c r="D1650" t="s">
        <v>36</v>
      </c>
      <c r="E1650" t="s">
        <v>19</v>
      </c>
      <c r="F1650" t="s">
        <v>14</v>
      </c>
      <c r="G1650" s="4">
        <v>12</v>
      </c>
      <c r="H1650" s="1">
        <v>37519</v>
      </c>
      <c r="I1650" s="3" t="s">
        <v>15</v>
      </c>
      <c r="J1650" s="4">
        <v>1</v>
      </c>
    </row>
    <row r="1651" spans="1:10" x14ac:dyDescent="0.35">
      <c r="A1651" s="2" t="s">
        <v>1687</v>
      </c>
      <c r="B1651" s="4">
        <v>70</v>
      </c>
      <c r="C1651" t="s">
        <v>11</v>
      </c>
      <c r="D1651" t="s">
        <v>18</v>
      </c>
      <c r="E1651" t="s">
        <v>19</v>
      </c>
      <c r="F1651" t="s">
        <v>30</v>
      </c>
      <c r="G1651" s="4">
        <v>4</v>
      </c>
      <c r="H1651" s="1">
        <v>63078</v>
      </c>
      <c r="I1651" s="3" t="s">
        <v>15</v>
      </c>
      <c r="J1651" s="4">
        <v>4</v>
      </c>
    </row>
    <row r="1652" spans="1:10" x14ac:dyDescent="0.35">
      <c r="A1652" s="2" t="s">
        <v>1688</v>
      </c>
      <c r="B1652" s="4">
        <v>38</v>
      </c>
      <c r="C1652" t="s">
        <v>17</v>
      </c>
      <c r="D1652" t="s">
        <v>33</v>
      </c>
      <c r="E1652" t="s">
        <v>34</v>
      </c>
      <c r="F1652" t="s">
        <v>30</v>
      </c>
      <c r="G1652" s="4">
        <v>15</v>
      </c>
      <c r="H1652" s="1">
        <v>15423</v>
      </c>
      <c r="I1652" s="3" t="s">
        <v>15</v>
      </c>
      <c r="J1652" s="4">
        <v>5</v>
      </c>
    </row>
    <row r="1653" spans="1:10" x14ac:dyDescent="0.35">
      <c r="A1653" s="2" t="s">
        <v>1689</v>
      </c>
      <c r="B1653" s="4">
        <v>62</v>
      </c>
      <c r="C1653" t="s">
        <v>11</v>
      </c>
      <c r="D1653" t="s">
        <v>36</v>
      </c>
      <c r="E1653" t="s">
        <v>19</v>
      </c>
      <c r="F1653" t="s">
        <v>20</v>
      </c>
      <c r="G1653" s="4">
        <v>7</v>
      </c>
      <c r="H1653" s="1">
        <v>55845</v>
      </c>
      <c r="I1653" s="3" t="s">
        <v>21</v>
      </c>
      <c r="J1653" s="4">
        <v>1</v>
      </c>
    </row>
    <row r="1654" spans="1:10" x14ac:dyDescent="0.35">
      <c r="A1654" s="2" t="s">
        <v>1690</v>
      </c>
      <c r="B1654" s="4">
        <v>59</v>
      </c>
      <c r="C1654" t="s">
        <v>11</v>
      </c>
      <c r="D1654" t="s">
        <v>33</v>
      </c>
      <c r="E1654" t="s">
        <v>24</v>
      </c>
      <c r="F1654" t="s">
        <v>20</v>
      </c>
      <c r="G1654" s="4">
        <v>1</v>
      </c>
      <c r="H1654" s="1">
        <v>82374</v>
      </c>
      <c r="I1654" s="3" t="s">
        <v>15</v>
      </c>
      <c r="J1654" s="4">
        <v>2</v>
      </c>
    </row>
    <row r="1655" spans="1:10" x14ac:dyDescent="0.35">
      <c r="A1655" s="2" t="s">
        <v>1691</v>
      </c>
      <c r="B1655" s="4">
        <v>46</v>
      </c>
      <c r="C1655" t="s">
        <v>11</v>
      </c>
      <c r="D1655" t="s">
        <v>39</v>
      </c>
      <c r="E1655" t="s">
        <v>34</v>
      </c>
      <c r="F1655" t="s">
        <v>30</v>
      </c>
      <c r="G1655" s="4">
        <v>14</v>
      </c>
      <c r="H1655" s="1">
        <v>38934</v>
      </c>
      <c r="I1655" s="3" t="s">
        <v>21</v>
      </c>
      <c r="J1655" s="4">
        <v>2</v>
      </c>
    </row>
    <row r="1656" spans="1:10" x14ac:dyDescent="0.35">
      <c r="A1656" s="2" t="s">
        <v>1692</v>
      </c>
      <c r="B1656" s="4">
        <v>36</v>
      </c>
      <c r="C1656" t="s">
        <v>17</v>
      </c>
      <c r="D1656" t="s">
        <v>41</v>
      </c>
      <c r="E1656" t="s">
        <v>65</v>
      </c>
      <c r="F1656" t="s">
        <v>20</v>
      </c>
      <c r="G1656" s="4">
        <v>8</v>
      </c>
      <c r="H1656" s="1">
        <v>98942</v>
      </c>
      <c r="I1656" s="3" t="s">
        <v>21</v>
      </c>
      <c r="J1656" s="4">
        <v>1</v>
      </c>
    </row>
    <row r="1657" spans="1:10" x14ac:dyDescent="0.35">
      <c r="A1657" s="2" t="s">
        <v>1693</v>
      </c>
      <c r="B1657" s="4">
        <v>62</v>
      </c>
      <c r="C1657" t="s">
        <v>17</v>
      </c>
      <c r="D1657" t="s">
        <v>39</v>
      </c>
      <c r="E1657" t="s">
        <v>53</v>
      </c>
      <c r="F1657" t="s">
        <v>30</v>
      </c>
      <c r="G1657" s="4">
        <v>4</v>
      </c>
      <c r="H1657" s="1">
        <v>73384</v>
      </c>
      <c r="I1657" s="3" t="s">
        <v>15</v>
      </c>
      <c r="J1657" s="4">
        <v>3</v>
      </c>
    </row>
    <row r="1658" spans="1:10" x14ac:dyDescent="0.35">
      <c r="A1658" s="2" t="s">
        <v>1694</v>
      </c>
      <c r="B1658" s="4">
        <v>52</v>
      </c>
      <c r="C1658" t="s">
        <v>11</v>
      </c>
      <c r="D1658" t="s">
        <v>28</v>
      </c>
      <c r="E1658" t="s">
        <v>19</v>
      </c>
      <c r="F1658" t="s">
        <v>14</v>
      </c>
      <c r="G1658" s="4">
        <v>1</v>
      </c>
      <c r="H1658" s="1">
        <v>50854</v>
      </c>
      <c r="I1658" s="3" t="s">
        <v>15</v>
      </c>
      <c r="J1658" s="4">
        <v>3</v>
      </c>
    </row>
    <row r="1659" spans="1:10" x14ac:dyDescent="0.35">
      <c r="A1659" s="2" t="s">
        <v>1695</v>
      </c>
      <c r="B1659" s="4">
        <v>49</v>
      </c>
      <c r="C1659" t="s">
        <v>11</v>
      </c>
      <c r="D1659" t="s">
        <v>28</v>
      </c>
      <c r="E1659" t="s">
        <v>42</v>
      </c>
      <c r="F1659" t="s">
        <v>30</v>
      </c>
      <c r="G1659" s="4">
        <v>10</v>
      </c>
      <c r="H1659" s="1">
        <v>70092</v>
      </c>
      <c r="I1659" s="3" t="s">
        <v>21</v>
      </c>
      <c r="J1659" s="4">
        <v>4</v>
      </c>
    </row>
    <row r="1660" spans="1:10" x14ac:dyDescent="0.35">
      <c r="A1660" s="2" t="s">
        <v>1696</v>
      </c>
      <c r="B1660" s="4">
        <v>62</v>
      </c>
      <c r="C1660" t="s">
        <v>11</v>
      </c>
      <c r="D1660" t="s">
        <v>23</v>
      </c>
      <c r="E1660" t="s">
        <v>27</v>
      </c>
      <c r="F1660" t="s">
        <v>14</v>
      </c>
      <c r="G1660" s="4">
        <v>6</v>
      </c>
      <c r="H1660" s="1">
        <v>36402</v>
      </c>
      <c r="I1660" s="3" t="s">
        <v>15</v>
      </c>
      <c r="J1660" s="4">
        <v>3</v>
      </c>
    </row>
    <row r="1661" spans="1:10" x14ac:dyDescent="0.35">
      <c r="A1661" s="2" t="s">
        <v>1697</v>
      </c>
      <c r="B1661" s="4">
        <v>27</v>
      </c>
      <c r="C1661" t="s">
        <v>11</v>
      </c>
      <c r="D1661" t="s">
        <v>26</v>
      </c>
      <c r="E1661" t="s">
        <v>34</v>
      </c>
      <c r="F1661" t="s">
        <v>30</v>
      </c>
      <c r="G1661" s="4">
        <v>3</v>
      </c>
      <c r="H1661" s="1">
        <v>8852</v>
      </c>
      <c r="I1661" s="3" t="s">
        <v>15</v>
      </c>
      <c r="J1661" s="4">
        <v>3</v>
      </c>
    </row>
    <row r="1662" spans="1:10" x14ac:dyDescent="0.35">
      <c r="A1662" s="2" t="s">
        <v>1698</v>
      </c>
      <c r="B1662" s="4">
        <v>17</v>
      </c>
      <c r="C1662" t="s">
        <v>11</v>
      </c>
      <c r="D1662" t="s">
        <v>41</v>
      </c>
      <c r="E1662" t="s">
        <v>65</v>
      </c>
      <c r="F1662" t="s">
        <v>30</v>
      </c>
      <c r="G1662" s="4">
        <v>11</v>
      </c>
      <c r="H1662" s="1">
        <v>71196</v>
      </c>
      <c r="I1662" s="3" t="s">
        <v>21</v>
      </c>
      <c r="J1662" s="4">
        <v>2</v>
      </c>
    </row>
    <row r="1663" spans="1:10" x14ac:dyDescent="0.35">
      <c r="A1663" s="2" t="s">
        <v>1699</v>
      </c>
      <c r="B1663" s="4">
        <v>43</v>
      </c>
      <c r="C1663" t="s">
        <v>17</v>
      </c>
      <c r="D1663" t="s">
        <v>18</v>
      </c>
      <c r="E1663" t="s">
        <v>24</v>
      </c>
      <c r="F1663" t="s">
        <v>20</v>
      </c>
      <c r="G1663" s="4">
        <v>11</v>
      </c>
      <c r="H1663" s="1">
        <v>74512</v>
      </c>
      <c r="I1663" s="3" t="s">
        <v>15</v>
      </c>
      <c r="J1663" s="4">
        <v>4</v>
      </c>
    </row>
    <row r="1664" spans="1:10" x14ac:dyDescent="0.35">
      <c r="A1664" s="2" t="s">
        <v>1700</v>
      </c>
      <c r="B1664" s="4">
        <v>51</v>
      </c>
      <c r="C1664" t="s">
        <v>11</v>
      </c>
      <c r="D1664" t="s">
        <v>33</v>
      </c>
      <c r="E1664" t="s">
        <v>29</v>
      </c>
      <c r="F1664" t="s">
        <v>20</v>
      </c>
      <c r="G1664" s="4">
        <v>8</v>
      </c>
      <c r="H1664" s="1">
        <v>34785</v>
      </c>
      <c r="I1664" s="3" t="s">
        <v>21</v>
      </c>
      <c r="J1664" s="4">
        <v>2</v>
      </c>
    </row>
    <row r="1665" spans="1:10" x14ac:dyDescent="0.35">
      <c r="A1665" s="2" t="s">
        <v>1701</v>
      </c>
      <c r="B1665" s="4">
        <v>86</v>
      </c>
      <c r="C1665" t="s">
        <v>11</v>
      </c>
      <c r="D1665" t="s">
        <v>33</v>
      </c>
      <c r="E1665" t="s">
        <v>24</v>
      </c>
      <c r="F1665" t="s">
        <v>30</v>
      </c>
      <c r="G1665" s="4">
        <v>15</v>
      </c>
      <c r="H1665" s="1">
        <v>58422</v>
      </c>
      <c r="I1665" s="3" t="s">
        <v>21</v>
      </c>
      <c r="J1665" s="4">
        <v>2</v>
      </c>
    </row>
    <row r="1666" spans="1:10" x14ac:dyDescent="0.35">
      <c r="A1666" s="2" t="s">
        <v>1702</v>
      </c>
      <c r="B1666" s="4">
        <v>9</v>
      </c>
      <c r="C1666" t="s">
        <v>17</v>
      </c>
      <c r="D1666" t="s">
        <v>18</v>
      </c>
      <c r="E1666" t="s">
        <v>34</v>
      </c>
      <c r="F1666" t="s">
        <v>14</v>
      </c>
      <c r="G1666" s="4">
        <v>13</v>
      </c>
      <c r="H1666" s="1">
        <v>86051</v>
      </c>
      <c r="I1666" s="3" t="s">
        <v>21</v>
      </c>
      <c r="J1666" s="4">
        <v>5</v>
      </c>
    </row>
    <row r="1667" spans="1:10" x14ac:dyDescent="0.35">
      <c r="A1667" s="2" t="s">
        <v>1703</v>
      </c>
      <c r="B1667" s="4">
        <v>44</v>
      </c>
      <c r="C1667" t="s">
        <v>17</v>
      </c>
      <c r="D1667" t="s">
        <v>28</v>
      </c>
      <c r="E1667" t="s">
        <v>37</v>
      </c>
      <c r="F1667" t="s">
        <v>14</v>
      </c>
      <c r="G1667" s="4">
        <v>7</v>
      </c>
      <c r="H1667" s="1">
        <v>31841</v>
      </c>
      <c r="I1667" s="3" t="s">
        <v>21</v>
      </c>
      <c r="J1667" s="4">
        <v>1</v>
      </c>
    </row>
    <row r="1668" spans="1:10" x14ac:dyDescent="0.35">
      <c r="A1668" s="2" t="s">
        <v>1704</v>
      </c>
      <c r="B1668" s="4">
        <v>36</v>
      </c>
      <c r="C1668" t="s">
        <v>17</v>
      </c>
      <c r="D1668" t="s">
        <v>49</v>
      </c>
      <c r="E1668" t="s">
        <v>29</v>
      </c>
      <c r="F1668" t="s">
        <v>20</v>
      </c>
      <c r="G1668" s="4">
        <v>7</v>
      </c>
      <c r="H1668" s="1">
        <v>82860</v>
      </c>
      <c r="I1668" s="3" t="s">
        <v>21</v>
      </c>
      <c r="J1668" s="4">
        <v>3</v>
      </c>
    </row>
    <row r="1669" spans="1:10" x14ac:dyDescent="0.35">
      <c r="A1669" s="2" t="s">
        <v>1705</v>
      </c>
      <c r="B1669" s="4">
        <v>28</v>
      </c>
      <c r="C1669" t="s">
        <v>17</v>
      </c>
      <c r="D1669" t="s">
        <v>26</v>
      </c>
      <c r="E1669" t="s">
        <v>53</v>
      </c>
      <c r="F1669" t="s">
        <v>30</v>
      </c>
      <c r="G1669" s="4">
        <v>6</v>
      </c>
      <c r="H1669" s="1">
        <v>45195</v>
      </c>
      <c r="I1669" s="3" t="s">
        <v>21</v>
      </c>
      <c r="J1669" s="4">
        <v>3</v>
      </c>
    </row>
    <row r="1670" spans="1:10" x14ac:dyDescent="0.35">
      <c r="A1670" s="2" t="s">
        <v>1706</v>
      </c>
      <c r="B1670" s="4">
        <v>37</v>
      </c>
      <c r="C1670" t="s">
        <v>17</v>
      </c>
      <c r="D1670" t="s">
        <v>18</v>
      </c>
      <c r="E1670" t="s">
        <v>53</v>
      </c>
      <c r="F1670" t="s">
        <v>20</v>
      </c>
      <c r="G1670" s="4">
        <v>15</v>
      </c>
      <c r="H1670" s="1">
        <v>59335</v>
      </c>
      <c r="I1670" s="3" t="s">
        <v>21</v>
      </c>
      <c r="J1670" s="4">
        <v>3</v>
      </c>
    </row>
    <row r="1671" spans="1:10" x14ac:dyDescent="0.35">
      <c r="A1671" s="2" t="s">
        <v>1707</v>
      </c>
      <c r="B1671" s="4">
        <v>22</v>
      </c>
      <c r="C1671" t="s">
        <v>11</v>
      </c>
      <c r="D1671" t="s">
        <v>18</v>
      </c>
      <c r="E1671" t="s">
        <v>42</v>
      </c>
      <c r="F1671" t="s">
        <v>14</v>
      </c>
      <c r="G1671" s="4">
        <v>4</v>
      </c>
      <c r="H1671" s="1">
        <v>89386</v>
      </c>
      <c r="I1671" s="3" t="s">
        <v>15</v>
      </c>
      <c r="J1671" s="4">
        <v>4</v>
      </c>
    </row>
    <row r="1672" spans="1:10" x14ac:dyDescent="0.35">
      <c r="A1672" s="2" t="s">
        <v>1708</v>
      </c>
      <c r="B1672" s="4">
        <v>64</v>
      </c>
      <c r="C1672" t="s">
        <v>17</v>
      </c>
      <c r="D1672" t="s">
        <v>33</v>
      </c>
      <c r="E1672" t="s">
        <v>53</v>
      </c>
      <c r="F1672" t="s">
        <v>30</v>
      </c>
      <c r="G1672" s="4">
        <v>10</v>
      </c>
      <c r="H1672" s="1">
        <v>19135</v>
      </c>
      <c r="I1672" s="3" t="s">
        <v>21</v>
      </c>
      <c r="J1672" s="4">
        <v>3</v>
      </c>
    </row>
    <row r="1673" spans="1:10" x14ac:dyDescent="0.35">
      <c r="A1673" s="2" t="s">
        <v>1709</v>
      </c>
      <c r="B1673" s="4">
        <v>72</v>
      </c>
      <c r="C1673" t="s">
        <v>17</v>
      </c>
      <c r="D1673" t="s">
        <v>23</v>
      </c>
      <c r="E1673" t="s">
        <v>13</v>
      </c>
      <c r="F1673" t="s">
        <v>30</v>
      </c>
      <c r="G1673" s="4">
        <v>2</v>
      </c>
      <c r="H1673" s="1">
        <v>10985</v>
      </c>
      <c r="I1673" s="3" t="s">
        <v>15</v>
      </c>
      <c r="J1673" s="4">
        <v>5</v>
      </c>
    </row>
    <row r="1674" spans="1:10" x14ac:dyDescent="0.35">
      <c r="A1674" s="2" t="s">
        <v>1710</v>
      </c>
      <c r="B1674" s="4">
        <v>75</v>
      </c>
      <c r="C1674" t="s">
        <v>11</v>
      </c>
      <c r="D1674" t="s">
        <v>12</v>
      </c>
      <c r="E1674" t="s">
        <v>42</v>
      </c>
      <c r="F1674" t="s">
        <v>20</v>
      </c>
      <c r="G1674" s="4">
        <v>14</v>
      </c>
      <c r="H1674" s="1">
        <v>95888</v>
      </c>
      <c r="I1674" s="3" t="s">
        <v>21</v>
      </c>
      <c r="J1674" s="4">
        <v>4</v>
      </c>
    </row>
    <row r="1675" spans="1:10" x14ac:dyDescent="0.35">
      <c r="A1675" s="2" t="s">
        <v>1711</v>
      </c>
      <c r="B1675" s="4">
        <v>8</v>
      </c>
      <c r="C1675" t="s">
        <v>17</v>
      </c>
      <c r="D1675" t="s">
        <v>49</v>
      </c>
      <c r="E1675" t="s">
        <v>42</v>
      </c>
      <c r="F1675" t="s">
        <v>20</v>
      </c>
      <c r="G1675" s="4">
        <v>8</v>
      </c>
      <c r="H1675" s="1">
        <v>67622</v>
      </c>
      <c r="I1675" s="3" t="s">
        <v>15</v>
      </c>
      <c r="J1675" s="4">
        <v>1</v>
      </c>
    </row>
    <row r="1676" spans="1:10" x14ac:dyDescent="0.35">
      <c r="A1676" s="2" t="s">
        <v>1712</v>
      </c>
      <c r="B1676" s="4">
        <v>5</v>
      </c>
      <c r="C1676" t="s">
        <v>11</v>
      </c>
      <c r="D1676" t="s">
        <v>28</v>
      </c>
      <c r="E1676" t="s">
        <v>53</v>
      </c>
      <c r="F1676" t="s">
        <v>14</v>
      </c>
      <c r="G1676" s="4">
        <v>10</v>
      </c>
      <c r="H1676" s="1">
        <v>56687</v>
      </c>
      <c r="I1676" s="3" t="s">
        <v>15</v>
      </c>
      <c r="J1676" s="4">
        <v>4</v>
      </c>
    </row>
    <row r="1677" spans="1:10" x14ac:dyDescent="0.35">
      <c r="A1677" s="2" t="s">
        <v>1713</v>
      </c>
      <c r="B1677" s="4">
        <v>13</v>
      </c>
      <c r="C1677" t="s">
        <v>11</v>
      </c>
      <c r="D1677" t="s">
        <v>26</v>
      </c>
      <c r="E1677" t="s">
        <v>53</v>
      </c>
      <c r="F1677" t="s">
        <v>14</v>
      </c>
      <c r="G1677" s="4">
        <v>10</v>
      </c>
      <c r="H1677" s="1">
        <v>99327</v>
      </c>
      <c r="I1677" s="3" t="s">
        <v>21</v>
      </c>
      <c r="J1677" s="4">
        <v>4</v>
      </c>
    </row>
    <row r="1678" spans="1:10" x14ac:dyDescent="0.35">
      <c r="A1678" s="2" t="s">
        <v>1714</v>
      </c>
      <c r="B1678" s="4">
        <v>21</v>
      </c>
      <c r="C1678" t="s">
        <v>11</v>
      </c>
      <c r="D1678" t="s">
        <v>12</v>
      </c>
      <c r="E1678" t="s">
        <v>42</v>
      </c>
      <c r="F1678" t="s">
        <v>20</v>
      </c>
      <c r="G1678" s="4">
        <v>9</v>
      </c>
      <c r="H1678" s="1">
        <v>65957</v>
      </c>
      <c r="I1678" s="3" t="s">
        <v>21</v>
      </c>
      <c r="J1678" s="4">
        <v>1</v>
      </c>
    </row>
    <row r="1679" spans="1:10" x14ac:dyDescent="0.35">
      <c r="A1679" s="2" t="s">
        <v>1715</v>
      </c>
      <c r="B1679" s="4">
        <v>15</v>
      </c>
      <c r="C1679" t="s">
        <v>11</v>
      </c>
      <c r="D1679" t="s">
        <v>28</v>
      </c>
      <c r="E1679" t="s">
        <v>19</v>
      </c>
      <c r="F1679" t="s">
        <v>30</v>
      </c>
      <c r="G1679" s="4">
        <v>9</v>
      </c>
      <c r="H1679" s="1">
        <v>38952</v>
      </c>
      <c r="I1679" s="3" t="s">
        <v>15</v>
      </c>
      <c r="J1679" s="4">
        <v>1</v>
      </c>
    </row>
    <row r="1680" spans="1:10" x14ac:dyDescent="0.35">
      <c r="A1680" s="2" t="s">
        <v>1716</v>
      </c>
      <c r="B1680" s="4">
        <v>2</v>
      </c>
      <c r="C1680" t="s">
        <v>11</v>
      </c>
      <c r="D1680" t="s">
        <v>49</v>
      </c>
      <c r="E1680" t="s">
        <v>13</v>
      </c>
      <c r="F1680" t="s">
        <v>30</v>
      </c>
      <c r="G1680" s="4">
        <v>7</v>
      </c>
      <c r="H1680" s="1">
        <v>91041</v>
      </c>
      <c r="I1680" s="3" t="s">
        <v>21</v>
      </c>
      <c r="J1680" s="4">
        <v>3</v>
      </c>
    </row>
    <row r="1681" spans="1:10" x14ac:dyDescent="0.35">
      <c r="A1681" s="2" t="s">
        <v>1717</v>
      </c>
      <c r="B1681" s="4">
        <v>61</v>
      </c>
      <c r="C1681" t="s">
        <v>17</v>
      </c>
      <c r="D1681" t="s">
        <v>33</v>
      </c>
      <c r="E1681" t="s">
        <v>19</v>
      </c>
      <c r="F1681" t="s">
        <v>20</v>
      </c>
      <c r="G1681" s="4">
        <v>12</v>
      </c>
      <c r="H1681" s="1">
        <v>56948</v>
      </c>
      <c r="I1681" s="3" t="s">
        <v>21</v>
      </c>
      <c r="J1681" s="4">
        <v>1</v>
      </c>
    </row>
    <row r="1682" spans="1:10" x14ac:dyDescent="0.35">
      <c r="A1682" s="2" t="s">
        <v>1718</v>
      </c>
      <c r="B1682" s="4">
        <v>19</v>
      </c>
      <c r="C1682" t="s">
        <v>17</v>
      </c>
      <c r="D1682" t="s">
        <v>36</v>
      </c>
      <c r="E1682" t="s">
        <v>27</v>
      </c>
      <c r="F1682" t="s">
        <v>30</v>
      </c>
      <c r="G1682" s="4">
        <v>10</v>
      </c>
      <c r="H1682" s="1">
        <v>80950</v>
      </c>
      <c r="I1682" s="3" t="s">
        <v>21</v>
      </c>
      <c r="J1682" s="4">
        <v>5</v>
      </c>
    </row>
    <row r="1683" spans="1:10" x14ac:dyDescent="0.35">
      <c r="A1683" s="2" t="s">
        <v>1719</v>
      </c>
      <c r="B1683" s="4">
        <v>80</v>
      </c>
      <c r="C1683" t="s">
        <v>17</v>
      </c>
      <c r="D1683" t="s">
        <v>39</v>
      </c>
      <c r="E1683" t="s">
        <v>65</v>
      </c>
      <c r="F1683" t="s">
        <v>14</v>
      </c>
      <c r="G1683" s="4">
        <v>9</v>
      </c>
      <c r="H1683" s="1">
        <v>39894</v>
      </c>
      <c r="I1683" s="3" t="s">
        <v>15</v>
      </c>
      <c r="J1683" s="4">
        <v>3</v>
      </c>
    </row>
    <row r="1684" spans="1:10" x14ac:dyDescent="0.35">
      <c r="A1684" s="2" t="s">
        <v>1720</v>
      </c>
      <c r="B1684" s="4">
        <v>86</v>
      </c>
      <c r="C1684" t="s">
        <v>11</v>
      </c>
      <c r="D1684" t="s">
        <v>28</v>
      </c>
      <c r="E1684" t="s">
        <v>29</v>
      </c>
      <c r="F1684" t="s">
        <v>20</v>
      </c>
      <c r="G1684" s="4">
        <v>4</v>
      </c>
      <c r="H1684" s="1">
        <v>12064</v>
      </c>
      <c r="I1684" s="3" t="s">
        <v>15</v>
      </c>
      <c r="J1684" s="4">
        <v>1</v>
      </c>
    </row>
    <row r="1685" spans="1:10" x14ac:dyDescent="0.35">
      <c r="A1685" s="2" t="s">
        <v>1721</v>
      </c>
      <c r="B1685" s="4">
        <v>77</v>
      </c>
      <c r="C1685" t="s">
        <v>17</v>
      </c>
      <c r="D1685" t="s">
        <v>36</v>
      </c>
      <c r="E1685" t="s">
        <v>13</v>
      </c>
      <c r="F1685" t="s">
        <v>30</v>
      </c>
      <c r="G1685" s="4">
        <v>3</v>
      </c>
      <c r="H1685" s="1">
        <v>12692</v>
      </c>
      <c r="I1685" s="3" t="s">
        <v>21</v>
      </c>
      <c r="J1685" s="4">
        <v>3</v>
      </c>
    </row>
    <row r="1686" spans="1:10" x14ac:dyDescent="0.35">
      <c r="A1686" s="2" t="s">
        <v>1722</v>
      </c>
      <c r="B1686" s="4">
        <v>41</v>
      </c>
      <c r="C1686" t="s">
        <v>17</v>
      </c>
      <c r="D1686" t="s">
        <v>49</v>
      </c>
      <c r="E1686" t="s">
        <v>37</v>
      </c>
      <c r="F1686" t="s">
        <v>20</v>
      </c>
      <c r="G1686" s="4">
        <v>13</v>
      </c>
      <c r="H1686" s="1">
        <v>22475</v>
      </c>
      <c r="I1686" s="3" t="s">
        <v>15</v>
      </c>
      <c r="J1686" s="4">
        <v>4</v>
      </c>
    </row>
    <row r="1687" spans="1:10" x14ac:dyDescent="0.35">
      <c r="A1687" s="2" t="s">
        <v>1723</v>
      </c>
      <c r="B1687" s="4">
        <v>13</v>
      </c>
      <c r="C1687" t="s">
        <v>17</v>
      </c>
      <c r="D1687" t="s">
        <v>23</v>
      </c>
      <c r="E1687" t="s">
        <v>27</v>
      </c>
      <c r="F1687" t="s">
        <v>20</v>
      </c>
      <c r="G1687" s="4">
        <v>2</v>
      </c>
      <c r="H1687" s="1">
        <v>98347</v>
      </c>
      <c r="I1687" s="3" t="s">
        <v>21</v>
      </c>
      <c r="J1687" s="4">
        <v>5</v>
      </c>
    </row>
    <row r="1688" spans="1:10" x14ac:dyDescent="0.35">
      <c r="A1688" s="2" t="s">
        <v>1724</v>
      </c>
      <c r="B1688" s="4">
        <v>11</v>
      </c>
      <c r="C1688" t="s">
        <v>17</v>
      </c>
      <c r="D1688" t="s">
        <v>49</v>
      </c>
      <c r="E1688" t="s">
        <v>65</v>
      </c>
      <c r="F1688" t="s">
        <v>20</v>
      </c>
      <c r="G1688" s="4">
        <v>4</v>
      </c>
      <c r="H1688" s="1">
        <v>66660</v>
      </c>
      <c r="I1688" s="3" t="s">
        <v>21</v>
      </c>
      <c r="J1688" s="4">
        <v>2</v>
      </c>
    </row>
    <row r="1689" spans="1:10" x14ac:dyDescent="0.35">
      <c r="A1689" s="2" t="s">
        <v>1725</v>
      </c>
      <c r="B1689" s="4">
        <v>40</v>
      </c>
      <c r="C1689" t="s">
        <v>17</v>
      </c>
      <c r="D1689" t="s">
        <v>41</v>
      </c>
      <c r="E1689" t="s">
        <v>29</v>
      </c>
      <c r="F1689" t="s">
        <v>20</v>
      </c>
      <c r="G1689" s="4">
        <v>5</v>
      </c>
      <c r="H1689" s="1">
        <v>55146</v>
      </c>
      <c r="I1689" s="3" t="s">
        <v>21</v>
      </c>
      <c r="J1689" s="4">
        <v>1</v>
      </c>
    </row>
    <row r="1690" spans="1:10" x14ac:dyDescent="0.35">
      <c r="A1690" s="2" t="s">
        <v>1726</v>
      </c>
      <c r="B1690" s="4">
        <v>8</v>
      </c>
      <c r="C1690" t="s">
        <v>17</v>
      </c>
      <c r="D1690" t="s">
        <v>28</v>
      </c>
      <c r="E1690" t="s">
        <v>19</v>
      </c>
      <c r="F1690" t="s">
        <v>20</v>
      </c>
      <c r="G1690" s="4">
        <v>6</v>
      </c>
      <c r="H1690" s="1">
        <v>23537</v>
      </c>
      <c r="I1690" s="3" t="s">
        <v>15</v>
      </c>
      <c r="J1690" s="4">
        <v>2</v>
      </c>
    </row>
    <row r="1691" spans="1:10" x14ac:dyDescent="0.35">
      <c r="A1691" s="2" t="s">
        <v>1727</v>
      </c>
      <c r="B1691" s="4">
        <v>36</v>
      </c>
      <c r="C1691" t="s">
        <v>17</v>
      </c>
      <c r="D1691" t="s">
        <v>18</v>
      </c>
      <c r="E1691" t="s">
        <v>13</v>
      </c>
      <c r="F1691" t="s">
        <v>14</v>
      </c>
      <c r="G1691" s="4">
        <v>4</v>
      </c>
      <c r="H1691" s="1">
        <v>90833</v>
      </c>
      <c r="I1691" s="3" t="s">
        <v>21</v>
      </c>
      <c r="J1691" s="4">
        <v>2</v>
      </c>
    </row>
    <row r="1692" spans="1:10" x14ac:dyDescent="0.35">
      <c r="A1692" s="2" t="s">
        <v>1728</v>
      </c>
      <c r="B1692" s="4">
        <v>50</v>
      </c>
      <c r="C1692" t="s">
        <v>17</v>
      </c>
      <c r="D1692" t="s">
        <v>23</v>
      </c>
      <c r="E1692" t="s">
        <v>19</v>
      </c>
      <c r="F1692" t="s">
        <v>20</v>
      </c>
      <c r="G1692" s="4">
        <v>3</v>
      </c>
      <c r="H1692" s="1">
        <v>88437</v>
      </c>
      <c r="I1692" s="3" t="s">
        <v>15</v>
      </c>
      <c r="J1692" s="4">
        <v>5</v>
      </c>
    </row>
    <row r="1693" spans="1:10" x14ac:dyDescent="0.35">
      <c r="A1693" s="2" t="s">
        <v>1729</v>
      </c>
      <c r="B1693" s="4">
        <v>48</v>
      </c>
      <c r="C1693" t="s">
        <v>17</v>
      </c>
      <c r="D1693" t="s">
        <v>49</v>
      </c>
      <c r="E1693" t="s">
        <v>34</v>
      </c>
      <c r="F1693" t="s">
        <v>14</v>
      </c>
      <c r="G1693" s="4">
        <v>2</v>
      </c>
      <c r="H1693" s="1">
        <v>5222</v>
      </c>
      <c r="I1693" s="3" t="s">
        <v>21</v>
      </c>
      <c r="J1693" s="4">
        <v>5</v>
      </c>
    </row>
    <row r="1694" spans="1:10" x14ac:dyDescent="0.35">
      <c r="A1694" s="2" t="s">
        <v>1730</v>
      </c>
      <c r="B1694" s="4">
        <v>81</v>
      </c>
      <c r="C1694" t="s">
        <v>11</v>
      </c>
      <c r="D1694" t="s">
        <v>36</v>
      </c>
      <c r="E1694" t="s">
        <v>42</v>
      </c>
      <c r="F1694" t="s">
        <v>14</v>
      </c>
      <c r="G1694" s="4">
        <v>15</v>
      </c>
      <c r="H1694" s="1">
        <v>28793</v>
      </c>
      <c r="I1694" s="3" t="s">
        <v>15</v>
      </c>
      <c r="J1694" s="4">
        <v>4</v>
      </c>
    </row>
    <row r="1695" spans="1:10" x14ac:dyDescent="0.35">
      <c r="A1695" s="2" t="s">
        <v>1731</v>
      </c>
      <c r="B1695" s="4">
        <v>66</v>
      </c>
      <c r="C1695" t="s">
        <v>17</v>
      </c>
      <c r="D1695" t="s">
        <v>12</v>
      </c>
      <c r="E1695" t="s">
        <v>53</v>
      </c>
      <c r="F1695" t="s">
        <v>14</v>
      </c>
      <c r="G1695" s="4">
        <v>11</v>
      </c>
      <c r="H1695" s="1">
        <v>70045</v>
      </c>
      <c r="I1695" s="3" t="s">
        <v>15</v>
      </c>
      <c r="J1695" s="4">
        <v>3</v>
      </c>
    </row>
    <row r="1696" spans="1:10" x14ac:dyDescent="0.35">
      <c r="A1696" s="2" t="s">
        <v>1732</v>
      </c>
      <c r="B1696" s="4">
        <v>90</v>
      </c>
      <c r="C1696" t="s">
        <v>17</v>
      </c>
      <c r="D1696" t="s">
        <v>39</v>
      </c>
      <c r="E1696" t="s">
        <v>27</v>
      </c>
      <c r="F1696" t="s">
        <v>20</v>
      </c>
      <c r="G1696" s="4">
        <v>2</v>
      </c>
      <c r="H1696" s="1">
        <v>94415</v>
      </c>
      <c r="I1696" s="3" t="s">
        <v>21</v>
      </c>
      <c r="J1696" s="4">
        <v>5</v>
      </c>
    </row>
    <row r="1697" spans="1:10" x14ac:dyDescent="0.35">
      <c r="A1697" s="2" t="s">
        <v>1733</v>
      </c>
      <c r="B1697" s="4">
        <v>29</v>
      </c>
      <c r="C1697" t="s">
        <v>11</v>
      </c>
      <c r="D1697" t="s">
        <v>28</v>
      </c>
      <c r="E1697" t="s">
        <v>24</v>
      </c>
      <c r="F1697" t="s">
        <v>30</v>
      </c>
      <c r="G1697" s="4">
        <v>5</v>
      </c>
      <c r="H1697" s="1">
        <v>63835</v>
      </c>
      <c r="I1697" s="3" t="s">
        <v>21</v>
      </c>
      <c r="J1697" s="4">
        <v>3</v>
      </c>
    </row>
    <row r="1698" spans="1:10" x14ac:dyDescent="0.35">
      <c r="A1698" s="2" t="s">
        <v>1734</v>
      </c>
      <c r="B1698" s="4">
        <v>82</v>
      </c>
      <c r="C1698" t="s">
        <v>17</v>
      </c>
      <c r="D1698" t="s">
        <v>18</v>
      </c>
      <c r="E1698" t="s">
        <v>24</v>
      </c>
      <c r="F1698" t="s">
        <v>30</v>
      </c>
      <c r="G1698" s="4">
        <v>12</v>
      </c>
      <c r="H1698" s="1">
        <v>10363</v>
      </c>
      <c r="I1698" s="3" t="s">
        <v>21</v>
      </c>
      <c r="J1698" s="4">
        <v>5</v>
      </c>
    </row>
    <row r="1699" spans="1:10" x14ac:dyDescent="0.35">
      <c r="A1699" s="2" t="s">
        <v>1735</v>
      </c>
      <c r="B1699" s="4">
        <v>40</v>
      </c>
      <c r="C1699" t="s">
        <v>17</v>
      </c>
      <c r="D1699" t="s">
        <v>33</v>
      </c>
      <c r="E1699" t="s">
        <v>34</v>
      </c>
      <c r="F1699" t="s">
        <v>14</v>
      </c>
      <c r="G1699" s="4">
        <v>3</v>
      </c>
      <c r="H1699" s="1">
        <v>28028</v>
      </c>
      <c r="I1699" s="3" t="s">
        <v>21</v>
      </c>
      <c r="J1699" s="4">
        <v>2</v>
      </c>
    </row>
    <row r="1700" spans="1:10" x14ac:dyDescent="0.35">
      <c r="A1700" s="2" t="s">
        <v>1736</v>
      </c>
      <c r="B1700" s="4">
        <v>62</v>
      </c>
      <c r="C1700" t="s">
        <v>17</v>
      </c>
      <c r="D1700" t="s">
        <v>36</v>
      </c>
      <c r="E1700" t="s">
        <v>19</v>
      </c>
      <c r="F1700" t="s">
        <v>20</v>
      </c>
      <c r="G1700" s="4">
        <v>13</v>
      </c>
      <c r="H1700" s="1">
        <v>90783</v>
      </c>
      <c r="I1700" s="3" t="s">
        <v>15</v>
      </c>
      <c r="J1700" s="4">
        <v>1</v>
      </c>
    </row>
    <row r="1701" spans="1:10" x14ac:dyDescent="0.35">
      <c r="A1701" s="2" t="s">
        <v>1737</v>
      </c>
      <c r="B1701" s="4">
        <v>25</v>
      </c>
      <c r="C1701" t="s">
        <v>11</v>
      </c>
      <c r="D1701" t="s">
        <v>39</v>
      </c>
      <c r="E1701" t="s">
        <v>19</v>
      </c>
      <c r="F1701" t="s">
        <v>30</v>
      </c>
      <c r="G1701" s="4">
        <v>11</v>
      </c>
      <c r="H1701" s="1">
        <v>6180</v>
      </c>
      <c r="I1701" s="3" t="s">
        <v>15</v>
      </c>
      <c r="J1701" s="4">
        <v>5</v>
      </c>
    </row>
    <row r="1702" spans="1:10" x14ac:dyDescent="0.35">
      <c r="A1702" s="2" t="s">
        <v>1738</v>
      </c>
      <c r="B1702" s="4">
        <v>11</v>
      </c>
      <c r="C1702" t="s">
        <v>11</v>
      </c>
      <c r="D1702" t="s">
        <v>33</v>
      </c>
      <c r="E1702" t="s">
        <v>29</v>
      </c>
      <c r="F1702" t="s">
        <v>14</v>
      </c>
      <c r="G1702" s="4">
        <v>6</v>
      </c>
      <c r="H1702" s="1">
        <v>65540</v>
      </c>
      <c r="I1702" s="3" t="s">
        <v>21</v>
      </c>
      <c r="J1702" s="4">
        <v>1</v>
      </c>
    </row>
    <row r="1703" spans="1:10" x14ac:dyDescent="0.35">
      <c r="A1703" s="2" t="s">
        <v>1739</v>
      </c>
      <c r="B1703" s="4">
        <v>62</v>
      </c>
      <c r="C1703" t="s">
        <v>17</v>
      </c>
      <c r="D1703" t="s">
        <v>18</v>
      </c>
      <c r="E1703" t="s">
        <v>34</v>
      </c>
      <c r="F1703" t="s">
        <v>14</v>
      </c>
      <c r="G1703" s="4">
        <v>10</v>
      </c>
      <c r="H1703" s="1">
        <v>70381</v>
      </c>
      <c r="I1703" s="3" t="s">
        <v>15</v>
      </c>
      <c r="J1703" s="4">
        <v>3</v>
      </c>
    </row>
    <row r="1704" spans="1:10" x14ac:dyDescent="0.35">
      <c r="A1704" s="2" t="s">
        <v>1740</v>
      </c>
      <c r="B1704" s="4">
        <v>45</v>
      </c>
      <c r="C1704" t="s">
        <v>11</v>
      </c>
      <c r="D1704" t="s">
        <v>26</v>
      </c>
      <c r="E1704" t="s">
        <v>34</v>
      </c>
      <c r="F1704" t="s">
        <v>30</v>
      </c>
      <c r="G1704" s="4">
        <v>2</v>
      </c>
      <c r="H1704" s="1">
        <v>66678</v>
      </c>
      <c r="I1704" s="3" t="s">
        <v>15</v>
      </c>
      <c r="J1704" s="4">
        <v>5</v>
      </c>
    </row>
    <row r="1705" spans="1:10" x14ac:dyDescent="0.35">
      <c r="A1705" s="2" t="s">
        <v>1741</v>
      </c>
      <c r="B1705" s="4">
        <v>25</v>
      </c>
      <c r="C1705" t="s">
        <v>17</v>
      </c>
      <c r="D1705" t="s">
        <v>39</v>
      </c>
      <c r="E1705" t="s">
        <v>65</v>
      </c>
      <c r="F1705" t="s">
        <v>30</v>
      </c>
      <c r="G1705" s="4">
        <v>8</v>
      </c>
      <c r="H1705" s="1">
        <v>98563</v>
      </c>
      <c r="I1705" s="3" t="s">
        <v>15</v>
      </c>
      <c r="J1705" s="4">
        <v>5</v>
      </c>
    </row>
    <row r="1706" spans="1:10" x14ac:dyDescent="0.35">
      <c r="A1706" s="2" t="s">
        <v>1742</v>
      </c>
      <c r="B1706" s="4">
        <v>38</v>
      </c>
      <c r="C1706" t="s">
        <v>17</v>
      </c>
      <c r="D1706" t="s">
        <v>49</v>
      </c>
      <c r="E1706" t="s">
        <v>29</v>
      </c>
      <c r="F1706" t="s">
        <v>20</v>
      </c>
      <c r="G1706" s="4">
        <v>4</v>
      </c>
      <c r="H1706" s="1">
        <v>85315</v>
      </c>
      <c r="I1706" s="3" t="s">
        <v>21</v>
      </c>
      <c r="J1706" s="4">
        <v>4</v>
      </c>
    </row>
    <row r="1707" spans="1:10" x14ac:dyDescent="0.35">
      <c r="A1707" s="2" t="s">
        <v>1743</v>
      </c>
      <c r="B1707" s="4">
        <v>34</v>
      </c>
      <c r="C1707" t="s">
        <v>17</v>
      </c>
      <c r="D1707" t="s">
        <v>36</v>
      </c>
      <c r="E1707" t="s">
        <v>13</v>
      </c>
      <c r="F1707" t="s">
        <v>14</v>
      </c>
      <c r="G1707" s="4">
        <v>14</v>
      </c>
      <c r="H1707" s="1">
        <v>67329</v>
      </c>
      <c r="I1707" s="3" t="s">
        <v>15</v>
      </c>
      <c r="J1707" s="4">
        <v>1</v>
      </c>
    </row>
    <row r="1708" spans="1:10" x14ac:dyDescent="0.35">
      <c r="A1708" s="2" t="s">
        <v>1744</v>
      </c>
      <c r="B1708" s="4">
        <v>66</v>
      </c>
      <c r="C1708" t="s">
        <v>17</v>
      </c>
      <c r="D1708" t="s">
        <v>23</v>
      </c>
      <c r="E1708" t="s">
        <v>19</v>
      </c>
      <c r="F1708" t="s">
        <v>30</v>
      </c>
      <c r="G1708" s="4">
        <v>10</v>
      </c>
      <c r="H1708" s="1">
        <v>68359</v>
      </c>
      <c r="I1708" s="3" t="s">
        <v>15</v>
      </c>
      <c r="J1708" s="4">
        <v>4</v>
      </c>
    </row>
    <row r="1709" spans="1:10" x14ac:dyDescent="0.35">
      <c r="A1709" s="2" t="s">
        <v>1745</v>
      </c>
      <c r="B1709" s="4">
        <v>48</v>
      </c>
      <c r="C1709" t="s">
        <v>11</v>
      </c>
      <c r="D1709" t="s">
        <v>23</v>
      </c>
      <c r="E1709" t="s">
        <v>65</v>
      </c>
      <c r="F1709" t="s">
        <v>30</v>
      </c>
      <c r="G1709" s="4">
        <v>5</v>
      </c>
      <c r="H1709" s="1">
        <v>86291</v>
      </c>
      <c r="I1709" s="3" t="s">
        <v>15</v>
      </c>
      <c r="J1709" s="4">
        <v>2</v>
      </c>
    </row>
    <row r="1710" spans="1:10" x14ac:dyDescent="0.35">
      <c r="A1710" s="2" t="s">
        <v>1746</v>
      </c>
      <c r="B1710" s="4">
        <v>9</v>
      </c>
      <c r="C1710" t="s">
        <v>17</v>
      </c>
      <c r="D1710" t="s">
        <v>49</v>
      </c>
      <c r="E1710" t="s">
        <v>19</v>
      </c>
      <c r="F1710" t="s">
        <v>20</v>
      </c>
      <c r="G1710" s="4">
        <v>10</v>
      </c>
      <c r="H1710" s="1">
        <v>12863</v>
      </c>
      <c r="I1710" s="3" t="s">
        <v>21</v>
      </c>
      <c r="J1710" s="4">
        <v>2</v>
      </c>
    </row>
    <row r="1711" spans="1:10" x14ac:dyDescent="0.35">
      <c r="A1711" s="2" t="s">
        <v>1747</v>
      </c>
      <c r="B1711" s="4">
        <v>81</v>
      </c>
      <c r="C1711" t="s">
        <v>11</v>
      </c>
      <c r="D1711" t="s">
        <v>23</v>
      </c>
      <c r="E1711" t="s">
        <v>13</v>
      </c>
      <c r="F1711" t="s">
        <v>30</v>
      </c>
      <c r="G1711" s="4">
        <v>3</v>
      </c>
      <c r="H1711" s="1">
        <v>32699</v>
      </c>
      <c r="I1711" s="3" t="s">
        <v>15</v>
      </c>
      <c r="J1711" s="4">
        <v>4</v>
      </c>
    </row>
    <row r="1712" spans="1:10" x14ac:dyDescent="0.35">
      <c r="A1712" s="2" t="s">
        <v>1748</v>
      </c>
      <c r="B1712" s="4">
        <v>85</v>
      </c>
      <c r="C1712" t="s">
        <v>11</v>
      </c>
      <c r="D1712" t="s">
        <v>39</v>
      </c>
      <c r="E1712" t="s">
        <v>13</v>
      </c>
      <c r="F1712" t="s">
        <v>20</v>
      </c>
      <c r="G1712" s="4">
        <v>15</v>
      </c>
      <c r="H1712" s="1">
        <v>97124</v>
      </c>
      <c r="I1712" s="3" t="s">
        <v>15</v>
      </c>
      <c r="J1712" s="4">
        <v>2</v>
      </c>
    </row>
    <row r="1713" spans="1:10" x14ac:dyDescent="0.35">
      <c r="A1713" s="2" t="s">
        <v>1749</v>
      </c>
      <c r="B1713" s="4">
        <v>71</v>
      </c>
      <c r="C1713" t="s">
        <v>17</v>
      </c>
      <c r="D1713" t="s">
        <v>26</v>
      </c>
      <c r="E1713" t="s">
        <v>27</v>
      </c>
      <c r="F1713" t="s">
        <v>14</v>
      </c>
      <c r="G1713" s="4">
        <v>9</v>
      </c>
      <c r="H1713" s="1">
        <v>42463</v>
      </c>
      <c r="I1713" s="3" t="s">
        <v>21</v>
      </c>
      <c r="J1713" s="4">
        <v>1</v>
      </c>
    </row>
    <row r="1714" spans="1:10" x14ac:dyDescent="0.35">
      <c r="A1714" s="2" t="s">
        <v>1750</v>
      </c>
      <c r="B1714" s="4">
        <v>30</v>
      </c>
      <c r="C1714" t="s">
        <v>17</v>
      </c>
      <c r="D1714" t="s">
        <v>28</v>
      </c>
      <c r="E1714" t="s">
        <v>65</v>
      </c>
      <c r="F1714" t="s">
        <v>20</v>
      </c>
      <c r="G1714" s="4">
        <v>8</v>
      </c>
      <c r="H1714" s="1">
        <v>17712</v>
      </c>
      <c r="I1714" s="3" t="s">
        <v>15</v>
      </c>
      <c r="J1714" s="4">
        <v>3</v>
      </c>
    </row>
    <row r="1715" spans="1:10" x14ac:dyDescent="0.35">
      <c r="A1715" s="2" t="s">
        <v>1751</v>
      </c>
      <c r="B1715" s="4">
        <v>26</v>
      </c>
      <c r="C1715" t="s">
        <v>17</v>
      </c>
      <c r="D1715" t="s">
        <v>49</v>
      </c>
      <c r="E1715" t="s">
        <v>27</v>
      </c>
      <c r="F1715" t="s">
        <v>14</v>
      </c>
      <c r="G1715" s="4">
        <v>8</v>
      </c>
      <c r="H1715" s="1">
        <v>89613</v>
      </c>
      <c r="I1715" s="3" t="s">
        <v>15</v>
      </c>
      <c r="J1715" s="4">
        <v>4</v>
      </c>
    </row>
    <row r="1716" spans="1:10" x14ac:dyDescent="0.35">
      <c r="A1716" s="2" t="s">
        <v>1752</v>
      </c>
      <c r="B1716" s="4">
        <v>30</v>
      </c>
      <c r="C1716" t="s">
        <v>11</v>
      </c>
      <c r="D1716" t="s">
        <v>39</v>
      </c>
      <c r="E1716" t="s">
        <v>27</v>
      </c>
      <c r="F1716" t="s">
        <v>30</v>
      </c>
      <c r="G1716" s="4">
        <v>6</v>
      </c>
      <c r="H1716" s="1">
        <v>8997</v>
      </c>
      <c r="I1716" s="3" t="s">
        <v>15</v>
      </c>
      <c r="J1716" s="4">
        <v>5</v>
      </c>
    </row>
    <row r="1717" spans="1:10" x14ac:dyDescent="0.35">
      <c r="A1717" s="2" t="s">
        <v>1753</v>
      </c>
      <c r="B1717" s="4">
        <v>58</v>
      </c>
      <c r="C1717" t="s">
        <v>17</v>
      </c>
      <c r="D1717" t="s">
        <v>39</v>
      </c>
      <c r="E1717" t="s">
        <v>65</v>
      </c>
      <c r="F1717" t="s">
        <v>20</v>
      </c>
      <c r="G1717" s="4">
        <v>7</v>
      </c>
      <c r="H1717" s="1">
        <v>55281</v>
      </c>
      <c r="I1717" s="3" t="s">
        <v>15</v>
      </c>
      <c r="J1717" s="4">
        <v>1</v>
      </c>
    </row>
    <row r="1718" spans="1:10" x14ac:dyDescent="0.35">
      <c r="A1718" s="2" t="s">
        <v>1754</v>
      </c>
      <c r="B1718" s="4">
        <v>30</v>
      </c>
      <c r="C1718" t="s">
        <v>11</v>
      </c>
      <c r="D1718" t="s">
        <v>28</v>
      </c>
      <c r="E1718" t="s">
        <v>27</v>
      </c>
      <c r="F1718" t="s">
        <v>20</v>
      </c>
      <c r="G1718" s="4">
        <v>15</v>
      </c>
      <c r="H1718" s="1">
        <v>56325</v>
      </c>
      <c r="I1718" s="3" t="s">
        <v>21</v>
      </c>
      <c r="J1718" s="4">
        <v>1</v>
      </c>
    </row>
    <row r="1719" spans="1:10" x14ac:dyDescent="0.35">
      <c r="A1719" s="2" t="s">
        <v>1755</v>
      </c>
      <c r="B1719" s="4">
        <v>37</v>
      </c>
      <c r="C1719" t="s">
        <v>11</v>
      </c>
      <c r="D1719" t="s">
        <v>12</v>
      </c>
      <c r="E1719" t="s">
        <v>24</v>
      </c>
      <c r="F1719" t="s">
        <v>30</v>
      </c>
      <c r="G1719" s="4">
        <v>1</v>
      </c>
      <c r="H1719" s="1">
        <v>88146</v>
      </c>
      <c r="I1719" s="3" t="s">
        <v>15</v>
      </c>
      <c r="J1719" s="4">
        <v>4</v>
      </c>
    </row>
    <row r="1720" spans="1:10" x14ac:dyDescent="0.35">
      <c r="A1720" s="2" t="s">
        <v>1756</v>
      </c>
      <c r="B1720" s="4">
        <v>73</v>
      </c>
      <c r="C1720" t="s">
        <v>11</v>
      </c>
      <c r="D1720" t="s">
        <v>33</v>
      </c>
      <c r="E1720" t="s">
        <v>27</v>
      </c>
      <c r="F1720" t="s">
        <v>30</v>
      </c>
      <c r="G1720" s="4">
        <v>5</v>
      </c>
      <c r="H1720" s="1">
        <v>69462</v>
      </c>
      <c r="I1720" s="3" t="s">
        <v>15</v>
      </c>
      <c r="J1720" s="4">
        <v>2</v>
      </c>
    </row>
    <row r="1721" spans="1:10" x14ac:dyDescent="0.35">
      <c r="A1721" s="2" t="s">
        <v>1757</v>
      </c>
      <c r="B1721" s="4">
        <v>49</v>
      </c>
      <c r="C1721" t="s">
        <v>17</v>
      </c>
      <c r="D1721" t="s">
        <v>12</v>
      </c>
      <c r="E1721" t="s">
        <v>27</v>
      </c>
      <c r="F1721" t="s">
        <v>30</v>
      </c>
      <c r="G1721" s="4">
        <v>10</v>
      </c>
      <c r="H1721" s="1">
        <v>49242</v>
      </c>
      <c r="I1721" s="3" t="s">
        <v>21</v>
      </c>
      <c r="J1721" s="4">
        <v>4</v>
      </c>
    </row>
    <row r="1722" spans="1:10" x14ac:dyDescent="0.35">
      <c r="A1722" s="2" t="s">
        <v>1758</v>
      </c>
      <c r="B1722" s="4">
        <v>3</v>
      </c>
      <c r="C1722" t="s">
        <v>11</v>
      </c>
      <c r="D1722" t="s">
        <v>49</v>
      </c>
      <c r="E1722" t="s">
        <v>53</v>
      </c>
      <c r="F1722" t="s">
        <v>14</v>
      </c>
      <c r="G1722" s="4">
        <v>4</v>
      </c>
      <c r="H1722" s="1">
        <v>19053</v>
      </c>
      <c r="I1722" s="3" t="s">
        <v>15</v>
      </c>
      <c r="J1722" s="4">
        <v>2</v>
      </c>
    </row>
    <row r="1723" spans="1:10" x14ac:dyDescent="0.35">
      <c r="A1723" s="2" t="s">
        <v>1759</v>
      </c>
      <c r="B1723" s="4">
        <v>65</v>
      </c>
      <c r="C1723" t="s">
        <v>11</v>
      </c>
      <c r="D1723" t="s">
        <v>12</v>
      </c>
      <c r="E1723" t="s">
        <v>29</v>
      </c>
      <c r="F1723" t="s">
        <v>20</v>
      </c>
      <c r="G1723" s="4">
        <v>15</v>
      </c>
      <c r="H1723" s="1">
        <v>86505</v>
      </c>
      <c r="I1723" s="3" t="s">
        <v>21</v>
      </c>
      <c r="J1723" s="4">
        <v>1</v>
      </c>
    </row>
    <row r="1724" spans="1:10" x14ac:dyDescent="0.35">
      <c r="A1724" s="2" t="s">
        <v>1760</v>
      </c>
      <c r="B1724" s="4">
        <v>48</v>
      </c>
      <c r="C1724" t="s">
        <v>17</v>
      </c>
      <c r="D1724" t="s">
        <v>36</v>
      </c>
      <c r="E1724" t="s">
        <v>13</v>
      </c>
      <c r="F1724" t="s">
        <v>20</v>
      </c>
      <c r="G1724" s="4">
        <v>6</v>
      </c>
      <c r="H1724" s="1">
        <v>77367</v>
      </c>
      <c r="I1724" s="3" t="s">
        <v>15</v>
      </c>
      <c r="J1724" s="4">
        <v>3</v>
      </c>
    </row>
    <row r="1725" spans="1:10" x14ac:dyDescent="0.35">
      <c r="A1725" s="2" t="s">
        <v>1761</v>
      </c>
      <c r="B1725" s="4">
        <v>75</v>
      </c>
      <c r="C1725" t="s">
        <v>11</v>
      </c>
      <c r="D1725" t="s">
        <v>28</v>
      </c>
      <c r="E1725" t="s">
        <v>19</v>
      </c>
      <c r="F1725" t="s">
        <v>14</v>
      </c>
      <c r="G1725" s="4">
        <v>7</v>
      </c>
      <c r="H1725" s="1">
        <v>11204</v>
      </c>
      <c r="I1725" s="3" t="s">
        <v>21</v>
      </c>
      <c r="J1725" s="4">
        <v>1</v>
      </c>
    </row>
    <row r="1726" spans="1:10" x14ac:dyDescent="0.35">
      <c r="A1726" s="2" t="s">
        <v>1762</v>
      </c>
      <c r="B1726" s="4">
        <v>23</v>
      </c>
      <c r="C1726" t="s">
        <v>17</v>
      </c>
      <c r="D1726" t="s">
        <v>12</v>
      </c>
      <c r="E1726" t="s">
        <v>27</v>
      </c>
      <c r="F1726" t="s">
        <v>20</v>
      </c>
      <c r="G1726" s="4">
        <v>12</v>
      </c>
      <c r="H1726" s="1">
        <v>32624</v>
      </c>
      <c r="I1726" s="3" t="s">
        <v>15</v>
      </c>
      <c r="J1726" s="4">
        <v>2</v>
      </c>
    </row>
    <row r="1727" spans="1:10" x14ac:dyDescent="0.35">
      <c r="A1727" s="2" t="s">
        <v>1763</v>
      </c>
      <c r="B1727" s="4">
        <v>46</v>
      </c>
      <c r="C1727" t="s">
        <v>17</v>
      </c>
      <c r="D1727" t="s">
        <v>49</v>
      </c>
      <c r="E1727" t="s">
        <v>29</v>
      </c>
      <c r="F1727" t="s">
        <v>30</v>
      </c>
      <c r="G1727" s="4">
        <v>9</v>
      </c>
      <c r="H1727" s="1">
        <v>36280</v>
      </c>
      <c r="I1727" s="3" t="s">
        <v>15</v>
      </c>
      <c r="J1727" s="4">
        <v>3</v>
      </c>
    </row>
    <row r="1728" spans="1:10" x14ac:dyDescent="0.35">
      <c r="A1728" s="2" t="s">
        <v>1764</v>
      </c>
      <c r="B1728" s="4">
        <v>5</v>
      </c>
      <c r="C1728" t="s">
        <v>11</v>
      </c>
      <c r="D1728" t="s">
        <v>33</v>
      </c>
      <c r="E1728" t="s">
        <v>65</v>
      </c>
      <c r="F1728" t="s">
        <v>20</v>
      </c>
      <c r="G1728" s="4">
        <v>2</v>
      </c>
      <c r="H1728" s="1">
        <v>26032</v>
      </c>
      <c r="I1728" s="3" t="s">
        <v>21</v>
      </c>
      <c r="J1728" s="4">
        <v>4</v>
      </c>
    </row>
    <row r="1729" spans="1:10" x14ac:dyDescent="0.35">
      <c r="A1729" s="2" t="s">
        <v>1765</v>
      </c>
      <c r="B1729" s="4">
        <v>42</v>
      </c>
      <c r="C1729" t="s">
        <v>17</v>
      </c>
      <c r="D1729" t="s">
        <v>18</v>
      </c>
      <c r="E1729" t="s">
        <v>65</v>
      </c>
      <c r="F1729" t="s">
        <v>14</v>
      </c>
      <c r="G1729" s="4">
        <v>6</v>
      </c>
      <c r="H1729" s="1">
        <v>13284</v>
      </c>
      <c r="I1729" s="3" t="s">
        <v>21</v>
      </c>
      <c r="J1729" s="4">
        <v>1</v>
      </c>
    </row>
    <row r="1730" spans="1:10" x14ac:dyDescent="0.35">
      <c r="A1730" s="2" t="s">
        <v>1766</v>
      </c>
      <c r="B1730" s="4">
        <v>19</v>
      </c>
      <c r="C1730" t="s">
        <v>17</v>
      </c>
      <c r="D1730" t="s">
        <v>39</v>
      </c>
      <c r="E1730" t="s">
        <v>53</v>
      </c>
      <c r="F1730" t="s">
        <v>30</v>
      </c>
      <c r="G1730" s="4">
        <v>11</v>
      </c>
      <c r="H1730" s="1">
        <v>33929</v>
      </c>
      <c r="I1730" s="3" t="s">
        <v>21</v>
      </c>
      <c r="J1730" s="4">
        <v>5</v>
      </c>
    </row>
    <row r="1731" spans="1:10" x14ac:dyDescent="0.35">
      <c r="A1731" s="2" t="s">
        <v>1767</v>
      </c>
      <c r="B1731" s="4">
        <v>44</v>
      </c>
      <c r="C1731" t="s">
        <v>17</v>
      </c>
      <c r="D1731" t="s">
        <v>23</v>
      </c>
      <c r="E1731" t="s">
        <v>27</v>
      </c>
      <c r="F1731" t="s">
        <v>20</v>
      </c>
      <c r="G1731" s="4">
        <v>8</v>
      </c>
      <c r="H1731" s="1">
        <v>41084</v>
      </c>
      <c r="I1731" s="3" t="s">
        <v>21</v>
      </c>
      <c r="J1731" s="4">
        <v>3</v>
      </c>
    </row>
    <row r="1732" spans="1:10" x14ac:dyDescent="0.35">
      <c r="A1732" s="2" t="s">
        <v>1768</v>
      </c>
      <c r="B1732" s="4">
        <v>20</v>
      </c>
      <c r="C1732" t="s">
        <v>11</v>
      </c>
      <c r="D1732" t="s">
        <v>33</v>
      </c>
      <c r="E1732" t="s">
        <v>42</v>
      </c>
      <c r="F1732" t="s">
        <v>30</v>
      </c>
      <c r="G1732" s="4">
        <v>13</v>
      </c>
      <c r="H1732" s="1">
        <v>41272</v>
      </c>
      <c r="I1732" s="3" t="s">
        <v>21</v>
      </c>
      <c r="J1732" s="4">
        <v>4</v>
      </c>
    </row>
    <row r="1733" spans="1:10" x14ac:dyDescent="0.35">
      <c r="A1733" s="2" t="s">
        <v>1769</v>
      </c>
      <c r="B1733" s="4">
        <v>74</v>
      </c>
      <c r="C1733" t="s">
        <v>11</v>
      </c>
      <c r="D1733" t="s">
        <v>26</v>
      </c>
      <c r="E1733" t="s">
        <v>65</v>
      </c>
      <c r="F1733" t="s">
        <v>14</v>
      </c>
      <c r="G1733" s="4">
        <v>11</v>
      </c>
      <c r="H1733" s="1">
        <v>27329</v>
      </c>
      <c r="I1733" s="3" t="s">
        <v>15</v>
      </c>
      <c r="J1733" s="4">
        <v>1</v>
      </c>
    </row>
    <row r="1734" spans="1:10" x14ac:dyDescent="0.35">
      <c r="A1734" s="2" t="s">
        <v>1770</v>
      </c>
      <c r="B1734" s="4">
        <v>3</v>
      </c>
      <c r="C1734" t="s">
        <v>11</v>
      </c>
      <c r="D1734" t="s">
        <v>49</v>
      </c>
      <c r="E1734" t="s">
        <v>13</v>
      </c>
      <c r="F1734" t="s">
        <v>14</v>
      </c>
      <c r="G1734" s="4">
        <v>15</v>
      </c>
      <c r="H1734" s="1">
        <v>22625</v>
      </c>
      <c r="I1734" s="3" t="s">
        <v>15</v>
      </c>
      <c r="J1734" s="4">
        <v>3</v>
      </c>
    </row>
    <row r="1735" spans="1:10" x14ac:dyDescent="0.35">
      <c r="A1735" s="2" t="s">
        <v>1771</v>
      </c>
      <c r="B1735" s="4">
        <v>76</v>
      </c>
      <c r="C1735" t="s">
        <v>17</v>
      </c>
      <c r="D1735" t="s">
        <v>49</v>
      </c>
      <c r="E1735" t="s">
        <v>34</v>
      </c>
      <c r="F1735" t="s">
        <v>20</v>
      </c>
      <c r="G1735" s="4">
        <v>6</v>
      </c>
      <c r="H1735" s="1">
        <v>86447</v>
      </c>
      <c r="I1735" s="3" t="s">
        <v>15</v>
      </c>
      <c r="J1735" s="4">
        <v>4</v>
      </c>
    </row>
    <row r="1736" spans="1:10" x14ac:dyDescent="0.35">
      <c r="A1736" s="2" t="s">
        <v>1772</v>
      </c>
      <c r="B1736" s="4">
        <v>46</v>
      </c>
      <c r="C1736" t="s">
        <v>11</v>
      </c>
      <c r="D1736" t="s">
        <v>18</v>
      </c>
      <c r="E1736" t="s">
        <v>65</v>
      </c>
      <c r="F1736" t="s">
        <v>20</v>
      </c>
      <c r="G1736" s="4">
        <v>2</v>
      </c>
      <c r="H1736" s="1">
        <v>71634</v>
      </c>
      <c r="I1736" s="3" t="s">
        <v>15</v>
      </c>
      <c r="J1736" s="4">
        <v>2</v>
      </c>
    </row>
    <row r="1737" spans="1:10" x14ac:dyDescent="0.35">
      <c r="A1737" s="2" t="s">
        <v>1773</v>
      </c>
      <c r="B1737" s="4">
        <v>77</v>
      </c>
      <c r="C1737" t="s">
        <v>17</v>
      </c>
      <c r="D1737" t="s">
        <v>36</v>
      </c>
      <c r="E1737" t="s">
        <v>53</v>
      </c>
      <c r="F1737" t="s">
        <v>20</v>
      </c>
      <c r="G1737" s="4">
        <v>14</v>
      </c>
      <c r="H1737" s="1">
        <v>59930</v>
      </c>
      <c r="I1737" s="3" t="s">
        <v>15</v>
      </c>
      <c r="J1737" s="4">
        <v>4</v>
      </c>
    </row>
    <row r="1738" spans="1:10" x14ac:dyDescent="0.35">
      <c r="A1738" s="2" t="s">
        <v>1774</v>
      </c>
      <c r="B1738" s="4">
        <v>25</v>
      </c>
      <c r="C1738" t="s">
        <v>11</v>
      </c>
      <c r="D1738" t="s">
        <v>39</v>
      </c>
      <c r="E1738" t="s">
        <v>24</v>
      </c>
      <c r="F1738" t="s">
        <v>30</v>
      </c>
      <c r="G1738" s="4">
        <v>9</v>
      </c>
      <c r="H1738" s="1">
        <v>74497</v>
      </c>
      <c r="I1738" s="3" t="s">
        <v>21</v>
      </c>
      <c r="J1738" s="4">
        <v>5</v>
      </c>
    </row>
    <row r="1739" spans="1:10" x14ac:dyDescent="0.35">
      <c r="A1739" s="2" t="s">
        <v>1775</v>
      </c>
      <c r="B1739" s="4">
        <v>16</v>
      </c>
      <c r="C1739" t="s">
        <v>11</v>
      </c>
      <c r="D1739" t="s">
        <v>12</v>
      </c>
      <c r="E1739" t="s">
        <v>24</v>
      </c>
      <c r="F1739" t="s">
        <v>20</v>
      </c>
      <c r="G1739" s="4">
        <v>3</v>
      </c>
      <c r="H1739" s="1">
        <v>89066</v>
      </c>
      <c r="I1739" s="3" t="s">
        <v>15</v>
      </c>
      <c r="J1739" s="4">
        <v>5</v>
      </c>
    </row>
    <row r="1740" spans="1:10" x14ac:dyDescent="0.35">
      <c r="A1740" s="2" t="s">
        <v>1776</v>
      </c>
      <c r="B1740" s="4">
        <v>50</v>
      </c>
      <c r="C1740" t="s">
        <v>11</v>
      </c>
      <c r="D1740" t="s">
        <v>41</v>
      </c>
      <c r="E1740" t="s">
        <v>19</v>
      </c>
      <c r="F1740" t="s">
        <v>20</v>
      </c>
      <c r="G1740" s="4">
        <v>4</v>
      </c>
      <c r="H1740" s="1">
        <v>61337</v>
      </c>
      <c r="I1740" s="3" t="s">
        <v>15</v>
      </c>
      <c r="J1740" s="4">
        <v>3</v>
      </c>
    </row>
    <row r="1741" spans="1:10" x14ac:dyDescent="0.35">
      <c r="A1741" s="2" t="s">
        <v>1777</v>
      </c>
      <c r="B1741" s="4">
        <v>61</v>
      </c>
      <c r="C1741" t="s">
        <v>17</v>
      </c>
      <c r="D1741" t="s">
        <v>41</v>
      </c>
      <c r="E1741" t="s">
        <v>37</v>
      </c>
      <c r="F1741" t="s">
        <v>20</v>
      </c>
      <c r="G1741" s="4">
        <v>6</v>
      </c>
      <c r="H1741" s="1">
        <v>65722</v>
      </c>
      <c r="I1741" s="3" t="s">
        <v>21</v>
      </c>
      <c r="J1741" s="4">
        <v>3</v>
      </c>
    </row>
    <row r="1742" spans="1:10" x14ac:dyDescent="0.35">
      <c r="A1742" s="2" t="s">
        <v>1778</v>
      </c>
      <c r="B1742" s="4">
        <v>27</v>
      </c>
      <c r="C1742" t="s">
        <v>17</v>
      </c>
      <c r="D1742" t="s">
        <v>12</v>
      </c>
      <c r="E1742" t="s">
        <v>34</v>
      </c>
      <c r="F1742" t="s">
        <v>14</v>
      </c>
      <c r="G1742" s="4">
        <v>10</v>
      </c>
      <c r="H1742" s="1">
        <v>86561</v>
      </c>
      <c r="I1742" s="3" t="s">
        <v>21</v>
      </c>
      <c r="J1742" s="4">
        <v>2</v>
      </c>
    </row>
    <row r="1743" spans="1:10" x14ac:dyDescent="0.35">
      <c r="A1743" s="2" t="s">
        <v>1779</v>
      </c>
      <c r="B1743" s="4">
        <v>23</v>
      </c>
      <c r="C1743" t="s">
        <v>17</v>
      </c>
      <c r="D1743" t="s">
        <v>12</v>
      </c>
      <c r="E1743" t="s">
        <v>19</v>
      </c>
      <c r="F1743" t="s">
        <v>20</v>
      </c>
      <c r="G1743" s="4">
        <v>12</v>
      </c>
      <c r="H1743" s="1">
        <v>58373</v>
      </c>
      <c r="I1743" s="3" t="s">
        <v>21</v>
      </c>
      <c r="J1743" s="4">
        <v>4</v>
      </c>
    </row>
    <row r="1744" spans="1:10" x14ac:dyDescent="0.35">
      <c r="A1744" s="2" t="s">
        <v>1780</v>
      </c>
      <c r="B1744" s="4">
        <v>52</v>
      </c>
      <c r="C1744" t="s">
        <v>17</v>
      </c>
      <c r="D1744" t="s">
        <v>18</v>
      </c>
      <c r="E1744" t="s">
        <v>65</v>
      </c>
      <c r="F1744" t="s">
        <v>20</v>
      </c>
      <c r="G1744" s="4">
        <v>4</v>
      </c>
      <c r="H1744" s="1">
        <v>85384</v>
      </c>
      <c r="I1744" s="3" t="s">
        <v>21</v>
      </c>
      <c r="J1744" s="4">
        <v>5</v>
      </c>
    </row>
    <row r="1745" spans="1:10" x14ac:dyDescent="0.35">
      <c r="A1745" s="2" t="s">
        <v>1781</v>
      </c>
      <c r="B1745" s="4">
        <v>82</v>
      </c>
      <c r="C1745" t="s">
        <v>11</v>
      </c>
      <c r="D1745" t="s">
        <v>36</v>
      </c>
      <c r="E1745" t="s">
        <v>42</v>
      </c>
      <c r="F1745" t="s">
        <v>20</v>
      </c>
      <c r="G1745" s="4">
        <v>9</v>
      </c>
      <c r="H1745" s="1">
        <v>8431</v>
      </c>
      <c r="I1745" s="3" t="s">
        <v>21</v>
      </c>
      <c r="J1745" s="4">
        <v>3</v>
      </c>
    </row>
    <row r="1746" spans="1:10" x14ac:dyDescent="0.35">
      <c r="A1746" s="2" t="s">
        <v>1782</v>
      </c>
      <c r="B1746" s="4">
        <v>46</v>
      </c>
      <c r="C1746" t="s">
        <v>11</v>
      </c>
      <c r="D1746" t="s">
        <v>39</v>
      </c>
      <c r="E1746" t="s">
        <v>13</v>
      </c>
      <c r="F1746" t="s">
        <v>14</v>
      </c>
      <c r="G1746" s="4">
        <v>11</v>
      </c>
      <c r="H1746" s="1">
        <v>36235</v>
      </c>
      <c r="I1746" s="3" t="s">
        <v>15</v>
      </c>
      <c r="J1746" s="4">
        <v>5</v>
      </c>
    </row>
    <row r="1747" spans="1:10" x14ac:dyDescent="0.35">
      <c r="A1747" s="2" t="s">
        <v>1783</v>
      </c>
      <c r="B1747" s="4">
        <v>68</v>
      </c>
      <c r="C1747" t="s">
        <v>17</v>
      </c>
      <c r="D1747" t="s">
        <v>33</v>
      </c>
      <c r="E1747" t="s">
        <v>24</v>
      </c>
      <c r="F1747" t="s">
        <v>20</v>
      </c>
      <c r="G1747" s="4">
        <v>14</v>
      </c>
      <c r="H1747" s="1">
        <v>58572</v>
      </c>
      <c r="I1747" s="3" t="s">
        <v>15</v>
      </c>
      <c r="J1747" s="4">
        <v>4</v>
      </c>
    </row>
    <row r="1748" spans="1:10" x14ac:dyDescent="0.35">
      <c r="A1748" s="2" t="s">
        <v>1784</v>
      </c>
      <c r="B1748" s="4">
        <v>77</v>
      </c>
      <c r="C1748" t="s">
        <v>17</v>
      </c>
      <c r="D1748" t="s">
        <v>36</v>
      </c>
      <c r="E1748" t="s">
        <v>65</v>
      </c>
      <c r="F1748" t="s">
        <v>14</v>
      </c>
      <c r="G1748" s="4">
        <v>9</v>
      </c>
      <c r="H1748" s="1">
        <v>47089</v>
      </c>
      <c r="I1748" s="3" t="s">
        <v>21</v>
      </c>
      <c r="J1748" s="4">
        <v>2</v>
      </c>
    </row>
    <row r="1749" spans="1:10" x14ac:dyDescent="0.35">
      <c r="A1749" s="2" t="s">
        <v>1785</v>
      </c>
      <c r="B1749" s="4">
        <v>56</v>
      </c>
      <c r="C1749" t="s">
        <v>11</v>
      </c>
      <c r="D1749" t="s">
        <v>33</v>
      </c>
      <c r="E1749" t="s">
        <v>19</v>
      </c>
      <c r="F1749" t="s">
        <v>14</v>
      </c>
      <c r="G1749" s="4">
        <v>10</v>
      </c>
      <c r="H1749" s="1">
        <v>73061</v>
      </c>
      <c r="I1749" s="3" t="s">
        <v>15</v>
      </c>
      <c r="J1749" s="4">
        <v>1</v>
      </c>
    </row>
    <row r="1750" spans="1:10" x14ac:dyDescent="0.35">
      <c r="A1750" s="2" t="s">
        <v>1786</v>
      </c>
      <c r="B1750" s="4">
        <v>43</v>
      </c>
      <c r="C1750" t="s">
        <v>11</v>
      </c>
      <c r="D1750" t="s">
        <v>28</v>
      </c>
      <c r="E1750" t="s">
        <v>65</v>
      </c>
      <c r="F1750" t="s">
        <v>20</v>
      </c>
      <c r="G1750" s="4">
        <v>8</v>
      </c>
      <c r="H1750" s="1">
        <v>76897</v>
      </c>
      <c r="I1750" s="3" t="s">
        <v>21</v>
      </c>
      <c r="J1750" s="4">
        <v>5</v>
      </c>
    </row>
    <row r="1751" spans="1:10" x14ac:dyDescent="0.35">
      <c r="A1751" s="2" t="s">
        <v>1787</v>
      </c>
      <c r="B1751" s="4">
        <v>61</v>
      </c>
      <c r="C1751" t="s">
        <v>17</v>
      </c>
      <c r="D1751" t="s">
        <v>26</v>
      </c>
      <c r="E1751" t="s">
        <v>37</v>
      </c>
      <c r="F1751" t="s">
        <v>30</v>
      </c>
      <c r="G1751" s="4">
        <v>14</v>
      </c>
      <c r="H1751" s="1">
        <v>7895</v>
      </c>
      <c r="I1751" s="3" t="s">
        <v>21</v>
      </c>
      <c r="J1751" s="4">
        <v>1</v>
      </c>
    </row>
    <row r="1752" spans="1:10" x14ac:dyDescent="0.35">
      <c r="A1752" s="2" t="s">
        <v>1788</v>
      </c>
      <c r="B1752" s="4">
        <v>35</v>
      </c>
      <c r="C1752" t="s">
        <v>17</v>
      </c>
      <c r="D1752" t="s">
        <v>26</v>
      </c>
      <c r="E1752" t="s">
        <v>27</v>
      </c>
      <c r="F1752" t="s">
        <v>14</v>
      </c>
      <c r="G1752" s="4">
        <v>3</v>
      </c>
      <c r="H1752" s="1">
        <v>8763</v>
      </c>
      <c r="I1752" s="3" t="s">
        <v>15</v>
      </c>
      <c r="J1752" s="4">
        <v>2</v>
      </c>
    </row>
    <row r="1753" spans="1:10" x14ac:dyDescent="0.35">
      <c r="A1753" s="2" t="s">
        <v>1789</v>
      </c>
      <c r="B1753" s="4">
        <v>48</v>
      </c>
      <c r="C1753" t="s">
        <v>17</v>
      </c>
      <c r="D1753" t="s">
        <v>23</v>
      </c>
      <c r="E1753" t="s">
        <v>34</v>
      </c>
      <c r="F1753" t="s">
        <v>20</v>
      </c>
      <c r="G1753" s="4">
        <v>6</v>
      </c>
      <c r="H1753" s="1">
        <v>45676</v>
      </c>
      <c r="I1753" s="3" t="s">
        <v>21</v>
      </c>
      <c r="J1753" s="4">
        <v>4</v>
      </c>
    </row>
    <row r="1754" spans="1:10" x14ac:dyDescent="0.35">
      <c r="A1754" s="2" t="s">
        <v>1790</v>
      </c>
      <c r="B1754" s="4">
        <v>14</v>
      </c>
      <c r="C1754" t="s">
        <v>11</v>
      </c>
      <c r="D1754" t="s">
        <v>18</v>
      </c>
      <c r="E1754" t="s">
        <v>42</v>
      </c>
      <c r="F1754" t="s">
        <v>14</v>
      </c>
      <c r="G1754" s="4">
        <v>1</v>
      </c>
      <c r="H1754" s="1">
        <v>7593</v>
      </c>
      <c r="I1754" s="3" t="s">
        <v>15</v>
      </c>
      <c r="J1754" s="4">
        <v>4</v>
      </c>
    </row>
    <row r="1755" spans="1:10" x14ac:dyDescent="0.35">
      <c r="A1755" s="2" t="s">
        <v>1791</v>
      </c>
      <c r="B1755" s="4">
        <v>56</v>
      </c>
      <c r="C1755" t="s">
        <v>11</v>
      </c>
      <c r="D1755" t="s">
        <v>18</v>
      </c>
      <c r="E1755" t="s">
        <v>24</v>
      </c>
      <c r="F1755" t="s">
        <v>20</v>
      </c>
      <c r="G1755" s="4">
        <v>15</v>
      </c>
      <c r="H1755" s="1">
        <v>86431</v>
      </c>
      <c r="I1755" s="3" t="s">
        <v>15</v>
      </c>
      <c r="J1755" s="4">
        <v>1</v>
      </c>
    </row>
    <row r="1756" spans="1:10" x14ac:dyDescent="0.35">
      <c r="A1756" s="2" t="s">
        <v>1792</v>
      </c>
      <c r="B1756" s="4">
        <v>29</v>
      </c>
      <c r="C1756" t="s">
        <v>11</v>
      </c>
      <c r="D1756" t="s">
        <v>28</v>
      </c>
      <c r="E1756" t="s">
        <v>29</v>
      </c>
      <c r="F1756" t="s">
        <v>20</v>
      </c>
      <c r="G1756" s="4">
        <v>2</v>
      </c>
      <c r="H1756" s="1">
        <v>58255</v>
      </c>
      <c r="I1756" s="3" t="s">
        <v>21</v>
      </c>
      <c r="J1756" s="4">
        <v>2</v>
      </c>
    </row>
    <row r="1757" spans="1:10" x14ac:dyDescent="0.35">
      <c r="A1757" s="2" t="s">
        <v>1793</v>
      </c>
      <c r="B1757" s="4">
        <v>84</v>
      </c>
      <c r="C1757" t="s">
        <v>11</v>
      </c>
      <c r="D1757" t="s">
        <v>39</v>
      </c>
      <c r="E1757" t="s">
        <v>37</v>
      </c>
      <c r="F1757" t="s">
        <v>20</v>
      </c>
      <c r="G1757" s="4">
        <v>2</v>
      </c>
      <c r="H1757" s="1">
        <v>33070</v>
      </c>
      <c r="I1757" s="3" t="s">
        <v>15</v>
      </c>
      <c r="J1757" s="4">
        <v>4</v>
      </c>
    </row>
    <row r="1758" spans="1:10" x14ac:dyDescent="0.35">
      <c r="A1758" s="2" t="s">
        <v>1794</v>
      </c>
      <c r="B1758" s="4">
        <v>75</v>
      </c>
      <c r="C1758" t="s">
        <v>11</v>
      </c>
      <c r="D1758" t="s">
        <v>39</v>
      </c>
      <c r="E1758" t="s">
        <v>53</v>
      </c>
      <c r="F1758" t="s">
        <v>14</v>
      </c>
      <c r="G1758" s="4">
        <v>14</v>
      </c>
      <c r="H1758" s="1">
        <v>27647</v>
      </c>
      <c r="I1758" s="3" t="s">
        <v>21</v>
      </c>
      <c r="J1758" s="4">
        <v>1</v>
      </c>
    </row>
    <row r="1759" spans="1:10" x14ac:dyDescent="0.35">
      <c r="A1759" s="2" t="s">
        <v>1795</v>
      </c>
      <c r="B1759" s="4">
        <v>86</v>
      </c>
      <c r="C1759" t="s">
        <v>17</v>
      </c>
      <c r="D1759" t="s">
        <v>39</v>
      </c>
      <c r="E1759" t="s">
        <v>13</v>
      </c>
      <c r="F1759" t="s">
        <v>14</v>
      </c>
      <c r="G1759" s="4">
        <v>6</v>
      </c>
      <c r="H1759" s="1">
        <v>81787</v>
      </c>
      <c r="I1759" s="3" t="s">
        <v>15</v>
      </c>
      <c r="J1759" s="4">
        <v>4</v>
      </c>
    </row>
    <row r="1760" spans="1:10" x14ac:dyDescent="0.35">
      <c r="A1760" s="2" t="s">
        <v>1796</v>
      </c>
      <c r="B1760" s="4">
        <v>45</v>
      </c>
      <c r="C1760" t="s">
        <v>17</v>
      </c>
      <c r="D1760" t="s">
        <v>23</v>
      </c>
      <c r="E1760" t="s">
        <v>65</v>
      </c>
      <c r="F1760" t="s">
        <v>30</v>
      </c>
      <c r="G1760" s="4">
        <v>13</v>
      </c>
      <c r="H1760" s="1">
        <v>35738</v>
      </c>
      <c r="I1760" s="3" t="s">
        <v>15</v>
      </c>
      <c r="J1760" s="4">
        <v>4</v>
      </c>
    </row>
    <row r="1761" spans="1:10" x14ac:dyDescent="0.35">
      <c r="A1761" s="2" t="s">
        <v>1797</v>
      </c>
      <c r="B1761" s="4">
        <v>22</v>
      </c>
      <c r="C1761" t="s">
        <v>17</v>
      </c>
      <c r="D1761" t="s">
        <v>18</v>
      </c>
      <c r="E1761" t="s">
        <v>42</v>
      </c>
      <c r="F1761" t="s">
        <v>30</v>
      </c>
      <c r="G1761" s="4">
        <v>12</v>
      </c>
      <c r="H1761" s="1">
        <v>57698</v>
      </c>
      <c r="I1761" s="3" t="s">
        <v>21</v>
      </c>
      <c r="J1761" s="4">
        <v>1</v>
      </c>
    </row>
    <row r="1762" spans="1:10" x14ac:dyDescent="0.35">
      <c r="A1762" s="2" t="s">
        <v>1798</v>
      </c>
      <c r="B1762" s="4">
        <v>62</v>
      </c>
      <c r="C1762" t="s">
        <v>17</v>
      </c>
      <c r="D1762" t="s">
        <v>36</v>
      </c>
      <c r="E1762" t="s">
        <v>53</v>
      </c>
      <c r="F1762" t="s">
        <v>20</v>
      </c>
      <c r="G1762" s="4">
        <v>8</v>
      </c>
      <c r="H1762" s="1">
        <v>65122</v>
      </c>
      <c r="I1762" s="3" t="s">
        <v>15</v>
      </c>
      <c r="J1762" s="4">
        <v>1</v>
      </c>
    </row>
    <row r="1763" spans="1:10" x14ac:dyDescent="0.35">
      <c r="A1763" s="2" t="s">
        <v>1799</v>
      </c>
      <c r="B1763" s="4">
        <v>66</v>
      </c>
      <c r="C1763" t="s">
        <v>11</v>
      </c>
      <c r="D1763" t="s">
        <v>28</v>
      </c>
      <c r="E1763" t="s">
        <v>42</v>
      </c>
      <c r="F1763" t="s">
        <v>30</v>
      </c>
      <c r="G1763" s="4">
        <v>7</v>
      </c>
      <c r="H1763" s="1">
        <v>23862</v>
      </c>
      <c r="I1763" s="3" t="s">
        <v>15</v>
      </c>
      <c r="J1763" s="4">
        <v>4</v>
      </c>
    </row>
    <row r="1764" spans="1:10" x14ac:dyDescent="0.35">
      <c r="A1764" s="2" t="s">
        <v>1800</v>
      </c>
      <c r="B1764" s="4">
        <v>22</v>
      </c>
      <c r="C1764" t="s">
        <v>17</v>
      </c>
      <c r="D1764" t="s">
        <v>49</v>
      </c>
      <c r="E1764" t="s">
        <v>13</v>
      </c>
      <c r="F1764" t="s">
        <v>20</v>
      </c>
      <c r="G1764" s="4">
        <v>14</v>
      </c>
      <c r="H1764" s="1">
        <v>60914</v>
      </c>
      <c r="I1764" s="3" t="s">
        <v>15</v>
      </c>
      <c r="J1764" s="4">
        <v>4</v>
      </c>
    </row>
    <row r="1765" spans="1:10" x14ac:dyDescent="0.35">
      <c r="A1765" s="2" t="s">
        <v>1801</v>
      </c>
      <c r="B1765" s="4">
        <v>59</v>
      </c>
      <c r="C1765" t="s">
        <v>17</v>
      </c>
      <c r="D1765" t="s">
        <v>28</v>
      </c>
      <c r="E1765" t="s">
        <v>13</v>
      </c>
      <c r="F1765" t="s">
        <v>20</v>
      </c>
      <c r="G1765" s="4">
        <v>4</v>
      </c>
      <c r="H1765" s="1">
        <v>99734</v>
      </c>
      <c r="I1765" s="3" t="s">
        <v>21</v>
      </c>
      <c r="J1765" s="4">
        <v>3</v>
      </c>
    </row>
    <row r="1766" spans="1:10" x14ac:dyDescent="0.35">
      <c r="A1766" s="2" t="s">
        <v>1802</v>
      </c>
      <c r="B1766" s="4">
        <v>50</v>
      </c>
      <c r="C1766" t="s">
        <v>11</v>
      </c>
      <c r="D1766" t="s">
        <v>49</v>
      </c>
      <c r="E1766" t="s">
        <v>13</v>
      </c>
      <c r="F1766" t="s">
        <v>30</v>
      </c>
      <c r="G1766" s="4">
        <v>4</v>
      </c>
      <c r="H1766" s="1">
        <v>65125</v>
      </c>
      <c r="I1766" s="3" t="s">
        <v>15</v>
      </c>
      <c r="J1766" s="4">
        <v>1</v>
      </c>
    </row>
    <row r="1767" spans="1:10" x14ac:dyDescent="0.35">
      <c r="A1767" s="2" t="s">
        <v>1803</v>
      </c>
      <c r="B1767" s="4">
        <v>37</v>
      </c>
      <c r="C1767" t="s">
        <v>11</v>
      </c>
      <c r="D1767" t="s">
        <v>36</v>
      </c>
      <c r="E1767" t="s">
        <v>37</v>
      </c>
      <c r="F1767" t="s">
        <v>14</v>
      </c>
      <c r="G1767" s="4">
        <v>8</v>
      </c>
      <c r="H1767" s="1">
        <v>57556</v>
      </c>
      <c r="I1767" s="3" t="s">
        <v>15</v>
      </c>
      <c r="J1767" s="4">
        <v>3</v>
      </c>
    </row>
    <row r="1768" spans="1:10" x14ac:dyDescent="0.35">
      <c r="A1768" s="2" t="s">
        <v>1804</v>
      </c>
      <c r="B1768" s="4">
        <v>78</v>
      </c>
      <c r="C1768" t="s">
        <v>17</v>
      </c>
      <c r="D1768" t="s">
        <v>49</v>
      </c>
      <c r="E1768" t="s">
        <v>65</v>
      </c>
      <c r="F1768" t="s">
        <v>20</v>
      </c>
      <c r="G1768" s="4">
        <v>14</v>
      </c>
      <c r="H1768" s="1">
        <v>28625</v>
      </c>
      <c r="I1768" s="3" t="s">
        <v>15</v>
      </c>
      <c r="J1768" s="4">
        <v>5</v>
      </c>
    </row>
    <row r="1769" spans="1:10" x14ac:dyDescent="0.35">
      <c r="A1769" s="2" t="s">
        <v>1805</v>
      </c>
      <c r="B1769" s="4">
        <v>74</v>
      </c>
      <c r="C1769" t="s">
        <v>17</v>
      </c>
      <c r="D1769" t="s">
        <v>41</v>
      </c>
      <c r="E1769" t="s">
        <v>27</v>
      </c>
      <c r="F1769" t="s">
        <v>14</v>
      </c>
      <c r="G1769" s="4">
        <v>1</v>
      </c>
      <c r="H1769" s="1">
        <v>83731</v>
      </c>
      <c r="I1769" s="3" t="s">
        <v>21</v>
      </c>
      <c r="J1769" s="4">
        <v>1</v>
      </c>
    </row>
    <row r="1770" spans="1:10" x14ac:dyDescent="0.35">
      <c r="A1770" s="2" t="s">
        <v>1806</v>
      </c>
      <c r="B1770" s="4">
        <v>49</v>
      </c>
      <c r="C1770" t="s">
        <v>17</v>
      </c>
      <c r="D1770" t="s">
        <v>28</v>
      </c>
      <c r="E1770" t="s">
        <v>65</v>
      </c>
      <c r="F1770" t="s">
        <v>20</v>
      </c>
      <c r="G1770" s="4">
        <v>15</v>
      </c>
      <c r="H1770" s="1">
        <v>77091</v>
      </c>
      <c r="I1770" s="3" t="s">
        <v>15</v>
      </c>
      <c r="J1770" s="4">
        <v>1</v>
      </c>
    </row>
    <row r="1771" spans="1:10" x14ac:dyDescent="0.35">
      <c r="A1771" s="2" t="s">
        <v>1807</v>
      </c>
      <c r="B1771" s="4">
        <v>57</v>
      </c>
      <c r="C1771" t="s">
        <v>11</v>
      </c>
      <c r="D1771" t="s">
        <v>26</v>
      </c>
      <c r="E1771" t="s">
        <v>37</v>
      </c>
      <c r="F1771" t="s">
        <v>20</v>
      </c>
      <c r="G1771" s="4">
        <v>5</v>
      </c>
      <c r="H1771" s="1">
        <v>28807</v>
      </c>
      <c r="I1771" s="3" t="s">
        <v>21</v>
      </c>
      <c r="J1771" s="4">
        <v>1</v>
      </c>
    </row>
    <row r="1772" spans="1:10" x14ac:dyDescent="0.35">
      <c r="A1772" s="2" t="s">
        <v>1808</v>
      </c>
      <c r="B1772" s="4">
        <v>78</v>
      </c>
      <c r="C1772" t="s">
        <v>11</v>
      </c>
      <c r="D1772" t="s">
        <v>33</v>
      </c>
      <c r="E1772" t="s">
        <v>65</v>
      </c>
      <c r="F1772" t="s">
        <v>30</v>
      </c>
      <c r="G1772" s="4">
        <v>9</v>
      </c>
      <c r="H1772" s="1">
        <v>97238</v>
      </c>
      <c r="I1772" s="3" t="s">
        <v>21</v>
      </c>
      <c r="J1772" s="4">
        <v>5</v>
      </c>
    </row>
    <row r="1773" spans="1:10" x14ac:dyDescent="0.35">
      <c r="A1773" s="2" t="s">
        <v>1809</v>
      </c>
      <c r="B1773" s="4">
        <v>7</v>
      </c>
      <c r="C1773" t="s">
        <v>17</v>
      </c>
      <c r="D1773" t="s">
        <v>23</v>
      </c>
      <c r="E1773" t="s">
        <v>37</v>
      </c>
      <c r="F1773" t="s">
        <v>20</v>
      </c>
      <c r="G1773" s="4">
        <v>8</v>
      </c>
      <c r="H1773" s="1">
        <v>73450</v>
      </c>
      <c r="I1773" s="3" t="s">
        <v>21</v>
      </c>
      <c r="J1773" s="4">
        <v>4</v>
      </c>
    </row>
    <row r="1774" spans="1:10" x14ac:dyDescent="0.35">
      <c r="A1774" s="2" t="s">
        <v>1810</v>
      </c>
      <c r="B1774" s="4">
        <v>63</v>
      </c>
      <c r="C1774" t="s">
        <v>11</v>
      </c>
      <c r="D1774" t="s">
        <v>41</v>
      </c>
      <c r="E1774" t="s">
        <v>34</v>
      </c>
      <c r="F1774" t="s">
        <v>20</v>
      </c>
      <c r="G1774" s="4">
        <v>12</v>
      </c>
      <c r="H1774" s="1">
        <v>77322</v>
      </c>
      <c r="I1774" s="3" t="s">
        <v>21</v>
      </c>
      <c r="J1774" s="4">
        <v>3</v>
      </c>
    </row>
    <row r="1775" spans="1:10" x14ac:dyDescent="0.35">
      <c r="A1775" s="2" t="s">
        <v>1811</v>
      </c>
      <c r="B1775" s="4">
        <v>85</v>
      </c>
      <c r="C1775" t="s">
        <v>17</v>
      </c>
      <c r="D1775" t="s">
        <v>18</v>
      </c>
      <c r="E1775" t="s">
        <v>19</v>
      </c>
      <c r="F1775" t="s">
        <v>20</v>
      </c>
      <c r="G1775" s="4">
        <v>1</v>
      </c>
      <c r="H1775" s="1">
        <v>15158</v>
      </c>
      <c r="I1775" s="3" t="s">
        <v>15</v>
      </c>
      <c r="J1775" s="4">
        <v>1</v>
      </c>
    </row>
    <row r="1776" spans="1:10" x14ac:dyDescent="0.35">
      <c r="A1776" s="2" t="s">
        <v>1812</v>
      </c>
      <c r="B1776" s="4">
        <v>31</v>
      </c>
      <c r="C1776" t="s">
        <v>17</v>
      </c>
      <c r="D1776" t="s">
        <v>28</v>
      </c>
      <c r="E1776" t="s">
        <v>34</v>
      </c>
      <c r="F1776" t="s">
        <v>20</v>
      </c>
      <c r="G1776" s="4">
        <v>11</v>
      </c>
      <c r="H1776" s="1">
        <v>12545</v>
      </c>
      <c r="I1776" s="3" t="s">
        <v>15</v>
      </c>
      <c r="J1776" s="4">
        <v>5</v>
      </c>
    </row>
    <row r="1777" spans="1:10" x14ac:dyDescent="0.35">
      <c r="A1777" s="2" t="s">
        <v>1813</v>
      </c>
      <c r="B1777" s="4">
        <v>66</v>
      </c>
      <c r="C1777" t="s">
        <v>17</v>
      </c>
      <c r="D1777" t="s">
        <v>18</v>
      </c>
      <c r="E1777" t="s">
        <v>34</v>
      </c>
      <c r="F1777" t="s">
        <v>14</v>
      </c>
      <c r="G1777" s="4">
        <v>15</v>
      </c>
      <c r="H1777" s="1">
        <v>66911</v>
      </c>
      <c r="I1777" s="3" t="s">
        <v>21</v>
      </c>
      <c r="J1777" s="4">
        <v>3</v>
      </c>
    </row>
    <row r="1778" spans="1:10" x14ac:dyDescent="0.35">
      <c r="A1778" s="2" t="s">
        <v>1814</v>
      </c>
      <c r="B1778" s="4">
        <v>66</v>
      </c>
      <c r="C1778" t="s">
        <v>11</v>
      </c>
      <c r="D1778" t="s">
        <v>41</v>
      </c>
      <c r="E1778" t="s">
        <v>24</v>
      </c>
      <c r="F1778" t="s">
        <v>20</v>
      </c>
      <c r="G1778" s="4">
        <v>12</v>
      </c>
      <c r="H1778" s="1">
        <v>5319</v>
      </c>
      <c r="I1778" s="3" t="s">
        <v>15</v>
      </c>
      <c r="J1778" s="4">
        <v>3</v>
      </c>
    </row>
    <row r="1779" spans="1:10" x14ac:dyDescent="0.35">
      <c r="A1779" s="2" t="s">
        <v>1815</v>
      </c>
      <c r="B1779" s="4">
        <v>36</v>
      </c>
      <c r="C1779" t="s">
        <v>17</v>
      </c>
      <c r="D1779" t="s">
        <v>49</v>
      </c>
      <c r="E1779" t="s">
        <v>42</v>
      </c>
      <c r="F1779" t="s">
        <v>20</v>
      </c>
      <c r="G1779" s="4">
        <v>11</v>
      </c>
      <c r="H1779" s="1">
        <v>11954</v>
      </c>
      <c r="I1779" s="3" t="s">
        <v>15</v>
      </c>
      <c r="J1779" s="4">
        <v>2</v>
      </c>
    </row>
    <row r="1780" spans="1:10" x14ac:dyDescent="0.35">
      <c r="A1780" s="2" t="s">
        <v>1816</v>
      </c>
      <c r="B1780" s="4">
        <v>5</v>
      </c>
      <c r="C1780" t="s">
        <v>11</v>
      </c>
      <c r="D1780" t="s">
        <v>36</v>
      </c>
      <c r="E1780" t="s">
        <v>42</v>
      </c>
      <c r="F1780" t="s">
        <v>20</v>
      </c>
      <c r="G1780" s="4">
        <v>11</v>
      </c>
      <c r="H1780" s="1">
        <v>96314</v>
      </c>
      <c r="I1780" s="3" t="s">
        <v>21</v>
      </c>
      <c r="J1780" s="4">
        <v>2</v>
      </c>
    </row>
    <row r="1781" spans="1:10" x14ac:dyDescent="0.35">
      <c r="A1781" s="2" t="s">
        <v>1817</v>
      </c>
      <c r="B1781" s="4">
        <v>58</v>
      </c>
      <c r="C1781" t="s">
        <v>17</v>
      </c>
      <c r="D1781" t="s">
        <v>49</v>
      </c>
      <c r="E1781" t="s">
        <v>53</v>
      </c>
      <c r="F1781" t="s">
        <v>14</v>
      </c>
      <c r="G1781" s="4">
        <v>11</v>
      </c>
      <c r="H1781" s="1">
        <v>6184</v>
      </c>
      <c r="I1781" s="3" t="s">
        <v>15</v>
      </c>
      <c r="J1781" s="4">
        <v>1</v>
      </c>
    </row>
    <row r="1782" spans="1:10" x14ac:dyDescent="0.35">
      <c r="A1782" s="2" t="s">
        <v>1818</v>
      </c>
      <c r="B1782" s="4">
        <v>2</v>
      </c>
      <c r="C1782" t="s">
        <v>17</v>
      </c>
      <c r="D1782" t="s">
        <v>26</v>
      </c>
      <c r="E1782" t="s">
        <v>42</v>
      </c>
      <c r="F1782" t="s">
        <v>30</v>
      </c>
      <c r="G1782" s="4">
        <v>6</v>
      </c>
      <c r="H1782" s="1">
        <v>81073</v>
      </c>
      <c r="I1782" s="3" t="s">
        <v>21</v>
      </c>
      <c r="J1782" s="4">
        <v>2</v>
      </c>
    </row>
    <row r="1783" spans="1:10" x14ac:dyDescent="0.35">
      <c r="A1783" s="2" t="s">
        <v>1819</v>
      </c>
      <c r="B1783" s="4">
        <v>54</v>
      </c>
      <c r="C1783" t="s">
        <v>11</v>
      </c>
      <c r="D1783" t="s">
        <v>23</v>
      </c>
      <c r="E1783" t="s">
        <v>19</v>
      </c>
      <c r="F1783" t="s">
        <v>20</v>
      </c>
      <c r="G1783" s="4">
        <v>8</v>
      </c>
      <c r="H1783" s="1">
        <v>44751</v>
      </c>
      <c r="I1783" s="3" t="s">
        <v>15</v>
      </c>
      <c r="J1783" s="4">
        <v>1</v>
      </c>
    </row>
    <row r="1784" spans="1:10" x14ac:dyDescent="0.35">
      <c r="A1784" s="2" t="s">
        <v>1820</v>
      </c>
      <c r="B1784" s="4">
        <v>29</v>
      </c>
      <c r="C1784" t="s">
        <v>11</v>
      </c>
      <c r="D1784" t="s">
        <v>18</v>
      </c>
      <c r="E1784" t="s">
        <v>34</v>
      </c>
      <c r="F1784" t="s">
        <v>20</v>
      </c>
      <c r="G1784" s="4">
        <v>9</v>
      </c>
      <c r="H1784" s="1">
        <v>76566</v>
      </c>
      <c r="I1784" s="3" t="s">
        <v>21</v>
      </c>
      <c r="J1784" s="4">
        <v>2</v>
      </c>
    </row>
    <row r="1785" spans="1:10" x14ac:dyDescent="0.35">
      <c r="A1785" s="2" t="s">
        <v>1821</v>
      </c>
      <c r="B1785" s="4">
        <v>8</v>
      </c>
      <c r="C1785" t="s">
        <v>17</v>
      </c>
      <c r="D1785" t="s">
        <v>49</v>
      </c>
      <c r="E1785" t="s">
        <v>42</v>
      </c>
      <c r="F1785" t="s">
        <v>30</v>
      </c>
      <c r="G1785" s="4">
        <v>8</v>
      </c>
      <c r="H1785" s="1">
        <v>23949</v>
      </c>
      <c r="I1785" s="3" t="s">
        <v>15</v>
      </c>
      <c r="J1785" s="4">
        <v>4</v>
      </c>
    </row>
    <row r="1786" spans="1:10" x14ac:dyDescent="0.35">
      <c r="A1786" s="2" t="s">
        <v>1822</v>
      </c>
      <c r="B1786" s="4">
        <v>81</v>
      </c>
      <c r="C1786" t="s">
        <v>17</v>
      </c>
      <c r="D1786" t="s">
        <v>33</v>
      </c>
      <c r="E1786" t="s">
        <v>29</v>
      </c>
      <c r="F1786" t="s">
        <v>14</v>
      </c>
      <c r="G1786" s="4">
        <v>6</v>
      </c>
      <c r="H1786" s="1">
        <v>23978</v>
      </c>
      <c r="I1786" s="3" t="s">
        <v>21</v>
      </c>
      <c r="J1786" s="4">
        <v>4</v>
      </c>
    </row>
    <row r="1787" spans="1:10" x14ac:dyDescent="0.35">
      <c r="A1787" s="2" t="s">
        <v>1823</v>
      </c>
      <c r="B1787" s="4">
        <v>15</v>
      </c>
      <c r="C1787" t="s">
        <v>17</v>
      </c>
      <c r="D1787" t="s">
        <v>36</v>
      </c>
      <c r="E1787" t="s">
        <v>29</v>
      </c>
      <c r="F1787" t="s">
        <v>20</v>
      </c>
      <c r="G1787" s="4">
        <v>8</v>
      </c>
      <c r="H1787" s="1">
        <v>63229</v>
      </c>
      <c r="I1787" s="3" t="s">
        <v>15</v>
      </c>
      <c r="J1787" s="4">
        <v>3</v>
      </c>
    </row>
    <row r="1788" spans="1:10" x14ac:dyDescent="0.35">
      <c r="A1788" s="2" t="s">
        <v>1824</v>
      </c>
      <c r="B1788" s="4">
        <v>74</v>
      </c>
      <c r="C1788" t="s">
        <v>17</v>
      </c>
      <c r="D1788" t="s">
        <v>28</v>
      </c>
      <c r="E1788" t="s">
        <v>19</v>
      </c>
      <c r="F1788" t="s">
        <v>30</v>
      </c>
      <c r="G1788" s="4">
        <v>14</v>
      </c>
      <c r="H1788" s="1">
        <v>25519</v>
      </c>
      <c r="I1788" s="3" t="s">
        <v>21</v>
      </c>
      <c r="J1788" s="4">
        <v>3</v>
      </c>
    </row>
    <row r="1789" spans="1:10" x14ac:dyDescent="0.35">
      <c r="A1789" s="2" t="s">
        <v>1825</v>
      </c>
      <c r="B1789" s="4">
        <v>84</v>
      </c>
      <c r="C1789" t="s">
        <v>17</v>
      </c>
      <c r="D1789" t="s">
        <v>41</v>
      </c>
      <c r="E1789" t="s">
        <v>27</v>
      </c>
      <c r="F1789" t="s">
        <v>14</v>
      </c>
      <c r="G1789" s="4">
        <v>6</v>
      </c>
      <c r="H1789" s="1">
        <v>43057</v>
      </c>
      <c r="I1789" s="3" t="s">
        <v>21</v>
      </c>
      <c r="J1789" s="4">
        <v>3</v>
      </c>
    </row>
    <row r="1790" spans="1:10" x14ac:dyDescent="0.35">
      <c r="A1790" s="2" t="s">
        <v>1826</v>
      </c>
      <c r="B1790" s="4">
        <v>71</v>
      </c>
      <c r="C1790" t="s">
        <v>17</v>
      </c>
      <c r="D1790" t="s">
        <v>26</v>
      </c>
      <c r="E1790" t="s">
        <v>42</v>
      </c>
      <c r="F1790" t="s">
        <v>20</v>
      </c>
      <c r="G1790" s="4">
        <v>12</v>
      </c>
      <c r="H1790" s="1">
        <v>80503</v>
      </c>
      <c r="I1790" s="3" t="s">
        <v>21</v>
      </c>
      <c r="J1790" s="4">
        <v>4</v>
      </c>
    </row>
    <row r="1791" spans="1:10" x14ac:dyDescent="0.35">
      <c r="A1791" s="2" t="s">
        <v>1827</v>
      </c>
      <c r="B1791" s="4">
        <v>67</v>
      </c>
      <c r="C1791" t="s">
        <v>11</v>
      </c>
      <c r="D1791" t="s">
        <v>18</v>
      </c>
      <c r="E1791" t="s">
        <v>24</v>
      </c>
      <c r="F1791" t="s">
        <v>30</v>
      </c>
      <c r="G1791" s="4">
        <v>7</v>
      </c>
      <c r="H1791" s="1">
        <v>32630</v>
      </c>
      <c r="I1791" s="3" t="s">
        <v>15</v>
      </c>
      <c r="J1791" s="4">
        <v>1</v>
      </c>
    </row>
    <row r="1792" spans="1:10" x14ac:dyDescent="0.35">
      <c r="A1792" s="2" t="s">
        <v>1828</v>
      </c>
      <c r="B1792" s="4">
        <v>5</v>
      </c>
      <c r="C1792" t="s">
        <v>11</v>
      </c>
      <c r="D1792" t="s">
        <v>49</v>
      </c>
      <c r="E1792" t="s">
        <v>24</v>
      </c>
      <c r="F1792" t="s">
        <v>14</v>
      </c>
      <c r="G1792" s="4">
        <v>11</v>
      </c>
      <c r="H1792" s="1">
        <v>53093</v>
      </c>
      <c r="I1792" s="3" t="s">
        <v>15</v>
      </c>
      <c r="J1792" s="4">
        <v>1</v>
      </c>
    </row>
    <row r="1793" spans="1:10" x14ac:dyDescent="0.35">
      <c r="A1793" s="2" t="s">
        <v>1829</v>
      </c>
      <c r="B1793" s="4">
        <v>62</v>
      </c>
      <c r="C1793" t="s">
        <v>17</v>
      </c>
      <c r="D1793" t="s">
        <v>28</v>
      </c>
      <c r="E1793" t="s">
        <v>42</v>
      </c>
      <c r="F1793" t="s">
        <v>30</v>
      </c>
      <c r="G1793" s="4">
        <v>9</v>
      </c>
      <c r="H1793" s="1">
        <v>73905</v>
      </c>
      <c r="I1793" s="3" t="s">
        <v>21</v>
      </c>
      <c r="J1793" s="4">
        <v>2</v>
      </c>
    </row>
    <row r="1794" spans="1:10" x14ac:dyDescent="0.35">
      <c r="A1794" s="2" t="s">
        <v>1830</v>
      </c>
      <c r="B1794" s="4">
        <v>89</v>
      </c>
      <c r="C1794" t="s">
        <v>17</v>
      </c>
      <c r="D1794" t="s">
        <v>36</v>
      </c>
      <c r="E1794" t="s">
        <v>24</v>
      </c>
      <c r="F1794" t="s">
        <v>30</v>
      </c>
      <c r="G1794" s="4">
        <v>6</v>
      </c>
      <c r="H1794" s="1">
        <v>72972</v>
      </c>
      <c r="I1794" s="3" t="s">
        <v>21</v>
      </c>
      <c r="J1794" s="4">
        <v>5</v>
      </c>
    </row>
    <row r="1795" spans="1:10" x14ac:dyDescent="0.35">
      <c r="A1795" s="2" t="s">
        <v>1831</v>
      </c>
      <c r="B1795" s="4">
        <v>67</v>
      </c>
      <c r="C1795" t="s">
        <v>11</v>
      </c>
      <c r="D1795" t="s">
        <v>41</v>
      </c>
      <c r="E1795" t="s">
        <v>65</v>
      </c>
      <c r="F1795" t="s">
        <v>14</v>
      </c>
      <c r="G1795" s="4">
        <v>13</v>
      </c>
      <c r="H1795" s="1">
        <v>91725</v>
      </c>
      <c r="I1795" s="3" t="s">
        <v>15</v>
      </c>
      <c r="J1795" s="4">
        <v>5</v>
      </c>
    </row>
    <row r="1796" spans="1:10" x14ac:dyDescent="0.35">
      <c r="A1796" s="2" t="s">
        <v>1832</v>
      </c>
      <c r="B1796" s="4">
        <v>79</v>
      </c>
      <c r="C1796" t="s">
        <v>17</v>
      </c>
      <c r="D1796" t="s">
        <v>49</v>
      </c>
      <c r="E1796" t="s">
        <v>24</v>
      </c>
      <c r="F1796" t="s">
        <v>30</v>
      </c>
      <c r="G1796" s="4">
        <v>6</v>
      </c>
      <c r="H1796" s="1">
        <v>53108</v>
      </c>
      <c r="I1796" s="3" t="s">
        <v>21</v>
      </c>
      <c r="J1796" s="4">
        <v>2</v>
      </c>
    </row>
    <row r="1797" spans="1:10" x14ac:dyDescent="0.35">
      <c r="A1797" s="2" t="s">
        <v>1833</v>
      </c>
      <c r="B1797" s="4">
        <v>20</v>
      </c>
      <c r="C1797" t="s">
        <v>17</v>
      </c>
      <c r="D1797" t="s">
        <v>41</v>
      </c>
      <c r="E1797" t="s">
        <v>27</v>
      </c>
      <c r="F1797" t="s">
        <v>14</v>
      </c>
      <c r="G1797" s="4">
        <v>3</v>
      </c>
      <c r="H1797" s="1">
        <v>79924</v>
      </c>
      <c r="I1797" s="3" t="s">
        <v>15</v>
      </c>
      <c r="J1797" s="4">
        <v>3</v>
      </c>
    </row>
    <row r="1798" spans="1:10" x14ac:dyDescent="0.35">
      <c r="A1798" s="2" t="s">
        <v>1834</v>
      </c>
      <c r="B1798" s="4">
        <v>32</v>
      </c>
      <c r="C1798" t="s">
        <v>17</v>
      </c>
      <c r="D1798" t="s">
        <v>41</v>
      </c>
      <c r="E1798" t="s">
        <v>37</v>
      </c>
      <c r="F1798" t="s">
        <v>30</v>
      </c>
      <c r="G1798" s="4">
        <v>15</v>
      </c>
      <c r="H1798" s="1">
        <v>78524</v>
      </c>
      <c r="I1798" s="3" t="s">
        <v>21</v>
      </c>
      <c r="J1798" s="4">
        <v>4</v>
      </c>
    </row>
    <row r="1799" spans="1:10" x14ac:dyDescent="0.35">
      <c r="A1799" s="2" t="s">
        <v>1835</v>
      </c>
      <c r="B1799" s="4">
        <v>61</v>
      </c>
      <c r="C1799" t="s">
        <v>17</v>
      </c>
      <c r="D1799" t="s">
        <v>18</v>
      </c>
      <c r="E1799" t="s">
        <v>37</v>
      </c>
      <c r="F1799" t="s">
        <v>14</v>
      </c>
      <c r="G1799" s="4">
        <v>10</v>
      </c>
      <c r="H1799" s="1">
        <v>22087</v>
      </c>
      <c r="I1799" s="3" t="s">
        <v>15</v>
      </c>
      <c r="J1799" s="4">
        <v>3</v>
      </c>
    </row>
    <row r="1800" spans="1:10" x14ac:dyDescent="0.35">
      <c r="A1800" s="2" t="s">
        <v>1836</v>
      </c>
      <c r="B1800" s="4">
        <v>68</v>
      </c>
      <c r="C1800" t="s">
        <v>11</v>
      </c>
      <c r="D1800" t="s">
        <v>33</v>
      </c>
      <c r="E1800" t="s">
        <v>13</v>
      </c>
      <c r="F1800" t="s">
        <v>30</v>
      </c>
      <c r="G1800" s="4">
        <v>5</v>
      </c>
      <c r="H1800" s="1">
        <v>50966</v>
      </c>
      <c r="I1800" s="3" t="s">
        <v>15</v>
      </c>
      <c r="J1800" s="4">
        <v>2</v>
      </c>
    </row>
    <row r="1801" spans="1:10" x14ac:dyDescent="0.35">
      <c r="A1801" s="2" t="s">
        <v>1837</v>
      </c>
      <c r="B1801" s="4">
        <v>33</v>
      </c>
      <c r="C1801" t="s">
        <v>11</v>
      </c>
      <c r="D1801" t="s">
        <v>12</v>
      </c>
      <c r="E1801" t="s">
        <v>37</v>
      </c>
      <c r="F1801" t="s">
        <v>20</v>
      </c>
      <c r="G1801" s="4">
        <v>10</v>
      </c>
      <c r="H1801" s="1">
        <v>52300</v>
      </c>
      <c r="I1801" s="3" t="s">
        <v>21</v>
      </c>
      <c r="J1801" s="4">
        <v>3</v>
      </c>
    </row>
    <row r="1802" spans="1:10" x14ac:dyDescent="0.35">
      <c r="A1802" s="2" t="s">
        <v>1838</v>
      </c>
      <c r="B1802" s="4">
        <v>83</v>
      </c>
      <c r="C1802" t="s">
        <v>11</v>
      </c>
      <c r="D1802" t="s">
        <v>39</v>
      </c>
      <c r="E1802" t="s">
        <v>42</v>
      </c>
      <c r="F1802" t="s">
        <v>20</v>
      </c>
      <c r="G1802" s="4">
        <v>1</v>
      </c>
      <c r="H1802" s="1">
        <v>73503</v>
      </c>
      <c r="I1802" s="3" t="s">
        <v>15</v>
      </c>
      <c r="J1802" s="4">
        <v>1</v>
      </c>
    </row>
    <row r="1803" spans="1:10" x14ac:dyDescent="0.35">
      <c r="A1803" s="2" t="s">
        <v>1839</v>
      </c>
      <c r="B1803" s="4">
        <v>3</v>
      </c>
      <c r="C1803" t="s">
        <v>11</v>
      </c>
      <c r="D1803" t="s">
        <v>18</v>
      </c>
      <c r="E1803" t="s">
        <v>53</v>
      </c>
      <c r="F1803" t="s">
        <v>30</v>
      </c>
      <c r="G1803" s="4">
        <v>4</v>
      </c>
      <c r="H1803" s="1">
        <v>65118</v>
      </c>
      <c r="I1803" s="3" t="s">
        <v>15</v>
      </c>
      <c r="J1803" s="4">
        <v>3</v>
      </c>
    </row>
    <row r="1804" spans="1:10" x14ac:dyDescent="0.35">
      <c r="A1804" s="2" t="s">
        <v>1840</v>
      </c>
      <c r="B1804" s="4">
        <v>29</v>
      </c>
      <c r="C1804" t="s">
        <v>17</v>
      </c>
      <c r="D1804" t="s">
        <v>23</v>
      </c>
      <c r="E1804" t="s">
        <v>13</v>
      </c>
      <c r="F1804" t="s">
        <v>14</v>
      </c>
      <c r="G1804" s="4">
        <v>5</v>
      </c>
      <c r="H1804" s="1">
        <v>12454</v>
      </c>
      <c r="I1804" s="3" t="s">
        <v>21</v>
      </c>
      <c r="J1804" s="4">
        <v>1</v>
      </c>
    </row>
    <row r="1805" spans="1:10" x14ac:dyDescent="0.35">
      <c r="A1805" s="2" t="s">
        <v>1841</v>
      </c>
      <c r="B1805" s="4">
        <v>20</v>
      </c>
      <c r="C1805" t="s">
        <v>17</v>
      </c>
      <c r="D1805" t="s">
        <v>26</v>
      </c>
      <c r="E1805" t="s">
        <v>27</v>
      </c>
      <c r="F1805" t="s">
        <v>20</v>
      </c>
      <c r="G1805" s="4">
        <v>9</v>
      </c>
      <c r="H1805" s="1">
        <v>10423</v>
      </c>
      <c r="I1805" s="3" t="s">
        <v>21</v>
      </c>
      <c r="J1805" s="4">
        <v>4</v>
      </c>
    </row>
    <row r="1806" spans="1:10" x14ac:dyDescent="0.35">
      <c r="A1806" s="2" t="s">
        <v>1842</v>
      </c>
      <c r="B1806" s="4">
        <v>46</v>
      </c>
      <c r="C1806" t="s">
        <v>11</v>
      </c>
      <c r="D1806" t="s">
        <v>28</v>
      </c>
      <c r="E1806" t="s">
        <v>24</v>
      </c>
      <c r="F1806" t="s">
        <v>30</v>
      </c>
      <c r="G1806" s="4">
        <v>7</v>
      </c>
      <c r="H1806" s="1">
        <v>11764</v>
      </c>
      <c r="I1806" s="3" t="s">
        <v>15</v>
      </c>
      <c r="J1806" s="4">
        <v>5</v>
      </c>
    </row>
    <row r="1807" spans="1:10" x14ac:dyDescent="0.35">
      <c r="A1807" s="2" t="s">
        <v>1843</v>
      </c>
      <c r="B1807" s="4">
        <v>3</v>
      </c>
      <c r="C1807" t="s">
        <v>17</v>
      </c>
      <c r="D1807" t="s">
        <v>28</v>
      </c>
      <c r="E1807" t="s">
        <v>19</v>
      </c>
      <c r="F1807" t="s">
        <v>20</v>
      </c>
      <c r="G1807" s="4">
        <v>5</v>
      </c>
      <c r="H1807" s="1">
        <v>54607</v>
      </c>
      <c r="I1807" s="3" t="s">
        <v>21</v>
      </c>
      <c r="J1807" s="4">
        <v>3</v>
      </c>
    </row>
    <row r="1808" spans="1:10" x14ac:dyDescent="0.35">
      <c r="A1808" s="2" t="s">
        <v>1844</v>
      </c>
      <c r="B1808" s="4">
        <v>80</v>
      </c>
      <c r="C1808" t="s">
        <v>17</v>
      </c>
      <c r="D1808" t="s">
        <v>18</v>
      </c>
      <c r="E1808" t="s">
        <v>53</v>
      </c>
      <c r="F1808" t="s">
        <v>20</v>
      </c>
      <c r="G1808" s="4">
        <v>3</v>
      </c>
      <c r="H1808" s="1">
        <v>60331</v>
      </c>
      <c r="I1808" s="3" t="s">
        <v>21</v>
      </c>
      <c r="J1808" s="4">
        <v>5</v>
      </c>
    </row>
    <row r="1809" spans="1:10" x14ac:dyDescent="0.35">
      <c r="A1809" s="2" t="s">
        <v>1845</v>
      </c>
      <c r="B1809" s="4">
        <v>42</v>
      </c>
      <c r="C1809" t="s">
        <v>17</v>
      </c>
      <c r="D1809" t="s">
        <v>23</v>
      </c>
      <c r="E1809" t="s">
        <v>29</v>
      </c>
      <c r="F1809" t="s">
        <v>14</v>
      </c>
      <c r="G1809" s="4">
        <v>13</v>
      </c>
      <c r="H1809" s="1">
        <v>90900</v>
      </c>
      <c r="I1809" s="3" t="s">
        <v>15</v>
      </c>
      <c r="J1809" s="4">
        <v>3</v>
      </c>
    </row>
    <row r="1810" spans="1:10" x14ac:dyDescent="0.35">
      <c r="A1810" s="2" t="s">
        <v>1846</v>
      </c>
      <c r="B1810" s="4">
        <v>44</v>
      </c>
      <c r="C1810" t="s">
        <v>17</v>
      </c>
      <c r="D1810" t="s">
        <v>18</v>
      </c>
      <c r="E1810" t="s">
        <v>34</v>
      </c>
      <c r="F1810" t="s">
        <v>14</v>
      </c>
      <c r="G1810" s="4">
        <v>12</v>
      </c>
      <c r="H1810" s="1">
        <v>68013</v>
      </c>
      <c r="I1810" s="3" t="s">
        <v>15</v>
      </c>
      <c r="J1810" s="4">
        <v>5</v>
      </c>
    </row>
    <row r="1811" spans="1:10" x14ac:dyDescent="0.35">
      <c r="A1811" s="2" t="s">
        <v>1847</v>
      </c>
      <c r="B1811" s="4">
        <v>68</v>
      </c>
      <c r="C1811" t="s">
        <v>11</v>
      </c>
      <c r="D1811" t="s">
        <v>28</v>
      </c>
      <c r="E1811" t="s">
        <v>13</v>
      </c>
      <c r="F1811" t="s">
        <v>20</v>
      </c>
      <c r="G1811" s="4">
        <v>12</v>
      </c>
      <c r="H1811" s="1">
        <v>68724</v>
      </c>
      <c r="I1811" s="3" t="s">
        <v>15</v>
      </c>
      <c r="J1811" s="4">
        <v>3</v>
      </c>
    </row>
    <row r="1812" spans="1:10" x14ac:dyDescent="0.35">
      <c r="A1812" s="2" t="s">
        <v>1848</v>
      </c>
      <c r="B1812" s="4">
        <v>11</v>
      </c>
      <c r="C1812" t="s">
        <v>17</v>
      </c>
      <c r="D1812" t="s">
        <v>12</v>
      </c>
      <c r="E1812" t="s">
        <v>19</v>
      </c>
      <c r="F1812" t="s">
        <v>14</v>
      </c>
      <c r="G1812" s="4">
        <v>5</v>
      </c>
      <c r="H1812" s="1">
        <v>91930</v>
      </c>
      <c r="I1812" s="3" t="s">
        <v>21</v>
      </c>
      <c r="J1812" s="4">
        <v>3</v>
      </c>
    </row>
    <row r="1813" spans="1:10" x14ac:dyDescent="0.35">
      <c r="A1813" s="2" t="s">
        <v>1849</v>
      </c>
      <c r="B1813" s="4">
        <v>53</v>
      </c>
      <c r="C1813" t="s">
        <v>11</v>
      </c>
      <c r="D1813" t="s">
        <v>41</v>
      </c>
      <c r="E1813" t="s">
        <v>27</v>
      </c>
      <c r="F1813" t="s">
        <v>14</v>
      </c>
      <c r="G1813" s="4">
        <v>6</v>
      </c>
      <c r="H1813" s="1">
        <v>47042</v>
      </c>
      <c r="I1813" s="3" t="s">
        <v>21</v>
      </c>
      <c r="J1813" s="4">
        <v>4</v>
      </c>
    </row>
    <row r="1814" spans="1:10" x14ac:dyDescent="0.35">
      <c r="A1814" s="2" t="s">
        <v>1850</v>
      </c>
      <c r="B1814" s="4">
        <v>41</v>
      </c>
      <c r="C1814" t="s">
        <v>17</v>
      </c>
      <c r="D1814" t="s">
        <v>23</v>
      </c>
      <c r="E1814" t="s">
        <v>13</v>
      </c>
      <c r="F1814" t="s">
        <v>14</v>
      </c>
      <c r="G1814" s="4">
        <v>13</v>
      </c>
      <c r="H1814" s="1">
        <v>88744</v>
      </c>
      <c r="I1814" s="3" t="s">
        <v>15</v>
      </c>
      <c r="J1814" s="4">
        <v>4</v>
      </c>
    </row>
    <row r="1815" spans="1:10" x14ac:dyDescent="0.35">
      <c r="A1815" s="2" t="s">
        <v>1851</v>
      </c>
      <c r="B1815" s="4">
        <v>8</v>
      </c>
      <c r="C1815" t="s">
        <v>17</v>
      </c>
      <c r="D1815" t="s">
        <v>26</v>
      </c>
      <c r="E1815" t="s">
        <v>19</v>
      </c>
      <c r="F1815" t="s">
        <v>20</v>
      </c>
      <c r="G1815" s="4">
        <v>7</v>
      </c>
      <c r="H1815" s="1">
        <v>65084</v>
      </c>
      <c r="I1815" s="3" t="s">
        <v>21</v>
      </c>
      <c r="J1815" s="4">
        <v>3</v>
      </c>
    </row>
    <row r="1816" spans="1:10" x14ac:dyDescent="0.35">
      <c r="A1816" s="2" t="s">
        <v>1852</v>
      </c>
      <c r="B1816" s="4">
        <v>72</v>
      </c>
      <c r="C1816" t="s">
        <v>17</v>
      </c>
      <c r="D1816" t="s">
        <v>23</v>
      </c>
      <c r="E1816" t="s">
        <v>42</v>
      </c>
      <c r="F1816" t="s">
        <v>14</v>
      </c>
      <c r="G1816" s="4">
        <v>9</v>
      </c>
      <c r="H1816" s="1">
        <v>73615</v>
      </c>
      <c r="I1816" s="3" t="s">
        <v>15</v>
      </c>
      <c r="J1816" s="4">
        <v>1</v>
      </c>
    </row>
    <row r="1817" spans="1:10" x14ac:dyDescent="0.35">
      <c r="A1817" s="2" t="s">
        <v>1853</v>
      </c>
      <c r="B1817" s="4">
        <v>25</v>
      </c>
      <c r="C1817" t="s">
        <v>11</v>
      </c>
      <c r="D1817" t="s">
        <v>23</v>
      </c>
      <c r="E1817" t="s">
        <v>65</v>
      </c>
      <c r="F1817" t="s">
        <v>30</v>
      </c>
      <c r="G1817" s="4">
        <v>7</v>
      </c>
      <c r="H1817" s="1">
        <v>73371</v>
      </c>
      <c r="I1817" s="3" t="s">
        <v>15</v>
      </c>
      <c r="J1817" s="4">
        <v>5</v>
      </c>
    </row>
    <row r="1818" spans="1:10" x14ac:dyDescent="0.35">
      <c r="A1818" s="2" t="s">
        <v>1854</v>
      </c>
      <c r="B1818" s="4">
        <v>36</v>
      </c>
      <c r="C1818" t="s">
        <v>17</v>
      </c>
      <c r="D1818" t="s">
        <v>18</v>
      </c>
      <c r="E1818" t="s">
        <v>24</v>
      </c>
      <c r="F1818" t="s">
        <v>20</v>
      </c>
      <c r="G1818" s="4">
        <v>12</v>
      </c>
      <c r="H1818" s="1">
        <v>96585</v>
      </c>
      <c r="I1818" s="3" t="s">
        <v>21</v>
      </c>
      <c r="J1818" s="4">
        <v>3</v>
      </c>
    </row>
    <row r="1819" spans="1:10" x14ac:dyDescent="0.35">
      <c r="A1819" s="2" t="s">
        <v>1855</v>
      </c>
      <c r="B1819" s="4">
        <v>31</v>
      </c>
      <c r="C1819" t="s">
        <v>17</v>
      </c>
      <c r="D1819" t="s">
        <v>12</v>
      </c>
      <c r="E1819" t="s">
        <v>42</v>
      </c>
      <c r="F1819" t="s">
        <v>20</v>
      </c>
      <c r="G1819" s="4">
        <v>8</v>
      </c>
      <c r="H1819" s="1">
        <v>74787</v>
      </c>
      <c r="I1819" s="3" t="s">
        <v>15</v>
      </c>
      <c r="J1819" s="4">
        <v>2</v>
      </c>
    </row>
    <row r="1820" spans="1:10" x14ac:dyDescent="0.35">
      <c r="A1820" s="2" t="s">
        <v>1856</v>
      </c>
      <c r="B1820" s="4">
        <v>42</v>
      </c>
      <c r="C1820" t="s">
        <v>17</v>
      </c>
      <c r="D1820" t="s">
        <v>33</v>
      </c>
      <c r="E1820" t="s">
        <v>53</v>
      </c>
      <c r="F1820" t="s">
        <v>30</v>
      </c>
      <c r="G1820" s="4">
        <v>13</v>
      </c>
      <c r="H1820" s="1">
        <v>16167</v>
      </c>
      <c r="I1820" s="3" t="s">
        <v>15</v>
      </c>
      <c r="J1820" s="4">
        <v>1</v>
      </c>
    </row>
    <row r="1821" spans="1:10" x14ac:dyDescent="0.35">
      <c r="A1821" s="2" t="s">
        <v>1857</v>
      </c>
      <c r="B1821" s="4">
        <v>85</v>
      </c>
      <c r="C1821" t="s">
        <v>17</v>
      </c>
      <c r="D1821" t="s">
        <v>39</v>
      </c>
      <c r="E1821" t="s">
        <v>13</v>
      </c>
      <c r="F1821" t="s">
        <v>20</v>
      </c>
      <c r="G1821" s="4">
        <v>3</v>
      </c>
      <c r="H1821" s="1">
        <v>94936</v>
      </c>
      <c r="I1821" s="3" t="s">
        <v>21</v>
      </c>
      <c r="J1821" s="4">
        <v>1</v>
      </c>
    </row>
    <row r="1822" spans="1:10" x14ac:dyDescent="0.35">
      <c r="A1822" s="2" t="s">
        <v>1858</v>
      </c>
      <c r="B1822" s="4">
        <v>60</v>
      </c>
      <c r="C1822" t="s">
        <v>11</v>
      </c>
      <c r="D1822" t="s">
        <v>23</v>
      </c>
      <c r="E1822" t="s">
        <v>27</v>
      </c>
      <c r="F1822" t="s">
        <v>14</v>
      </c>
      <c r="G1822" s="4">
        <v>5</v>
      </c>
      <c r="H1822" s="1">
        <v>56594</v>
      </c>
      <c r="I1822" s="3" t="s">
        <v>15</v>
      </c>
      <c r="J1822" s="4">
        <v>2</v>
      </c>
    </row>
    <row r="1823" spans="1:10" x14ac:dyDescent="0.35">
      <c r="A1823" s="2" t="s">
        <v>1859</v>
      </c>
      <c r="B1823" s="4">
        <v>34</v>
      </c>
      <c r="C1823" t="s">
        <v>11</v>
      </c>
      <c r="D1823" t="s">
        <v>23</v>
      </c>
      <c r="E1823" t="s">
        <v>34</v>
      </c>
      <c r="F1823" t="s">
        <v>20</v>
      </c>
      <c r="G1823" s="4">
        <v>2</v>
      </c>
      <c r="H1823" s="1">
        <v>98061</v>
      </c>
      <c r="I1823" s="3" t="s">
        <v>15</v>
      </c>
      <c r="J1823" s="4">
        <v>4</v>
      </c>
    </row>
    <row r="1824" spans="1:10" x14ac:dyDescent="0.35">
      <c r="A1824" s="2" t="s">
        <v>1860</v>
      </c>
      <c r="B1824" s="4">
        <v>86</v>
      </c>
      <c r="C1824" t="s">
        <v>17</v>
      </c>
      <c r="D1824" t="s">
        <v>23</v>
      </c>
      <c r="E1824" t="s">
        <v>53</v>
      </c>
      <c r="F1824" t="s">
        <v>30</v>
      </c>
      <c r="G1824" s="4">
        <v>6</v>
      </c>
      <c r="H1824" s="1">
        <v>80934</v>
      </c>
      <c r="I1824" s="3" t="s">
        <v>15</v>
      </c>
      <c r="J1824" s="4">
        <v>5</v>
      </c>
    </row>
    <row r="1825" spans="1:10" x14ac:dyDescent="0.35">
      <c r="A1825" s="2" t="s">
        <v>1861</v>
      </c>
      <c r="B1825" s="4">
        <v>56</v>
      </c>
      <c r="C1825" t="s">
        <v>11</v>
      </c>
      <c r="D1825" t="s">
        <v>39</v>
      </c>
      <c r="E1825" t="s">
        <v>42</v>
      </c>
      <c r="F1825" t="s">
        <v>30</v>
      </c>
      <c r="G1825" s="4">
        <v>4</v>
      </c>
      <c r="H1825" s="1">
        <v>61510</v>
      </c>
      <c r="I1825" s="3" t="s">
        <v>21</v>
      </c>
      <c r="J1825" s="4">
        <v>3</v>
      </c>
    </row>
    <row r="1826" spans="1:10" x14ac:dyDescent="0.35">
      <c r="A1826" s="2" t="s">
        <v>1862</v>
      </c>
      <c r="B1826" s="4">
        <v>75</v>
      </c>
      <c r="C1826" t="s">
        <v>17</v>
      </c>
      <c r="D1826" t="s">
        <v>41</v>
      </c>
      <c r="E1826" t="s">
        <v>65</v>
      </c>
      <c r="F1826" t="s">
        <v>14</v>
      </c>
      <c r="G1826" s="4">
        <v>15</v>
      </c>
      <c r="H1826" s="1">
        <v>25083</v>
      </c>
      <c r="I1826" s="3" t="s">
        <v>15</v>
      </c>
      <c r="J1826" s="4">
        <v>5</v>
      </c>
    </row>
    <row r="1827" spans="1:10" x14ac:dyDescent="0.35">
      <c r="A1827" s="2" t="s">
        <v>1863</v>
      </c>
      <c r="B1827" s="4">
        <v>3</v>
      </c>
      <c r="C1827" t="s">
        <v>17</v>
      </c>
      <c r="D1827" t="s">
        <v>23</v>
      </c>
      <c r="E1827" t="s">
        <v>65</v>
      </c>
      <c r="F1827" t="s">
        <v>20</v>
      </c>
      <c r="G1827" s="4">
        <v>12</v>
      </c>
      <c r="H1827" s="1">
        <v>7631</v>
      </c>
      <c r="I1827" s="3" t="s">
        <v>21</v>
      </c>
      <c r="J1827" s="4">
        <v>5</v>
      </c>
    </row>
    <row r="1828" spans="1:10" x14ac:dyDescent="0.35">
      <c r="A1828" s="2" t="s">
        <v>1864</v>
      </c>
      <c r="B1828" s="4">
        <v>73</v>
      </c>
      <c r="C1828" t="s">
        <v>17</v>
      </c>
      <c r="D1828" t="s">
        <v>49</v>
      </c>
      <c r="E1828" t="s">
        <v>13</v>
      </c>
      <c r="F1828" t="s">
        <v>14</v>
      </c>
      <c r="G1828" s="4">
        <v>1</v>
      </c>
      <c r="H1828" s="1">
        <v>92706</v>
      </c>
      <c r="I1828" s="3" t="s">
        <v>15</v>
      </c>
      <c r="J1828" s="4">
        <v>2</v>
      </c>
    </row>
    <row r="1829" spans="1:10" x14ac:dyDescent="0.35">
      <c r="A1829" s="2" t="s">
        <v>1865</v>
      </c>
      <c r="B1829" s="4">
        <v>66</v>
      </c>
      <c r="C1829" t="s">
        <v>17</v>
      </c>
      <c r="D1829" t="s">
        <v>36</v>
      </c>
      <c r="E1829" t="s">
        <v>19</v>
      </c>
      <c r="F1829" t="s">
        <v>14</v>
      </c>
      <c r="G1829" s="4">
        <v>13</v>
      </c>
      <c r="H1829" s="1">
        <v>17750</v>
      </c>
      <c r="I1829" s="3" t="s">
        <v>21</v>
      </c>
      <c r="J1829" s="4">
        <v>4</v>
      </c>
    </row>
    <row r="1830" spans="1:10" x14ac:dyDescent="0.35">
      <c r="A1830" s="2" t="s">
        <v>1866</v>
      </c>
      <c r="B1830" s="4">
        <v>50</v>
      </c>
      <c r="C1830" t="s">
        <v>17</v>
      </c>
      <c r="D1830" t="s">
        <v>36</v>
      </c>
      <c r="E1830" t="s">
        <v>53</v>
      </c>
      <c r="F1830" t="s">
        <v>30</v>
      </c>
      <c r="G1830" s="4">
        <v>14</v>
      </c>
      <c r="H1830" s="1">
        <v>30663</v>
      </c>
      <c r="I1830" s="3" t="s">
        <v>15</v>
      </c>
      <c r="J1830" s="4">
        <v>5</v>
      </c>
    </row>
    <row r="1831" spans="1:10" x14ac:dyDescent="0.35">
      <c r="A1831" s="2" t="s">
        <v>1867</v>
      </c>
      <c r="B1831" s="4">
        <v>63</v>
      </c>
      <c r="C1831" t="s">
        <v>17</v>
      </c>
      <c r="D1831" t="s">
        <v>39</v>
      </c>
      <c r="E1831" t="s">
        <v>65</v>
      </c>
      <c r="F1831" t="s">
        <v>30</v>
      </c>
      <c r="G1831" s="4">
        <v>11</v>
      </c>
      <c r="H1831" s="1">
        <v>66006</v>
      </c>
      <c r="I1831" s="3" t="s">
        <v>21</v>
      </c>
      <c r="J1831" s="4">
        <v>3</v>
      </c>
    </row>
    <row r="1832" spans="1:10" x14ac:dyDescent="0.35">
      <c r="A1832" s="2" t="s">
        <v>1868</v>
      </c>
      <c r="B1832" s="4">
        <v>83</v>
      </c>
      <c r="C1832" t="s">
        <v>11</v>
      </c>
      <c r="D1832" t="s">
        <v>33</v>
      </c>
      <c r="E1832" t="s">
        <v>13</v>
      </c>
      <c r="F1832" t="s">
        <v>14</v>
      </c>
      <c r="G1832" s="4">
        <v>1</v>
      </c>
      <c r="H1832" s="1">
        <v>5863</v>
      </c>
      <c r="I1832" s="3" t="s">
        <v>15</v>
      </c>
      <c r="J1832" s="4">
        <v>1</v>
      </c>
    </row>
    <row r="1833" spans="1:10" x14ac:dyDescent="0.35">
      <c r="A1833" s="2" t="s">
        <v>1869</v>
      </c>
      <c r="B1833" s="4">
        <v>58</v>
      </c>
      <c r="C1833" t="s">
        <v>11</v>
      </c>
      <c r="D1833" t="s">
        <v>33</v>
      </c>
      <c r="E1833" t="s">
        <v>65</v>
      </c>
      <c r="F1833" t="s">
        <v>20</v>
      </c>
      <c r="G1833" s="4">
        <v>12</v>
      </c>
      <c r="H1833" s="1">
        <v>5545</v>
      </c>
      <c r="I1833" s="3" t="s">
        <v>15</v>
      </c>
      <c r="J1833" s="4">
        <v>4</v>
      </c>
    </row>
    <row r="1834" spans="1:10" x14ac:dyDescent="0.35">
      <c r="A1834" s="2" t="s">
        <v>1870</v>
      </c>
      <c r="B1834" s="4">
        <v>82</v>
      </c>
      <c r="C1834" t="s">
        <v>17</v>
      </c>
      <c r="D1834" t="s">
        <v>49</v>
      </c>
      <c r="E1834" t="s">
        <v>24</v>
      </c>
      <c r="F1834" t="s">
        <v>20</v>
      </c>
      <c r="G1834" s="4">
        <v>1</v>
      </c>
      <c r="H1834" s="1">
        <v>34488</v>
      </c>
      <c r="I1834" s="3" t="s">
        <v>21</v>
      </c>
      <c r="J1834" s="4">
        <v>2</v>
      </c>
    </row>
    <row r="1835" spans="1:10" x14ac:dyDescent="0.35">
      <c r="A1835" s="2" t="s">
        <v>1871</v>
      </c>
      <c r="B1835" s="4">
        <v>80</v>
      </c>
      <c r="C1835" t="s">
        <v>17</v>
      </c>
      <c r="D1835" t="s">
        <v>18</v>
      </c>
      <c r="E1835" t="s">
        <v>24</v>
      </c>
      <c r="F1835" t="s">
        <v>20</v>
      </c>
      <c r="G1835" s="4">
        <v>8</v>
      </c>
      <c r="H1835" s="1">
        <v>96707</v>
      </c>
      <c r="I1835" s="3" t="s">
        <v>21</v>
      </c>
      <c r="J1835" s="4">
        <v>4</v>
      </c>
    </row>
    <row r="1836" spans="1:10" x14ac:dyDescent="0.35">
      <c r="A1836" s="2" t="s">
        <v>1872</v>
      </c>
      <c r="B1836" s="4">
        <v>14</v>
      </c>
      <c r="C1836" t="s">
        <v>17</v>
      </c>
      <c r="D1836" t="s">
        <v>36</v>
      </c>
      <c r="E1836" t="s">
        <v>42</v>
      </c>
      <c r="F1836" t="s">
        <v>20</v>
      </c>
      <c r="G1836" s="4">
        <v>11</v>
      </c>
      <c r="H1836" s="1">
        <v>83720</v>
      </c>
      <c r="I1836" s="3" t="s">
        <v>15</v>
      </c>
      <c r="J1836" s="4">
        <v>3</v>
      </c>
    </row>
    <row r="1837" spans="1:10" x14ac:dyDescent="0.35">
      <c r="A1837" s="2" t="s">
        <v>1873</v>
      </c>
      <c r="B1837" s="4">
        <v>13</v>
      </c>
      <c r="C1837" t="s">
        <v>17</v>
      </c>
      <c r="D1837" t="s">
        <v>36</v>
      </c>
      <c r="E1837" t="s">
        <v>53</v>
      </c>
      <c r="F1837" t="s">
        <v>20</v>
      </c>
      <c r="G1837" s="4">
        <v>3</v>
      </c>
      <c r="H1837" s="1">
        <v>12035</v>
      </c>
      <c r="I1837" s="3" t="s">
        <v>15</v>
      </c>
      <c r="J1837" s="4">
        <v>2</v>
      </c>
    </row>
    <row r="1838" spans="1:10" x14ac:dyDescent="0.35">
      <c r="A1838" s="2" t="s">
        <v>1874</v>
      </c>
      <c r="B1838" s="4">
        <v>80</v>
      </c>
      <c r="C1838" t="s">
        <v>11</v>
      </c>
      <c r="D1838" t="s">
        <v>26</v>
      </c>
      <c r="E1838" t="s">
        <v>19</v>
      </c>
      <c r="F1838" t="s">
        <v>14</v>
      </c>
      <c r="G1838" s="4">
        <v>3</v>
      </c>
      <c r="H1838" s="1">
        <v>34632</v>
      </c>
      <c r="I1838" s="3" t="s">
        <v>15</v>
      </c>
      <c r="J1838" s="4">
        <v>3</v>
      </c>
    </row>
    <row r="1839" spans="1:10" x14ac:dyDescent="0.35">
      <c r="A1839" s="2" t="s">
        <v>1875</v>
      </c>
      <c r="B1839" s="4">
        <v>29</v>
      </c>
      <c r="C1839" t="s">
        <v>17</v>
      </c>
      <c r="D1839" t="s">
        <v>39</v>
      </c>
      <c r="E1839" t="s">
        <v>13</v>
      </c>
      <c r="F1839" t="s">
        <v>14</v>
      </c>
      <c r="G1839" s="4">
        <v>9</v>
      </c>
      <c r="H1839" s="1">
        <v>5276</v>
      </c>
      <c r="I1839" s="3" t="s">
        <v>15</v>
      </c>
      <c r="J1839" s="4">
        <v>1</v>
      </c>
    </row>
    <row r="1840" spans="1:10" x14ac:dyDescent="0.35">
      <c r="A1840" s="2" t="s">
        <v>1876</v>
      </c>
      <c r="B1840" s="4">
        <v>90</v>
      </c>
      <c r="C1840" t="s">
        <v>17</v>
      </c>
      <c r="D1840" t="s">
        <v>23</v>
      </c>
      <c r="E1840" t="s">
        <v>34</v>
      </c>
      <c r="F1840" t="s">
        <v>30</v>
      </c>
      <c r="G1840" s="4">
        <v>7</v>
      </c>
      <c r="H1840" s="1">
        <v>27257</v>
      </c>
      <c r="I1840" s="3" t="s">
        <v>21</v>
      </c>
      <c r="J1840" s="4">
        <v>3</v>
      </c>
    </row>
    <row r="1841" spans="1:10" x14ac:dyDescent="0.35">
      <c r="A1841" s="2" t="s">
        <v>1877</v>
      </c>
      <c r="B1841" s="4">
        <v>32</v>
      </c>
      <c r="C1841" t="s">
        <v>11</v>
      </c>
      <c r="D1841" t="s">
        <v>49</v>
      </c>
      <c r="E1841" t="s">
        <v>34</v>
      </c>
      <c r="F1841" t="s">
        <v>14</v>
      </c>
      <c r="G1841" s="4">
        <v>9</v>
      </c>
      <c r="H1841" s="1">
        <v>23258</v>
      </c>
      <c r="I1841" s="3" t="s">
        <v>15</v>
      </c>
      <c r="J1841" s="4">
        <v>5</v>
      </c>
    </row>
    <row r="1842" spans="1:10" x14ac:dyDescent="0.35">
      <c r="A1842" s="2" t="s">
        <v>1878</v>
      </c>
      <c r="B1842" s="4">
        <v>72</v>
      </c>
      <c r="C1842" t="s">
        <v>11</v>
      </c>
      <c r="D1842" t="s">
        <v>12</v>
      </c>
      <c r="E1842" t="s">
        <v>34</v>
      </c>
      <c r="F1842" t="s">
        <v>14</v>
      </c>
      <c r="G1842" s="4">
        <v>4</v>
      </c>
      <c r="H1842" s="1">
        <v>90437</v>
      </c>
      <c r="I1842" s="3" t="s">
        <v>21</v>
      </c>
      <c r="J1842" s="4">
        <v>4</v>
      </c>
    </row>
    <row r="1843" spans="1:10" x14ac:dyDescent="0.35">
      <c r="A1843" s="2" t="s">
        <v>1879</v>
      </c>
      <c r="B1843" s="4">
        <v>34</v>
      </c>
      <c r="C1843" t="s">
        <v>11</v>
      </c>
      <c r="D1843" t="s">
        <v>23</v>
      </c>
      <c r="E1843" t="s">
        <v>53</v>
      </c>
      <c r="F1843" t="s">
        <v>30</v>
      </c>
      <c r="G1843" s="4">
        <v>14</v>
      </c>
      <c r="H1843" s="1">
        <v>40127</v>
      </c>
      <c r="I1843" s="3" t="s">
        <v>15</v>
      </c>
      <c r="J1843" s="4">
        <v>4</v>
      </c>
    </row>
    <row r="1844" spans="1:10" x14ac:dyDescent="0.35">
      <c r="A1844" s="2" t="s">
        <v>1880</v>
      </c>
      <c r="B1844" s="4">
        <v>34</v>
      </c>
      <c r="C1844" t="s">
        <v>17</v>
      </c>
      <c r="D1844" t="s">
        <v>26</v>
      </c>
      <c r="E1844" t="s">
        <v>29</v>
      </c>
      <c r="F1844" t="s">
        <v>30</v>
      </c>
      <c r="G1844" s="4">
        <v>14</v>
      </c>
      <c r="H1844" s="1">
        <v>84783</v>
      </c>
      <c r="I1844" s="3" t="s">
        <v>21</v>
      </c>
      <c r="J1844" s="4">
        <v>2</v>
      </c>
    </row>
    <row r="1845" spans="1:10" x14ac:dyDescent="0.35">
      <c r="A1845" s="2" t="s">
        <v>1881</v>
      </c>
      <c r="B1845" s="4">
        <v>57</v>
      </c>
      <c r="C1845" t="s">
        <v>17</v>
      </c>
      <c r="D1845" t="s">
        <v>41</v>
      </c>
      <c r="E1845" t="s">
        <v>24</v>
      </c>
      <c r="F1845" t="s">
        <v>14</v>
      </c>
      <c r="G1845" s="4">
        <v>3</v>
      </c>
      <c r="H1845" s="1">
        <v>54450</v>
      </c>
      <c r="I1845" s="3" t="s">
        <v>15</v>
      </c>
      <c r="J1845" s="4">
        <v>4</v>
      </c>
    </row>
    <row r="1846" spans="1:10" x14ac:dyDescent="0.35">
      <c r="A1846" s="2" t="s">
        <v>1882</v>
      </c>
      <c r="B1846" s="4">
        <v>21</v>
      </c>
      <c r="C1846" t="s">
        <v>17</v>
      </c>
      <c r="D1846" t="s">
        <v>39</v>
      </c>
      <c r="E1846" t="s">
        <v>37</v>
      </c>
      <c r="F1846" t="s">
        <v>20</v>
      </c>
      <c r="G1846" s="4">
        <v>2</v>
      </c>
      <c r="H1846" s="1">
        <v>5192</v>
      </c>
      <c r="I1846" s="3" t="s">
        <v>21</v>
      </c>
      <c r="J1846" s="4">
        <v>1</v>
      </c>
    </row>
    <row r="1847" spans="1:10" x14ac:dyDescent="0.35">
      <c r="A1847" s="2" t="s">
        <v>1883</v>
      </c>
      <c r="B1847" s="4">
        <v>51</v>
      </c>
      <c r="C1847" t="s">
        <v>17</v>
      </c>
      <c r="D1847" t="s">
        <v>49</v>
      </c>
      <c r="E1847" t="s">
        <v>29</v>
      </c>
      <c r="F1847" t="s">
        <v>14</v>
      </c>
      <c r="G1847" s="4">
        <v>12</v>
      </c>
      <c r="H1847" s="1">
        <v>26626</v>
      </c>
      <c r="I1847" s="3" t="s">
        <v>21</v>
      </c>
      <c r="J1847" s="4">
        <v>5</v>
      </c>
    </row>
    <row r="1848" spans="1:10" x14ac:dyDescent="0.35">
      <c r="A1848" s="2" t="s">
        <v>1884</v>
      </c>
      <c r="B1848" s="4">
        <v>88</v>
      </c>
      <c r="C1848" t="s">
        <v>11</v>
      </c>
      <c r="D1848" t="s">
        <v>39</v>
      </c>
      <c r="E1848" t="s">
        <v>13</v>
      </c>
      <c r="F1848" t="s">
        <v>20</v>
      </c>
      <c r="G1848" s="4">
        <v>12</v>
      </c>
      <c r="H1848" s="1">
        <v>55724</v>
      </c>
      <c r="I1848" s="3" t="s">
        <v>15</v>
      </c>
      <c r="J1848" s="4">
        <v>3</v>
      </c>
    </row>
    <row r="1849" spans="1:10" x14ac:dyDescent="0.35">
      <c r="A1849" s="2" t="s">
        <v>1885</v>
      </c>
      <c r="B1849" s="4">
        <v>69</v>
      </c>
      <c r="C1849" t="s">
        <v>11</v>
      </c>
      <c r="D1849" t="s">
        <v>12</v>
      </c>
      <c r="E1849" t="s">
        <v>65</v>
      </c>
      <c r="F1849" t="s">
        <v>20</v>
      </c>
      <c r="G1849" s="4">
        <v>13</v>
      </c>
      <c r="H1849" s="1">
        <v>73076</v>
      </c>
      <c r="I1849" s="3" t="s">
        <v>21</v>
      </c>
      <c r="J1849" s="4">
        <v>2</v>
      </c>
    </row>
    <row r="1850" spans="1:10" x14ac:dyDescent="0.35">
      <c r="A1850" s="2" t="s">
        <v>1886</v>
      </c>
      <c r="B1850" s="4">
        <v>25</v>
      </c>
      <c r="C1850" t="s">
        <v>17</v>
      </c>
      <c r="D1850" t="s">
        <v>41</v>
      </c>
      <c r="E1850" t="s">
        <v>65</v>
      </c>
      <c r="F1850" t="s">
        <v>20</v>
      </c>
      <c r="G1850" s="4">
        <v>4</v>
      </c>
      <c r="H1850" s="1">
        <v>11708</v>
      </c>
      <c r="I1850" s="3" t="s">
        <v>21</v>
      </c>
      <c r="J1850" s="4">
        <v>1</v>
      </c>
    </row>
    <row r="1851" spans="1:10" x14ac:dyDescent="0.35">
      <c r="A1851" s="2" t="s">
        <v>1887</v>
      </c>
      <c r="B1851" s="4">
        <v>11</v>
      </c>
      <c r="C1851" t="s">
        <v>17</v>
      </c>
      <c r="D1851" t="s">
        <v>41</v>
      </c>
      <c r="E1851" t="s">
        <v>19</v>
      </c>
      <c r="F1851" t="s">
        <v>30</v>
      </c>
      <c r="G1851" s="4">
        <v>3</v>
      </c>
      <c r="H1851" s="1">
        <v>46443</v>
      </c>
      <c r="I1851" s="3" t="s">
        <v>15</v>
      </c>
      <c r="J1851" s="4">
        <v>5</v>
      </c>
    </row>
    <row r="1852" spans="1:10" x14ac:dyDescent="0.35">
      <c r="A1852" s="2" t="s">
        <v>1888</v>
      </c>
      <c r="B1852" s="4">
        <v>31</v>
      </c>
      <c r="C1852" t="s">
        <v>17</v>
      </c>
      <c r="D1852" t="s">
        <v>12</v>
      </c>
      <c r="E1852" t="s">
        <v>34</v>
      </c>
      <c r="F1852" t="s">
        <v>14</v>
      </c>
      <c r="G1852" s="4">
        <v>1</v>
      </c>
      <c r="H1852" s="1">
        <v>98094</v>
      </c>
      <c r="I1852" s="3" t="s">
        <v>21</v>
      </c>
      <c r="J1852" s="4">
        <v>2</v>
      </c>
    </row>
    <row r="1853" spans="1:10" x14ac:dyDescent="0.35">
      <c r="A1853" s="2" t="s">
        <v>1889</v>
      </c>
      <c r="B1853" s="4">
        <v>11</v>
      </c>
      <c r="C1853" t="s">
        <v>11</v>
      </c>
      <c r="D1853" t="s">
        <v>23</v>
      </c>
      <c r="E1853" t="s">
        <v>13</v>
      </c>
      <c r="F1853" t="s">
        <v>14</v>
      </c>
      <c r="G1853" s="4">
        <v>8</v>
      </c>
      <c r="H1853" s="1">
        <v>84601</v>
      </c>
      <c r="I1853" s="3" t="s">
        <v>21</v>
      </c>
      <c r="J1853" s="4">
        <v>2</v>
      </c>
    </row>
    <row r="1854" spans="1:10" x14ac:dyDescent="0.35">
      <c r="A1854" s="2" t="s">
        <v>1890</v>
      </c>
      <c r="B1854" s="4">
        <v>72</v>
      </c>
      <c r="C1854" t="s">
        <v>11</v>
      </c>
      <c r="D1854" t="s">
        <v>33</v>
      </c>
      <c r="E1854" t="s">
        <v>24</v>
      </c>
      <c r="F1854" t="s">
        <v>30</v>
      </c>
      <c r="G1854" s="4">
        <v>13</v>
      </c>
      <c r="H1854" s="1">
        <v>98821</v>
      </c>
      <c r="I1854" s="3" t="s">
        <v>15</v>
      </c>
      <c r="J1854" s="4">
        <v>2</v>
      </c>
    </row>
    <row r="1855" spans="1:10" x14ac:dyDescent="0.35">
      <c r="A1855" s="2" t="s">
        <v>1891</v>
      </c>
      <c r="B1855" s="4">
        <v>59</v>
      </c>
      <c r="C1855" t="s">
        <v>11</v>
      </c>
      <c r="D1855" t="s">
        <v>23</v>
      </c>
      <c r="E1855" t="s">
        <v>24</v>
      </c>
      <c r="F1855" t="s">
        <v>14</v>
      </c>
      <c r="G1855" s="4">
        <v>4</v>
      </c>
      <c r="H1855" s="1">
        <v>25266</v>
      </c>
      <c r="I1855" s="3" t="s">
        <v>15</v>
      </c>
      <c r="J1855" s="4">
        <v>1</v>
      </c>
    </row>
    <row r="1856" spans="1:10" x14ac:dyDescent="0.35">
      <c r="A1856" s="2" t="s">
        <v>1892</v>
      </c>
      <c r="B1856" s="4">
        <v>59</v>
      </c>
      <c r="C1856" t="s">
        <v>11</v>
      </c>
      <c r="D1856" t="s">
        <v>36</v>
      </c>
      <c r="E1856" t="s">
        <v>42</v>
      </c>
      <c r="F1856" t="s">
        <v>20</v>
      </c>
      <c r="G1856" s="4">
        <v>11</v>
      </c>
      <c r="H1856" s="1">
        <v>15601</v>
      </c>
      <c r="I1856" s="3" t="s">
        <v>21</v>
      </c>
      <c r="J1856" s="4">
        <v>5</v>
      </c>
    </row>
    <row r="1857" spans="1:10" x14ac:dyDescent="0.35">
      <c r="A1857" s="2" t="s">
        <v>1893</v>
      </c>
      <c r="B1857" s="4">
        <v>75</v>
      </c>
      <c r="C1857" t="s">
        <v>17</v>
      </c>
      <c r="D1857" t="s">
        <v>33</v>
      </c>
      <c r="E1857" t="s">
        <v>53</v>
      </c>
      <c r="F1857" t="s">
        <v>30</v>
      </c>
      <c r="G1857" s="4">
        <v>1</v>
      </c>
      <c r="H1857" s="1">
        <v>15845</v>
      </c>
      <c r="I1857" s="3" t="s">
        <v>15</v>
      </c>
      <c r="J1857" s="4">
        <v>3</v>
      </c>
    </row>
    <row r="1858" spans="1:10" x14ac:dyDescent="0.35">
      <c r="A1858" s="2" t="s">
        <v>1894</v>
      </c>
      <c r="B1858" s="4">
        <v>42</v>
      </c>
      <c r="C1858" t="s">
        <v>17</v>
      </c>
      <c r="D1858" t="s">
        <v>39</v>
      </c>
      <c r="E1858" t="s">
        <v>65</v>
      </c>
      <c r="F1858" t="s">
        <v>14</v>
      </c>
      <c r="G1858" s="4">
        <v>9</v>
      </c>
      <c r="H1858" s="1">
        <v>91004</v>
      </c>
      <c r="I1858" s="3" t="s">
        <v>15</v>
      </c>
      <c r="J1858" s="4">
        <v>4</v>
      </c>
    </row>
    <row r="1859" spans="1:10" x14ac:dyDescent="0.35">
      <c r="A1859" s="2" t="s">
        <v>1895</v>
      </c>
      <c r="B1859" s="4">
        <v>88</v>
      </c>
      <c r="C1859" t="s">
        <v>17</v>
      </c>
      <c r="D1859" t="s">
        <v>33</v>
      </c>
      <c r="E1859" t="s">
        <v>34</v>
      </c>
      <c r="F1859" t="s">
        <v>30</v>
      </c>
      <c r="G1859" s="4">
        <v>5</v>
      </c>
      <c r="H1859" s="1">
        <v>73565</v>
      </c>
      <c r="I1859" s="3" t="s">
        <v>21</v>
      </c>
      <c r="J1859" s="4">
        <v>1</v>
      </c>
    </row>
    <row r="1860" spans="1:10" x14ac:dyDescent="0.35">
      <c r="A1860" s="2" t="s">
        <v>1896</v>
      </c>
      <c r="B1860" s="4">
        <v>46</v>
      </c>
      <c r="C1860" t="s">
        <v>17</v>
      </c>
      <c r="D1860" t="s">
        <v>36</v>
      </c>
      <c r="E1860" t="s">
        <v>37</v>
      </c>
      <c r="F1860" t="s">
        <v>14</v>
      </c>
      <c r="G1860" s="4">
        <v>9</v>
      </c>
      <c r="H1860" s="1">
        <v>24334</v>
      </c>
      <c r="I1860" s="3" t="s">
        <v>21</v>
      </c>
      <c r="J1860" s="4">
        <v>4</v>
      </c>
    </row>
    <row r="1861" spans="1:10" x14ac:dyDescent="0.35">
      <c r="A1861" s="2" t="s">
        <v>1897</v>
      </c>
      <c r="B1861" s="4">
        <v>13</v>
      </c>
      <c r="C1861" t="s">
        <v>17</v>
      </c>
      <c r="D1861" t="s">
        <v>12</v>
      </c>
      <c r="E1861" t="s">
        <v>29</v>
      </c>
      <c r="F1861" t="s">
        <v>20</v>
      </c>
      <c r="G1861" s="4">
        <v>1</v>
      </c>
      <c r="H1861" s="1">
        <v>34287</v>
      </c>
      <c r="I1861" s="3" t="s">
        <v>21</v>
      </c>
      <c r="J1861" s="4">
        <v>1</v>
      </c>
    </row>
    <row r="1862" spans="1:10" x14ac:dyDescent="0.35">
      <c r="A1862" s="2" t="s">
        <v>1898</v>
      </c>
      <c r="B1862" s="4">
        <v>60</v>
      </c>
      <c r="C1862" t="s">
        <v>11</v>
      </c>
      <c r="D1862" t="s">
        <v>18</v>
      </c>
      <c r="E1862" t="s">
        <v>34</v>
      </c>
      <c r="F1862" t="s">
        <v>14</v>
      </c>
      <c r="G1862" s="4">
        <v>1</v>
      </c>
      <c r="H1862" s="1">
        <v>79850</v>
      </c>
      <c r="I1862" s="3" t="s">
        <v>15</v>
      </c>
      <c r="J1862" s="4">
        <v>2</v>
      </c>
    </row>
    <row r="1863" spans="1:10" x14ac:dyDescent="0.35">
      <c r="A1863" s="2" t="s">
        <v>1899</v>
      </c>
      <c r="B1863" s="4">
        <v>47</v>
      </c>
      <c r="C1863" t="s">
        <v>11</v>
      </c>
      <c r="D1863" t="s">
        <v>33</v>
      </c>
      <c r="E1863" t="s">
        <v>24</v>
      </c>
      <c r="F1863" t="s">
        <v>30</v>
      </c>
      <c r="G1863" s="4">
        <v>12</v>
      </c>
      <c r="H1863" s="1">
        <v>22349</v>
      </c>
      <c r="I1863" s="3" t="s">
        <v>15</v>
      </c>
      <c r="J1863" s="4">
        <v>3</v>
      </c>
    </row>
    <row r="1864" spans="1:10" x14ac:dyDescent="0.35">
      <c r="A1864" s="2" t="s">
        <v>1900</v>
      </c>
      <c r="B1864" s="4">
        <v>78</v>
      </c>
      <c r="C1864" t="s">
        <v>17</v>
      </c>
      <c r="D1864" t="s">
        <v>23</v>
      </c>
      <c r="E1864" t="s">
        <v>29</v>
      </c>
      <c r="F1864" t="s">
        <v>20</v>
      </c>
      <c r="G1864" s="4">
        <v>14</v>
      </c>
      <c r="H1864" s="1">
        <v>59826</v>
      </c>
      <c r="I1864" s="3" t="s">
        <v>15</v>
      </c>
      <c r="J1864" s="4">
        <v>5</v>
      </c>
    </row>
    <row r="1865" spans="1:10" x14ac:dyDescent="0.35">
      <c r="A1865" s="2" t="s">
        <v>1901</v>
      </c>
      <c r="B1865" s="4">
        <v>5</v>
      </c>
      <c r="C1865" t="s">
        <v>11</v>
      </c>
      <c r="D1865" t="s">
        <v>39</v>
      </c>
      <c r="E1865" t="s">
        <v>37</v>
      </c>
      <c r="F1865" t="s">
        <v>14</v>
      </c>
      <c r="G1865" s="4">
        <v>9</v>
      </c>
      <c r="H1865" s="1">
        <v>60050</v>
      </c>
      <c r="I1865" s="3" t="s">
        <v>15</v>
      </c>
      <c r="J1865" s="4">
        <v>2</v>
      </c>
    </row>
    <row r="1866" spans="1:10" x14ac:dyDescent="0.35">
      <c r="A1866" s="2" t="s">
        <v>1902</v>
      </c>
      <c r="B1866" s="4">
        <v>59</v>
      </c>
      <c r="C1866" t="s">
        <v>17</v>
      </c>
      <c r="D1866" t="s">
        <v>41</v>
      </c>
      <c r="E1866" t="s">
        <v>34</v>
      </c>
      <c r="F1866" t="s">
        <v>14</v>
      </c>
      <c r="G1866" s="4">
        <v>1</v>
      </c>
      <c r="H1866" s="1">
        <v>10414</v>
      </c>
      <c r="I1866" s="3" t="s">
        <v>15</v>
      </c>
      <c r="J1866" s="4">
        <v>4</v>
      </c>
    </row>
    <row r="1867" spans="1:10" x14ac:dyDescent="0.35">
      <c r="A1867" s="2" t="s">
        <v>1903</v>
      </c>
      <c r="B1867" s="4">
        <v>22</v>
      </c>
      <c r="C1867" t="s">
        <v>17</v>
      </c>
      <c r="D1867" t="s">
        <v>39</v>
      </c>
      <c r="E1867" t="s">
        <v>53</v>
      </c>
      <c r="F1867" t="s">
        <v>30</v>
      </c>
      <c r="G1867" s="4">
        <v>12</v>
      </c>
      <c r="H1867" s="1">
        <v>63372</v>
      </c>
      <c r="I1867" s="3" t="s">
        <v>15</v>
      </c>
      <c r="J1867" s="4">
        <v>2</v>
      </c>
    </row>
    <row r="1868" spans="1:10" x14ac:dyDescent="0.35">
      <c r="A1868" s="2" t="s">
        <v>1904</v>
      </c>
      <c r="B1868" s="4">
        <v>77</v>
      </c>
      <c r="C1868" t="s">
        <v>11</v>
      </c>
      <c r="D1868" t="s">
        <v>49</v>
      </c>
      <c r="E1868" t="s">
        <v>24</v>
      </c>
      <c r="F1868" t="s">
        <v>14</v>
      </c>
      <c r="G1868" s="4">
        <v>3</v>
      </c>
      <c r="H1868" s="1">
        <v>71199</v>
      </c>
      <c r="I1868" s="3" t="s">
        <v>15</v>
      </c>
      <c r="J1868" s="4">
        <v>3</v>
      </c>
    </row>
    <row r="1869" spans="1:10" x14ac:dyDescent="0.35">
      <c r="A1869" s="2" t="s">
        <v>1905</v>
      </c>
      <c r="B1869" s="4">
        <v>63</v>
      </c>
      <c r="C1869" t="s">
        <v>11</v>
      </c>
      <c r="D1869" t="s">
        <v>23</v>
      </c>
      <c r="E1869" t="s">
        <v>13</v>
      </c>
      <c r="F1869" t="s">
        <v>30</v>
      </c>
      <c r="G1869" s="4">
        <v>5</v>
      </c>
      <c r="H1869" s="1">
        <v>18421</v>
      </c>
      <c r="I1869" s="3" t="s">
        <v>15</v>
      </c>
      <c r="J1869" s="4">
        <v>2</v>
      </c>
    </row>
    <row r="1870" spans="1:10" x14ac:dyDescent="0.35">
      <c r="A1870" s="2" t="s">
        <v>1906</v>
      </c>
      <c r="B1870" s="4">
        <v>16</v>
      </c>
      <c r="C1870" t="s">
        <v>17</v>
      </c>
      <c r="D1870" t="s">
        <v>33</v>
      </c>
      <c r="E1870" t="s">
        <v>13</v>
      </c>
      <c r="F1870" t="s">
        <v>30</v>
      </c>
      <c r="G1870" s="4">
        <v>15</v>
      </c>
      <c r="H1870" s="1">
        <v>59255</v>
      </c>
      <c r="I1870" s="3" t="s">
        <v>15</v>
      </c>
      <c r="J1870" s="4">
        <v>4</v>
      </c>
    </row>
    <row r="1871" spans="1:10" x14ac:dyDescent="0.35">
      <c r="A1871" s="2" t="s">
        <v>1907</v>
      </c>
      <c r="B1871" s="4">
        <v>10</v>
      </c>
      <c r="C1871" t="s">
        <v>17</v>
      </c>
      <c r="D1871" t="s">
        <v>33</v>
      </c>
      <c r="E1871" t="s">
        <v>37</v>
      </c>
      <c r="F1871" t="s">
        <v>20</v>
      </c>
      <c r="G1871" s="4">
        <v>7</v>
      </c>
      <c r="H1871" s="1">
        <v>26329</v>
      </c>
      <c r="I1871" s="3" t="s">
        <v>21</v>
      </c>
      <c r="J1871" s="4">
        <v>4</v>
      </c>
    </row>
    <row r="1872" spans="1:10" x14ac:dyDescent="0.35">
      <c r="A1872" s="2" t="s">
        <v>1908</v>
      </c>
      <c r="B1872" s="4">
        <v>1</v>
      </c>
      <c r="C1872" t="s">
        <v>11</v>
      </c>
      <c r="D1872" t="s">
        <v>12</v>
      </c>
      <c r="E1872" t="s">
        <v>27</v>
      </c>
      <c r="F1872" t="s">
        <v>14</v>
      </c>
      <c r="G1872" s="4">
        <v>15</v>
      </c>
      <c r="H1872" s="1">
        <v>88569</v>
      </c>
      <c r="I1872" s="3" t="s">
        <v>15</v>
      </c>
      <c r="J1872" s="4">
        <v>2</v>
      </c>
    </row>
    <row r="1873" spans="1:10" x14ac:dyDescent="0.35">
      <c r="A1873" s="2" t="s">
        <v>1909</v>
      </c>
      <c r="B1873" s="4">
        <v>29</v>
      </c>
      <c r="C1873" t="s">
        <v>11</v>
      </c>
      <c r="D1873" t="s">
        <v>12</v>
      </c>
      <c r="E1873" t="s">
        <v>24</v>
      </c>
      <c r="F1873" t="s">
        <v>14</v>
      </c>
      <c r="G1873" s="4">
        <v>11</v>
      </c>
      <c r="H1873" s="1">
        <v>29438</v>
      </c>
      <c r="I1873" s="3" t="s">
        <v>15</v>
      </c>
      <c r="J1873" s="4">
        <v>4</v>
      </c>
    </row>
    <row r="1874" spans="1:10" x14ac:dyDescent="0.35">
      <c r="A1874" s="2" t="s">
        <v>1910</v>
      </c>
      <c r="B1874" s="4">
        <v>27</v>
      </c>
      <c r="C1874" t="s">
        <v>11</v>
      </c>
      <c r="D1874" t="s">
        <v>23</v>
      </c>
      <c r="E1874" t="s">
        <v>34</v>
      </c>
      <c r="F1874" t="s">
        <v>14</v>
      </c>
      <c r="G1874" s="4">
        <v>4</v>
      </c>
      <c r="H1874" s="1">
        <v>32496</v>
      </c>
      <c r="I1874" s="3" t="s">
        <v>21</v>
      </c>
      <c r="J1874" s="4">
        <v>4</v>
      </c>
    </row>
    <row r="1875" spans="1:10" x14ac:dyDescent="0.35">
      <c r="A1875" s="2" t="s">
        <v>1911</v>
      </c>
      <c r="B1875" s="4">
        <v>48</v>
      </c>
      <c r="C1875" t="s">
        <v>11</v>
      </c>
      <c r="D1875" t="s">
        <v>28</v>
      </c>
      <c r="E1875" t="s">
        <v>34</v>
      </c>
      <c r="F1875" t="s">
        <v>30</v>
      </c>
      <c r="G1875" s="4">
        <v>9</v>
      </c>
      <c r="H1875" s="1">
        <v>57673</v>
      </c>
      <c r="I1875" s="3" t="s">
        <v>15</v>
      </c>
      <c r="J1875" s="4">
        <v>1</v>
      </c>
    </row>
    <row r="1876" spans="1:10" x14ac:dyDescent="0.35">
      <c r="A1876" s="2" t="s">
        <v>1912</v>
      </c>
      <c r="B1876" s="4">
        <v>14</v>
      </c>
      <c r="C1876" t="s">
        <v>17</v>
      </c>
      <c r="D1876" t="s">
        <v>18</v>
      </c>
      <c r="E1876" t="s">
        <v>27</v>
      </c>
      <c r="F1876" t="s">
        <v>30</v>
      </c>
      <c r="G1876" s="4">
        <v>7</v>
      </c>
      <c r="H1876" s="1">
        <v>6913</v>
      </c>
      <c r="I1876" s="3" t="s">
        <v>15</v>
      </c>
      <c r="J1876" s="4">
        <v>3</v>
      </c>
    </row>
    <row r="1877" spans="1:10" x14ac:dyDescent="0.35">
      <c r="A1877" s="2" t="s">
        <v>1913</v>
      </c>
      <c r="B1877" s="4">
        <v>47</v>
      </c>
      <c r="C1877" t="s">
        <v>17</v>
      </c>
      <c r="D1877" t="s">
        <v>12</v>
      </c>
      <c r="E1877" t="s">
        <v>53</v>
      </c>
      <c r="F1877" t="s">
        <v>30</v>
      </c>
      <c r="G1877" s="4">
        <v>10</v>
      </c>
      <c r="H1877" s="1">
        <v>60090</v>
      </c>
      <c r="I1877" s="3" t="s">
        <v>15</v>
      </c>
      <c r="J1877" s="4">
        <v>4</v>
      </c>
    </row>
    <row r="1878" spans="1:10" x14ac:dyDescent="0.35">
      <c r="A1878" s="2" t="s">
        <v>1914</v>
      </c>
      <c r="B1878" s="4">
        <v>26</v>
      </c>
      <c r="C1878" t="s">
        <v>17</v>
      </c>
      <c r="D1878" t="s">
        <v>12</v>
      </c>
      <c r="E1878" t="s">
        <v>53</v>
      </c>
      <c r="F1878" t="s">
        <v>20</v>
      </c>
      <c r="G1878" s="4">
        <v>5</v>
      </c>
      <c r="H1878" s="1">
        <v>10093</v>
      </c>
      <c r="I1878" s="3" t="s">
        <v>21</v>
      </c>
      <c r="J1878" s="4">
        <v>5</v>
      </c>
    </row>
    <row r="1879" spans="1:10" x14ac:dyDescent="0.35">
      <c r="A1879" s="2" t="s">
        <v>1915</v>
      </c>
      <c r="B1879" s="4">
        <v>83</v>
      </c>
      <c r="C1879" t="s">
        <v>17</v>
      </c>
      <c r="D1879" t="s">
        <v>18</v>
      </c>
      <c r="E1879" t="s">
        <v>65</v>
      </c>
      <c r="F1879" t="s">
        <v>30</v>
      </c>
      <c r="G1879" s="4">
        <v>13</v>
      </c>
      <c r="H1879" s="1">
        <v>50609</v>
      </c>
      <c r="I1879" s="3" t="s">
        <v>21</v>
      </c>
      <c r="J1879" s="4">
        <v>1</v>
      </c>
    </row>
    <row r="1880" spans="1:10" x14ac:dyDescent="0.35">
      <c r="A1880" s="2" t="s">
        <v>1916</v>
      </c>
      <c r="B1880" s="4">
        <v>90</v>
      </c>
      <c r="C1880" t="s">
        <v>17</v>
      </c>
      <c r="D1880" t="s">
        <v>26</v>
      </c>
      <c r="E1880" t="s">
        <v>24</v>
      </c>
      <c r="F1880" t="s">
        <v>30</v>
      </c>
      <c r="G1880" s="4">
        <v>13</v>
      </c>
      <c r="H1880" s="1">
        <v>33497</v>
      </c>
      <c r="I1880" s="3" t="s">
        <v>21</v>
      </c>
      <c r="J1880" s="4">
        <v>1</v>
      </c>
    </row>
    <row r="1881" spans="1:10" x14ac:dyDescent="0.35">
      <c r="A1881" s="2" t="s">
        <v>1917</v>
      </c>
      <c r="B1881" s="4">
        <v>16</v>
      </c>
      <c r="C1881" t="s">
        <v>17</v>
      </c>
      <c r="D1881" t="s">
        <v>33</v>
      </c>
      <c r="E1881" t="s">
        <v>65</v>
      </c>
      <c r="F1881" t="s">
        <v>20</v>
      </c>
      <c r="G1881" s="4">
        <v>3</v>
      </c>
      <c r="H1881" s="1">
        <v>46366</v>
      </c>
      <c r="I1881" s="3" t="s">
        <v>15</v>
      </c>
      <c r="J1881" s="4">
        <v>3</v>
      </c>
    </row>
    <row r="1882" spans="1:10" x14ac:dyDescent="0.35">
      <c r="A1882" s="2" t="s">
        <v>1918</v>
      </c>
      <c r="B1882" s="4">
        <v>39</v>
      </c>
      <c r="C1882" t="s">
        <v>17</v>
      </c>
      <c r="D1882" t="s">
        <v>26</v>
      </c>
      <c r="E1882" t="s">
        <v>13</v>
      </c>
      <c r="F1882" t="s">
        <v>20</v>
      </c>
      <c r="G1882" s="4">
        <v>14</v>
      </c>
      <c r="H1882" s="1">
        <v>48345</v>
      </c>
      <c r="I1882" s="3" t="s">
        <v>15</v>
      </c>
      <c r="J1882" s="4">
        <v>1</v>
      </c>
    </row>
    <row r="1883" spans="1:10" x14ac:dyDescent="0.35">
      <c r="A1883" s="2" t="s">
        <v>1919</v>
      </c>
      <c r="B1883" s="4">
        <v>13</v>
      </c>
      <c r="C1883" t="s">
        <v>17</v>
      </c>
      <c r="D1883" t="s">
        <v>49</v>
      </c>
      <c r="E1883" t="s">
        <v>53</v>
      </c>
      <c r="F1883" t="s">
        <v>20</v>
      </c>
      <c r="G1883" s="4">
        <v>13</v>
      </c>
      <c r="H1883" s="1">
        <v>31767</v>
      </c>
      <c r="I1883" s="3" t="s">
        <v>21</v>
      </c>
      <c r="J1883" s="4">
        <v>4</v>
      </c>
    </row>
    <row r="1884" spans="1:10" x14ac:dyDescent="0.35">
      <c r="A1884" s="2" t="s">
        <v>1920</v>
      </c>
      <c r="B1884" s="4">
        <v>49</v>
      </c>
      <c r="C1884" t="s">
        <v>17</v>
      </c>
      <c r="D1884" t="s">
        <v>26</v>
      </c>
      <c r="E1884" t="s">
        <v>37</v>
      </c>
      <c r="F1884" t="s">
        <v>14</v>
      </c>
      <c r="G1884" s="4">
        <v>13</v>
      </c>
      <c r="H1884" s="1">
        <v>54594</v>
      </c>
      <c r="I1884" s="3" t="s">
        <v>15</v>
      </c>
      <c r="J1884" s="4">
        <v>4</v>
      </c>
    </row>
    <row r="1885" spans="1:10" x14ac:dyDescent="0.35">
      <c r="A1885" s="2" t="s">
        <v>1921</v>
      </c>
      <c r="B1885" s="4">
        <v>28</v>
      </c>
      <c r="C1885" t="s">
        <v>11</v>
      </c>
      <c r="D1885" t="s">
        <v>12</v>
      </c>
      <c r="E1885" t="s">
        <v>13</v>
      </c>
      <c r="F1885" t="s">
        <v>20</v>
      </c>
      <c r="G1885" s="4">
        <v>2</v>
      </c>
      <c r="H1885" s="1">
        <v>92186</v>
      </c>
      <c r="I1885" s="3" t="s">
        <v>15</v>
      </c>
      <c r="J1885" s="4">
        <v>2</v>
      </c>
    </row>
    <row r="1886" spans="1:10" x14ac:dyDescent="0.35">
      <c r="A1886" s="2" t="s">
        <v>1922</v>
      </c>
      <c r="B1886" s="4">
        <v>40</v>
      </c>
      <c r="C1886" t="s">
        <v>11</v>
      </c>
      <c r="D1886" t="s">
        <v>36</v>
      </c>
      <c r="E1886" t="s">
        <v>13</v>
      </c>
      <c r="F1886" t="s">
        <v>20</v>
      </c>
      <c r="G1886" s="4">
        <v>1</v>
      </c>
      <c r="H1886" s="1">
        <v>19401</v>
      </c>
      <c r="I1886" s="3" t="s">
        <v>15</v>
      </c>
      <c r="J1886" s="4">
        <v>5</v>
      </c>
    </row>
    <row r="1887" spans="1:10" x14ac:dyDescent="0.35">
      <c r="A1887" s="2" t="s">
        <v>1923</v>
      </c>
      <c r="B1887" s="4">
        <v>57</v>
      </c>
      <c r="C1887" t="s">
        <v>11</v>
      </c>
      <c r="D1887" t="s">
        <v>28</v>
      </c>
      <c r="E1887" t="s">
        <v>13</v>
      </c>
      <c r="F1887" t="s">
        <v>14</v>
      </c>
      <c r="G1887" s="4">
        <v>9</v>
      </c>
      <c r="H1887" s="1">
        <v>39675</v>
      </c>
      <c r="I1887" s="3" t="s">
        <v>21</v>
      </c>
      <c r="J1887" s="4">
        <v>3</v>
      </c>
    </row>
    <row r="1888" spans="1:10" x14ac:dyDescent="0.35">
      <c r="A1888" s="2" t="s">
        <v>1924</v>
      </c>
      <c r="B1888" s="4">
        <v>22</v>
      </c>
      <c r="C1888" t="s">
        <v>11</v>
      </c>
      <c r="D1888" t="s">
        <v>39</v>
      </c>
      <c r="E1888" t="s">
        <v>53</v>
      </c>
      <c r="F1888" t="s">
        <v>20</v>
      </c>
      <c r="G1888" s="4">
        <v>12</v>
      </c>
      <c r="H1888" s="1">
        <v>12852</v>
      </c>
      <c r="I1888" s="3" t="s">
        <v>15</v>
      </c>
      <c r="J1888" s="4">
        <v>5</v>
      </c>
    </row>
    <row r="1889" spans="1:10" x14ac:dyDescent="0.35">
      <c r="A1889" s="2" t="s">
        <v>1925</v>
      </c>
      <c r="B1889" s="4">
        <v>46</v>
      </c>
      <c r="C1889" t="s">
        <v>17</v>
      </c>
      <c r="D1889" t="s">
        <v>12</v>
      </c>
      <c r="E1889" t="s">
        <v>34</v>
      </c>
      <c r="F1889" t="s">
        <v>14</v>
      </c>
      <c r="G1889" s="4">
        <v>12</v>
      </c>
      <c r="H1889" s="1">
        <v>92816</v>
      </c>
      <c r="I1889" s="3" t="s">
        <v>15</v>
      </c>
      <c r="J1889" s="4">
        <v>2</v>
      </c>
    </row>
    <row r="1890" spans="1:10" x14ac:dyDescent="0.35">
      <c r="A1890" s="2" t="s">
        <v>1926</v>
      </c>
      <c r="B1890" s="4">
        <v>77</v>
      </c>
      <c r="C1890" t="s">
        <v>11</v>
      </c>
      <c r="D1890" t="s">
        <v>12</v>
      </c>
      <c r="E1890" t="s">
        <v>13</v>
      </c>
      <c r="F1890" t="s">
        <v>30</v>
      </c>
      <c r="G1890" s="4">
        <v>2</v>
      </c>
      <c r="H1890" s="1">
        <v>90277</v>
      </c>
      <c r="I1890" s="3" t="s">
        <v>15</v>
      </c>
      <c r="J1890" s="4">
        <v>1</v>
      </c>
    </row>
    <row r="1891" spans="1:10" x14ac:dyDescent="0.35">
      <c r="A1891" s="2" t="s">
        <v>1927</v>
      </c>
      <c r="B1891" s="4">
        <v>39</v>
      </c>
      <c r="C1891" t="s">
        <v>17</v>
      </c>
      <c r="D1891" t="s">
        <v>33</v>
      </c>
      <c r="E1891" t="s">
        <v>53</v>
      </c>
      <c r="F1891" t="s">
        <v>30</v>
      </c>
      <c r="G1891" s="4">
        <v>6</v>
      </c>
      <c r="H1891" s="1">
        <v>9815</v>
      </c>
      <c r="I1891" s="3" t="s">
        <v>21</v>
      </c>
      <c r="J1891" s="4">
        <v>1</v>
      </c>
    </row>
    <row r="1892" spans="1:10" x14ac:dyDescent="0.35">
      <c r="A1892" s="2" t="s">
        <v>1928</v>
      </c>
      <c r="B1892" s="4">
        <v>41</v>
      </c>
      <c r="C1892" t="s">
        <v>17</v>
      </c>
      <c r="D1892" t="s">
        <v>23</v>
      </c>
      <c r="E1892" t="s">
        <v>34</v>
      </c>
      <c r="F1892" t="s">
        <v>14</v>
      </c>
      <c r="G1892" s="4">
        <v>4</v>
      </c>
      <c r="H1892" s="1">
        <v>31840</v>
      </c>
      <c r="I1892" s="3" t="s">
        <v>15</v>
      </c>
      <c r="J1892" s="4">
        <v>2</v>
      </c>
    </row>
    <row r="1893" spans="1:10" x14ac:dyDescent="0.35">
      <c r="A1893" s="2" t="s">
        <v>1929</v>
      </c>
      <c r="B1893" s="4">
        <v>86</v>
      </c>
      <c r="C1893" t="s">
        <v>17</v>
      </c>
      <c r="D1893" t="s">
        <v>18</v>
      </c>
      <c r="E1893" t="s">
        <v>42</v>
      </c>
      <c r="F1893" t="s">
        <v>14</v>
      </c>
      <c r="G1893" s="4">
        <v>6</v>
      </c>
      <c r="H1893" s="1">
        <v>93451</v>
      </c>
      <c r="I1893" s="3" t="s">
        <v>15</v>
      </c>
      <c r="J1893" s="4">
        <v>5</v>
      </c>
    </row>
    <row r="1894" spans="1:10" x14ac:dyDescent="0.35">
      <c r="A1894" s="2" t="s">
        <v>1930</v>
      </c>
      <c r="B1894" s="4">
        <v>17</v>
      </c>
      <c r="C1894" t="s">
        <v>11</v>
      </c>
      <c r="D1894" t="s">
        <v>41</v>
      </c>
      <c r="E1894" t="s">
        <v>27</v>
      </c>
      <c r="F1894" t="s">
        <v>30</v>
      </c>
      <c r="G1894" s="4">
        <v>7</v>
      </c>
      <c r="H1894" s="1">
        <v>94829</v>
      </c>
      <c r="I1894" s="3" t="s">
        <v>15</v>
      </c>
      <c r="J1894" s="4">
        <v>4</v>
      </c>
    </row>
    <row r="1895" spans="1:10" x14ac:dyDescent="0.35">
      <c r="A1895" s="2" t="s">
        <v>1931</v>
      </c>
      <c r="B1895" s="4">
        <v>67</v>
      </c>
      <c r="C1895" t="s">
        <v>11</v>
      </c>
      <c r="D1895" t="s">
        <v>36</v>
      </c>
      <c r="E1895" t="s">
        <v>34</v>
      </c>
      <c r="F1895" t="s">
        <v>14</v>
      </c>
      <c r="G1895" s="4">
        <v>5</v>
      </c>
      <c r="H1895" s="1">
        <v>70690</v>
      </c>
      <c r="I1895" s="3" t="s">
        <v>21</v>
      </c>
      <c r="J1895" s="4">
        <v>4</v>
      </c>
    </row>
    <row r="1896" spans="1:10" x14ac:dyDescent="0.35">
      <c r="A1896" s="2" t="s">
        <v>1932</v>
      </c>
      <c r="B1896" s="4">
        <v>50</v>
      </c>
      <c r="C1896" t="s">
        <v>17</v>
      </c>
      <c r="D1896" t="s">
        <v>23</v>
      </c>
      <c r="E1896" t="s">
        <v>13</v>
      </c>
      <c r="F1896" t="s">
        <v>14</v>
      </c>
      <c r="G1896" s="4">
        <v>12</v>
      </c>
      <c r="H1896" s="1">
        <v>50466</v>
      </c>
      <c r="I1896" s="3" t="s">
        <v>15</v>
      </c>
      <c r="J1896" s="4">
        <v>3</v>
      </c>
    </row>
    <row r="1897" spans="1:10" x14ac:dyDescent="0.35">
      <c r="A1897" s="2" t="s">
        <v>1933</v>
      </c>
      <c r="B1897" s="4">
        <v>24</v>
      </c>
      <c r="C1897" t="s">
        <v>11</v>
      </c>
      <c r="D1897" t="s">
        <v>33</v>
      </c>
      <c r="E1897" t="s">
        <v>29</v>
      </c>
      <c r="F1897" t="s">
        <v>14</v>
      </c>
      <c r="G1897" s="4">
        <v>6</v>
      </c>
      <c r="H1897" s="1">
        <v>97801</v>
      </c>
      <c r="I1897" s="3" t="s">
        <v>15</v>
      </c>
      <c r="J1897" s="4">
        <v>1</v>
      </c>
    </row>
    <row r="1898" spans="1:10" x14ac:dyDescent="0.35">
      <c r="A1898" s="2" t="s">
        <v>1934</v>
      </c>
      <c r="B1898" s="4">
        <v>29</v>
      </c>
      <c r="C1898" t="s">
        <v>11</v>
      </c>
      <c r="D1898" t="s">
        <v>12</v>
      </c>
      <c r="E1898" t="s">
        <v>34</v>
      </c>
      <c r="F1898" t="s">
        <v>20</v>
      </c>
      <c r="G1898" s="4">
        <v>10</v>
      </c>
      <c r="H1898" s="1">
        <v>70354</v>
      </c>
      <c r="I1898" s="3" t="s">
        <v>15</v>
      </c>
      <c r="J1898" s="4">
        <v>5</v>
      </c>
    </row>
    <row r="1899" spans="1:10" x14ac:dyDescent="0.35">
      <c r="A1899" s="2" t="s">
        <v>1935</v>
      </c>
      <c r="B1899" s="4">
        <v>18</v>
      </c>
      <c r="C1899" t="s">
        <v>17</v>
      </c>
      <c r="D1899" t="s">
        <v>41</v>
      </c>
      <c r="E1899" t="s">
        <v>53</v>
      </c>
      <c r="F1899" t="s">
        <v>30</v>
      </c>
      <c r="G1899" s="4">
        <v>13</v>
      </c>
      <c r="H1899" s="1">
        <v>45081</v>
      </c>
      <c r="I1899" s="3" t="s">
        <v>15</v>
      </c>
      <c r="J1899" s="4">
        <v>5</v>
      </c>
    </row>
    <row r="1900" spans="1:10" x14ac:dyDescent="0.35">
      <c r="A1900" s="2" t="s">
        <v>1936</v>
      </c>
      <c r="B1900" s="4">
        <v>19</v>
      </c>
      <c r="C1900" t="s">
        <v>17</v>
      </c>
      <c r="D1900" t="s">
        <v>28</v>
      </c>
      <c r="E1900" t="s">
        <v>53</v>
      </c>
      <c r="F1900" t="s">
        <v>14</v>
      </c>
      <c r="G1900" s="4">
        <v>4</v>
      </c>
      <c r="H1900" s="1">
        <v>22509</v>
      </c>
      <c r="I1900" s="3" t="s">
        <v>15</v>
      </c>
      <c r="J1900" s="4">
        <v>4</v>
      </c>
    </row>
    <row r="1901" spans="1:10" x14ac:dyDescent="0.35">
      <c r="A1901" s="2" t="s">
        <v>1937</v>
      </c>
      <c r="B1901" s="4">
        <v>34</v>
      </c>
      <c r="C1901" t="s">
        <v>11</v>
      </c>
      <c r="D1901" t="s">
        <v>28</v>
      </c>
      <c r="E1901" t="s">
        <v>53</v>
      </c>
      <c r="F1901" t="s">
        <v>14</v>
      </c>
      <c r="G1901" s="4">
        <v>6</v>
      </c>
      <c r="H1901" s="1">
        <v>64524</v>
      </c>
      <c r="I1901" s="3" t="s">
        <v>15</v>
      </c>
      <c r="J1901" s="4">
        <v>4</v>
      </c>
    </row>
    <row r="1902" spans="1:10" x14ac:dyDescent="0.35">
      <c r="A1902" s="2" t="s">
        <v>1938</v>
      </c>
      <c r="B1902" s="4">
        <v>64</v>
      </c>
      <c r="C1902" t="s">
        <v>17</v>
      </c>
      <c r="D1902" t="s">
        <v>39</v>
      </c>
      <c r="E1902" t="s">
        <v>65</v>
      </c>
      <c r="F1902" t="s">
        <v>20</v>
      </c>
      <c r="G1902" s="4">
        <v>10</v>
      </c>
      <c r="H1902" s="1">
        <v>71918</v>
      </c>
      <c r="I1902" s="3" t="s">
        <v>21</v>
      </c>
      <c r="J1902" s="4">
        <v>5</v>
      </c>
    </row>
    <row r="1903" spans="1:10" x14ac:dyDescent="0.35">
      <c r="A1903" s="2" t="s">
        <v>1939</v>
      </c>
      <c r="B1903" s="4">
        <v>77</v>
      </c>
      <c r="C1903" t="s">
        <v>11</v>
      </c>
      <c r="D1903" t="s">
        <v>28</v>
      </c>
      <c r="E1903" t="s">
        <v>37</v>
      </c>
      <c r="F1903" t="s">
        <v>14</v>
      </c>
      <c r="G1903" s="4">
        <v>1</v>
      </c>
      <c r="H1903" s="1">
        <v>59361</v>
      </c>
      <c r="I1903" s="3" t="s">
        <v>21</v>
      </c>
      <c r="J1903" s="4">
        <v>5</v>
      </c>
    </row>
    <row r="1904" spans="1:10" x14ac:dyDescent="0.35">
      <c r="A1904" s="2" t="s">
        <v>1940</v>
      </c>
      <c r="B1904" s="4">
        <v>29</v>
      </c>
      <c r="C1904" t="s">
        <v>11</v>
      </c>
      <c r="D1904" t="s">
        <v>39</v>
      </c>
      <c r="E1904" t="s">
        <v>37</v>
      </c>
      <c r="F1904" t="s">
        <v>14</v>
      </c>
      <c r="G1904" s="4">
        <v>1</v>
      </c>
      <c r="H1904" s="1">
        <v>66879</v>
      </c>
      <c r="I1904" s="3" t="s">
        <v>15</v>
      </c>
      <c r="J1904" s="4">
        <v>4</v>
      </c>
    </row>
    <row r="1905" spans="1:10" x14ac:dyDescent="0.35">
      <c r="A1905" s="2" t="s">
        <v>1941</v>
      </c>
      <c r="B1905" s="4">
        <v>79</v>
      </c>
      <c r="C1905" t="s">
        <v>17</v>
      </c>
      <c r="D1905" t="s">
        <v>49</v>
      </c>
      <c r="E1905" t="s">
        <v>34</v>
      </c>
      <c r="F1905" t="s">
        <v>30</v>
      </c>
      <c r="G1905" s="4">
        <v>13</v>
      </c>
      <c r="H1905" s="1">
        <v>97206</v>
      </c>
      <c r="I1905" s="3" t="s">
        <v>15</v>
      </c>
      <c r="J1905" s="4">
        <v>2</v>
      </c>
    </row>
    <row r="1906" spans="1:10" x14ac:dyDescent="0.35">
      <c r="A1906" s="2" t="s">
        <v>1942</v>
      </c>
      <c r="B1906" s="4">
        <v>80</v>
      </c>
      <c r="C1906" t="s">
        <v>17</v>
      </c>
      <c r="D1906" t="s">
        <v>26</v>
      </c>
      <c r="E1906" t="s">
        <v>37</v>
      </c>
      <c r="F1906" t="s">
        <v>14</v>
      </c>
      <c r="G1906" s="4">
        <v>12</v>
      </c>
      <c r="H1906" s="1">
        <v>5441</v>
      </c>
      <c r="I1906" s="3" t="s">
        <v>21</v>
      </c>
      <c r="J1906" s="4">
        <v>1</v>
      </c>
    </row>
    <row r="1907" spans="1:10" x14ac:dyDescent="0.35">
      <c r="A1907" s="2" t="s">
        <v>1943</v>
      </c>
      <c r="B1907" s="4">
        <v>68</v>
      </c>
      <c r="C1907" t="s">
        <v>17</v>
      </c>
      <c r="D1907" t="s">
        <v>41</v>
      </c>
      <c r="E1907" t="s">
        <v>42</v>
      </c>
      <c r="F1907" t="s">
        <v>20</v>
      </c>
      <c r="G1907" s="4">
        <v>10</v>
      </c>
      <c r="H1907" s="1">
        <v>5370</v>
      </c>
      <c r="I1907" s="3" t="s">
        <v>21</v>
      </c>
      <c r="J1907" s="4">
        <v>1</v>
      </c>
    </row>
    <row r="1908" spans="1:10" x14ac:dyDescent="0.35">
      <c r="A1908" s="2" t="s">
        <v>1944</v>
      </c>
      <c r="B1908" s="4">
        <v>16</v>
      </c>
      <c r="C1908" t="s">
        <v>17</v>
      </c>
      <c r="D1908" t="s">
        <v>49</v>
      </c>
      <c r="E1908" t="s">
        <v>19</v>
      </c>
      <c r="F1908" t="s">
        <v>30</v>
      </c>
      <c r="G1908" s="4">
        <v>9</v>
      </c>
      <c r="H1908" s="1">
        <v>29826</v>
      </c>
      <c r="I1908" s="3" t="s">
        <v>15</v>
      </c>
      <c r="J1908" s="4">
        <v>3</v>
      </c>
    </row>
    <row r="1909" spans="1:10" x14ac:dyDescent="0.35">
      <c r="A1909" s="2" t="s">
        <v>1945</v>
      </c>
      <c r="B1909" s="4">
        <v>14</v>
      </c>
      <c r="C1909" t="s">
        <v>11</v>
      </c>
      <c r="D1909" t="s">
        <v>12</v>
      </c>
      <c r="E1909" t="s">
        <v>42</v>
      </c>
      <c r="F1909" t="s">
        <v>14</v>
      </c>
      <c r="G1909" s="4">
        <v>5</v>
      </c>
      <c r="H1909" s="1">
        <v>56438</v>
      </c>
      <c r="I1909" s="3" t="s">
        <v>21</v>
      </c>
      <c r="J1909" s="4">
        <v>4</v>
      </c>
    </row>
    <row r="1910" spans="1:10" x14ac:dyDescent="0.35">
      <c r="A1910" s="2" t="s">
        <v>1946</v>
      </c>
      <c r="B1910" s="4">
        <v>21</v>
      </c>
      <c r="C1910" t="s">
        <v>11</v>
      </c>
      <c r="D1910" t="s">
        <v>28</v>
      </c>
      <c r="E1910" t="s">
        <v>65</v>
      </c>
      <c r="F1910" t="s">
        <v>20</v>
      </c>
      <c r="G1910" s="4">
        <v>14</v>
      </c>
      <c r="H1910" s="1">
        <v>88085</v>
      </c>
      <c r="I1910" s="3" t="s">
        <v>15</v>
      </c>
      <c r="J1910" s="4">
        <v>4</v>
      </c>
    </row>
    <row r="1911" spans="1:10" x14ac:dyDescent="0.35">
      <c r="A1911" s="2" t="s">
        <v>1947</v>
      </c>
      <c r="B1911" s="4">
        <v>74</v>
      </c>
      <c r="C1911" t="s">
        <v>17</v>
      </c>
      <c r="D1911" t="s">
        <v>28</v>
      </c>
      <c r="E1911" t="s">
        <v>34</v>
      </c>
      <c r="F1911" t="s">
        <v>14</v>
      </c>
      <c r="G1911" s="4">
        <v>13</v>
      </c>
      <c r="H1911" s="1">
        <v>75258</v>
      </c>
      <c r="I1911" s="3" t="s">
        <v>21</v>
      </c>
      <c r="J1911" s="4">
        <v>3</v>
      </c>
    </row>
    <row r="1912" spans="1:10" x14ac:dyDescent="0.35">
      <c r="A1912" s="2" t="s">
        <v>1948</v>
      </c>
      <c r="B1912" s="4">
        <v>12</v>
      </c>
      <c r="C1912" t="s">
        <v>11</v>
      </c>
      <c r="D1912" t="s">
        <v>36</v>
      </c>
      <c r="E1912" t="s">
        <v>37</v>
      </c>
      <c r="F1912" t="s">
        <v>30</v>
      </c>
      <c r="G1912" s="4">
        <v>14</v>
      </c>
      <c r="H1912" s="1">
        <v>36136</v>
      </c>
      <c r="I1912" s="3" t="s">
        <v>15</v>
      </c>
      <c r="J1912" s="4">
        <v>2</v>
      </c>
    </row>
    <row r="1913" spans="1:10" x14ac:dyDescent="0.35">
      <c r="A1913" s="2" t="s">
        <v>1949</v>
      </c>
      <c r="B1913" s="4">
        <v>38</v>
      </c>
      <c r="C1913" t="s">
        <v>11</v>
      </c>
      <c r="D1913" t="s">
        <v>18</v>
      </c>
      <c r="E1913" t="s">
        <v>24</v>
      </c>
      <c r="F1913" t="s">
        <v>20</v>
      </c>
      <c r="G1913" s="4">
        <v>10</v>
      </c>
      <c r="H1913" s="1">
        <v>39593</v>
      </c>
      <c r="I1913" s="3" t="s">
        <v>15</v>
      </c>
      <c r="J1913" s="4">
        <v>5</v>
      </c>
    </row>
    <row r="1914" spans="1:10" x14ac:dyDescent="0.35">
      <c r="A1914" s="2" t="s">
        <v>1950</v>
      </c>
      <c r="B1914" s="4">
        <v>62</v>
      </c>
      <c r="C1914" t="s">
        <v>17</v>
      </c>
      <c r="D1914" t="s">
        <v>36</v>
      </c>
      <c r="E1914" t="s">
        <v>27</v>
      </c>
      <c r="F1914" t="s">
        <v>14</v>
      </c>
      <c r="G1914" s="4">
        <v>5</v>
      </c>
      <c r="H1914" s="1">
        <v>65591</v>
      </c>
      <c r="I1914" s="3" t="s">
        <v>15</v>
      </c>
      <c r="J1914" s="4">
        <v>5</v>
      </c>
    </row>
    <row r="1915" spans="1:10" x14ac:dyDescent="0.35">
      <c r="A1915" s="2" t="s">
        <v>1951</v>
      </c>
      <c r="B1915" s="4">
        <v>56</v>
      </c>
      <c r="C1915" t="s">
        <v>17</v>
      </c>
      <c r="D1915" t="s">
        <v>18</v>
      </c>
      <c r="E1915" t="s">
        <v>27</v>
      </c>
      <c r="F1915" t="s">
        <v>14</v>
      </c>
      <c r="G1915" s="4">
        <v>5</v>
      </c>
      <c r="H1915" s="1">
        <v>64441</v>
      </c>
      <c r="I1915" s="3" t="s">
        <v>15</v>
      </c>
      <c r="J1915" s="4">
        <v>1</v>
      </c>
    </row>
    <row r="1916" spans="1:10" x14ac:dyDescent="0.35">
      <c r="A1916" s="2" t="s">
        <v>1952</v>
      </c>
      <c r="B1916" s="4">
        <v>4</v>
      </c>
      <c r="C1916" t="s">
        <v>11</v>
      </c>
      <c r="D1916" t="s">
        <v>41</v>
      </c>
      <c r="E1916" t="s">
        <v>27</v>
      </c>
      <c r="F1916" t="s">
        <v>20</v>
      </c>
      <c r="G1916" s="4">
        <v>7</v>
      </c>
      <c r="H1916" s="1">
        <v>9957</v>
      </c>
      <c r="I1916" s="3" t="s">
        <v>15</v>
      </c>
      <c r="J1916" s="4">
        <v>3</v>
      </c>
    </row>
    <row r="1917" spans="1:10" x14ac:dyDescent="0.35">
      <c r="A1917" s="2" t="s">
        <v>1953</v>
      </c>
      <c r="B1917" s="4">
        <v>75</v>
      </c>
      <c r="C1917" t="s">
        <v>11</v>
      </c>
      <c r="D1917" t="s">
        <v>36</v>
      </c>
      <c r="E1917" t="s">
        <v>42</v>
      </c>
      <c r="F1917" t="s">
        <v>30</v>
      </c>
      <c r="G1917" s="4">
        <v>13</v>
      </c>
      <c r="H1917" s="1">
        <v>95659</v>
      </c>
      <c r="I1917" s="3" t="s">
        <v>15</v>
      </c>
      <c r="J1917" s="4">
        <v>1</v>
      </c>
    </row>
    <row r="1918" spans="1:10" x14ac:dyDescent="0.35">
      <c r="A1918" s="2" t="s">
        <v>1954</v>
      </c>
      <c r="B1918" s="4">
        <v>34</v>
      </c>
      <c r="C1918" t="s">
        <v>11</v>
      </c>
      <c r="D1918" t="s">
        <v>26</v>
      </c>
      <c r="E1918" t="s">
        <v>13</v>
      </c>
      <c r="F1918" t="s">
        <v>30</v>
      </c>
      <c r="G1918" s="4">
        <v>13</v>
      </c>
      <c r="H1918" s="1">
        <v>67710</v>
      </c>
      <c r="I1918" s="3" t="s">
        <v>21</v>
      </c>
      <c r="J1918" s="4">
        <v>2</v>
      </c>
    </row>
    <row r="1919" spans="1:10" x14ac:dyDescent="0.35">
      <c r="A1919" s="2" t="s">
        <v>1955</v>
      </c>
      <c r="B1919" s="4">
        <v>66</v>
      </c>
      <c r="C1919" t="s">
        <v>11</v>
      </c>
      <c r="D1919" t="s">
        <v>39</v>
      </c>
      <c r="E1919" t="s">
        <v>24</v>
      </c>
      <c r="F1919" t="s">
        <v>20</v>
      </c>
      <c r="G1919" s="4">
        <v>15</v>
      </c>
      <c r="H1919" s="1">
        <v>46626</v>
      </c>
      <c r="I1919" s="3" t="s">
        <v>21</v>
      </c>
      <c r="J1919" s="4">
        <v>2</v>
      </c>
    </row>
    <row r="1920" spans="1:10" x14ac:dyDescent="0.35">
      <c r="A1920" s="2" t="s">
        <v>1956</v>
      </c>
      <c r="B1920" s="4">
        <v>8</v>
      </c>
      <c r="C1920" t="s">
        <v>11</v>
      </c>
      <c r="D1920" t="s">
        <v>26</v>
      </c>
      <c r="E1920" t="s">
        <v>34</v>
      </c>
      <c r="F1920" t="s">
        <v>20</v>
      </c>
      <c r="G1920" s="4">
        <v>14</v>
      </c>
      <c r="H1920" s="1">
        <v>14761</v>
      </c>
      <c r="I1920" s="3" t="s">
        <v>15</v>
      </c>
      <c r="J1920" s="4">
        <v>4</v>
      </c>
    </row>
    <row r="1921" spans="1:10" x14ac:dyDescent="0.35">
      <c r="A1921" s="2" t="s">
        <v>1957</v>
      </c>
      <c r="B1921" s="4">
        <v>67</v>
      </c>
      <c r="C1921" t="s">
        <v>17</v>
      </c>
      <c r="D1921" t="s">
        <v>28</v>
      </c>
      <c r="E1921" t="s">
        <v>24</v>
      </c>
      <c r="F1921" t="s">
        <v>20</v>
      </c>
      <c r="G1921" s="4">
        <v>7</v>
      </c>
      <c r="H1921" s="1">
        <v>61803</v>
      </c>
      <c r="I1921" s="3" t="s">
        <v>21</v>
      </c>
      <c r="J1921" s="4">
        <v>1</v>
      </c>
    </row>
    <row r="1922" spans="1:10" x14ac:dyDescent="0.35">
      <c r="A1922" s="2" t="s">
        <v>1958</v>
      </c>
      <c r="B1922" s="4">
        <v>83</v>
      </c>
      <c r="C1922" t="s">
        <v>11</v>
      </c>
      <c r="D1922" t="s">
        <v>49</v>
      </c>
      <c r="E1922" t="s">
        <v>29</v>
      </c>
      <c r="F1922" t="s">
        <v>30</v>
      </c>
      <c r="G1922" s="4">
        <v>7</v>
      </c>
      <c r="H1922" s="1">
        <v>90977</v>
      </c>
      <c r="I1922" s="3" t="s">
        <v>15</v>
      </c>
      <c r="J1922" s="4">
        <v>3</v>
      </c>
    </row>
    <row r="1923" spans="1:10" x14ac:dyDescent="0.35">
      <c r="A1923" s="2" t="s">
        <v>1959</v>
      </c>
      <c r="B1923" s="4">
        <v>56</v>
      </c>
      <c r="C1923" t="s">
        <v>11</v>
      </c>
      <c r="D1923" t="s">
        <v>33</v>
      </c>
      <c r="E1923" t="s">
        <v>34</v>
      </c>
      <c r="F1923" t="s">
        <v>20</v>
      </c>
      <c r="G1923" s="4">
        <v>5</v>
      </c>
      <c r="H1923" s="1">
        <v>45078</v>
      </c>
      <c r="I1923" s="3" t="s">
        <v>15</v>
      </c>
      <c r="J1923" s="4">
        <v>3</v>
      </c>
    </row>
    <row r="1924" spans="1:10" x14ac:dyDescent="0.35">
      <c r="A1924" s="2" t="s">
        <v>1960</v>
      </c>
      <c r="B1924" s="4">
        <v>70</v>
      </c>
      <c r="C1924" t="s">
        <v>17</v>
      </c>
      <c r="D1924" t="s">
        <v>12</v>
      </c>
      <c r="E1924" t="s">
        <v>24</v>
      </c>
      <c r="F1924" t="s">
        <v>20</v>
      </c>
      <c r="G1924" s="4">
        <v>14</v>
      </c>
      <c r="H1924" s="1">
        <v>65591</v>
      </c>
      <c r="I1924" s="3" t="s">
        <v>21</v>
      </c>
      <c r="J1924" s="4">
        <v>3</v>
      </c>
    </row>
    <row r="1925" spans="1:10" x14ac:dyDescent="0.35">
      <c r="A1925" s="2" t="s">
        <v>1961</v>
      </c>
      <c r="B1925" s="4">
        <v>46</v>
      </c>
      <c r="C1925" t="s">
        <v>17</v>
      </c>
      <c r="D1925" t="s">
        <v>49</v>
      </c>
      <c r="E1925" t="s">
        <v>42</v>
      </c>
      <c r="F1925" t="s">
        <v>14</v>
      </c>
      <c r="G1925" s="4">
        <v>6</v>
      </c>
      <c r="H1925" s="1">
        <v>12186</v>
      </c>
      <c r="I1925" s="3" t="s">
        <v>15</v>
      </c>
      <c r="J1925" s="4">
        <v>4</v>
      </c>
    </row>
    <row r="1926" spans="1:10" x14ac:dyDescent="0.35">
      <c r="A1926" s="2" t="s">
        <v>1962</v>
      </c>
      <c r="B1926" s="4">
        <v>52</v>
      </c>
      <c r="C1926" t="s">
        <v>11</v>
      </c>
      <c r="D1926" t="s">
        <v>33</v>
      </c>
      <c r="E1926" t="s">
        <v>53</v>
      </c>
      <c r="F1926" t="s">
        <v>14</v>
      </c>
      <c r="G1926" s="4">
        <v>5</v>
      </c>
      <c r="H1926" s="1">
        <v>92917</v>
      </c>
      <c r="I1926" s="3" t="s">
        <v>21</v>
      </c>
      <c r="J1926" s="4">
        <v>5</v>
      </c>
    </row>
    <row r="1927" spans="1:10" x14ac:dyDescent="0.35">
      <c r="A1927" s="2" t="s">
        <v>1963</v>
      </c>
      <c r="B1927" s="4">
        <v>60</v>
      </c>
      <c r="C1927" t="s">
        <v>17</v>
      </c>
      <c r="D1927" t="s">
        <v>23</v>
      </c>
      <c r="E1927" t="s">
        <v>65</v>
      </c>
      <c r="F1927" t="s">
        <v>30</v>
      </c>
      <c r="G1927" s="4">
        <v>3</v>
      </c>
      <c r="H1927" s="1">
        <v>64624</v>
      </c>
      <c r="I1927" s="3" t="s">
        <v>15</v>
      </c>
      <c r="J1927" s="4">
        <v>2</v>
      </c>
    </row>
    <row r="1928" spans="1:10" x14ac:dyDescent="0.35">
      <c r="A1928" s="2" t="s">
        <v>1964</v>
      </c>
      <c r="B1928" s="4">
        <v>73</v>
      </c>
      <c r="C1928" t="s">
        <v>17</v>
      </c>
      <c r="D1928" t="s">
        <v>18</v>
      </c>
      <c r="E1928" t="s">
        <v>13</v>
      </c>
      <c r="F1928" t="s">
        <v>14</v>
      </c>
      <c r="G1928" s="4">
        <v>7</v>
      </c>
      <c r="H1928" s="1">
        <v>19211</v>
      </c>
      <c r="I1928" s="3" t="s">
        <v>15</v>
      </c>
      <c r="J1928" s="4">
        <v>4</v>
      </c>
    </row>
    <row r="1929" spans="1:10" x14ac:dyDescent="0.35">
      <c r="A1929" s="2" t="s">
        <v>1965</v>
      </c>
      <c r="B1929" s="4">
        <v>11</v>
      </c>
      <c r="C1929" t="s">
        <v>17</v>
      </c>
      <c r="D1929" t="s">
        <v>28</v>
      </c>
      <c r="E1929" t="s">
        <v>34</v>
      </c>
      <c r="F1929" t="s">
        <v>20</v>
      </c>
      <c r="G1929" s="4">
        <v>1</v>
      </c>
      <c r="H1929" s="1">
        <v>12591</v>
      </c>
      <c r="I1929" s="3" t="s">
        <v>15</v>
      </c>
      <c r="J1929" s="4">
        <v>5</v>
      </c>
    </row>
    <row r="1930" spans="1:10" x14ac:dyDescent="0.35">
      <c r="A1930" s="2" t="s">
        <v>1966</v>
      </c>
      <c r="B1930" s="4">
        <v>75</v>
      </c>
      <c r="C1930" t="s">
        <v>11</v>
      </c>
      <c r="D1930" t="s">
        <v>49</v>
      </c>
      <c r="E1930" t="s">
        <v>34</v>
      </c>
      <c r="F1930" t="s">
        <v>30</v>
      </c>
      <c r="G1930" s="4">
        <v>15</v>
      </c>
      <c r="H1930" s="1">
        <v>86218</v>
      </c>
      <c r="I1930" s="3" t="s">
        <v>21</v>
      </c>
      <c r="J1930" s="4">
        <v>4</v>
      </c>
    </row>
    <row r="1931" spans="1:10" x14ac:dyDescent="0.35">
      <c r="A1931" s="2" t="s">
        <v>1967</v>
      </c>
      <c r="B1931" s="4">
        <v>4</v>
      </c>
      <c r="C1931" t="s">
        <v>11</v>
      </c>
      <c r="D1931" t="s">
        <v>49</v>
      </c>
      <c r="E1931" t="s">
        <v>19</v>
      </c>
      <c r="F1931" t="s">
        <v>14</v>
      </c>
      <c r="G1931" s="4">
        <v>9</v>
      </c>
      <c r="H1931" s="1">
        <v>28255</v>
      </c>
      <c r="I1931" s="3" t="s">
        <v>15</v>
      </c>
      <c r="J1931" s="4">
        <v>2</v>
      </c>
    </row>
    <row r="1932" spans="1:10" x14ac:dyDescent="0.35">
      <c r="A1932" s="2" t="s">
        <v>1968</v>
      </c>
      <c r="B1932" s="4">
        <v>87</v>
      </c>
      <c r="C1932" t="s">
        <v>17</v>
      </c>
      <c r="D1932" t="s">
        <v>28</v>
      </c>
      <c r="E1932" t="s">
        <v>34</v>
      </c>
      <c r="F1932" t="s">
        <v>30</v>
      </c>
      <c r="G1932" s="4">
        <v>2</v>
      </c>
      <c r="H1932" s="1">
        <v>17996</v>
      </c>
      <c r="I1932" s="3" t="s">
        <v>21</v>
      </c>
      <c r="J1932" s="4">
        <v>1</v>
      </c>
    </row>
    <row r="1933" spans="1:10" x14ac:dyDescent="0.35">
      <c r="A1933" s="2" t="s">
        <v>1969</v>
      </c>
      <c r="B1933" s="4">
        <v>75</v>
      </c>
      <c r="C1933" t="s">
        <v>11</v>
      </c>
      <c r="D1933" t="s">
        <v>18</v>
      </c>
      <c r="E1933" t="s">
        <v>13</v>
      </c>
      <c r="F1933" t="s">
        <v>20</v>
      </c>
      <c r="G1933" s="4">
        <v>6</v>
      </c>
      <c r="H1933" s="1">
        <v>83807</v>
      </c>
      <c r="I1933" s="3" t="s">
        <v>15</v>
      </c>
      <c r="J1933" s="4">
        <v>2</v>
      </c>
    </row>
    <row r="1934" spans="1:10" x14ac:dyDescent="0.35">
      <c r="A1934" s="2" t="s">
        <v>1970</v>
      </c>
      <c r="B1934" s="4">
        <v>2</v>
      </c>
      <c r="C1934" t="s">
        <v>11</v>
      </c>
      <c r="D1934" t="s">
        <v>36</v>
      </c>
      <c r="E1934" t="s">
        <v>53</v>
      </c>
      <c r="F1934" t="s">
        <v>14</v>
      </c>
      <c r="G1934" s="4">
        <v>9</v>
      </c>
      <c r="H1934" s="1">
        <v>72968</v>
      </c>
      <c r="I1934" s="3" t="s">
        <v>21</v>
      </c>
      <c r="J1934" s="4">
        <v>5</v>
      </c>
    </row>
    <row r="1935" spans="1:10" x14ac:dyDescent="0.35">
      <c r="A1935" s="2" t="s">
        <v>1971</v>
      </c>
      <c r="B1935" s="4">
        <v>4</v>
      </c>
      <c r="C1935" t="s">
        <v>11</v>
      </c>
      <c r="D1935" t="s">
        <v>12</v>
      </c>
      <c r="E1935" t="s">
        <v>37</v>
      </c>
      <c r="F1935" t="s">
        <v>30</v>
      </c>
      <c r="G1935" s="4">
        <v>7</v>
      </c>
      <c r="H1935" s="1">
        <v>10742</v>
      </c>
      <c r="I1935" s="3" t="s">
        <v>21</v>
      </c>
      <c r="J1935" s="4">
        <v>5</v>
      </c>
    </row>
    <row r="1936" spans="1:10" x14ac:dyDescent="0.35">
      <c r="A1936" s="2" t="s">
        <v>1972</v>
      </c>
      <c r="B1936" s="4">
        <v>62</v>
      </c>
      <c r="C1936" t="s">
        <v>17</v>
      </c>
      <c r="D1936" t="s">
        <v>41</v>
      </c>
      <c r="E1936" t="s">
        <v>37</v>
      </c>
      <c r="F1936" t="s">
        <v>14</v>
      </c>
      <c r="G1936" s="4">
        <v>8</v>
      </c>
      <c r="H1936" s="1">
        <v>36906</v>
      </c>
      <c r="I1936" s="3" t="s">
        <v>15</v>
      </c>
      <c r="J1936" s="4">
        <v>5</v>
      </c>
    </row>
    <row r="1937" spans="1:10" x14ac:dyDescent="0.35">
      <c r="A1937" s="2" t="s">
        <v>1973</v>
      </c>
      <c r="B1937" s="4">
        <v>28</v>
      </c>
      <c r="C1937" t="s">
        <v>17</v>
      </c>
      <c r="D1937" t="s">
        <v>18</v>
      </c>
      <c r="E1937" t="s">
        <v>42</v>
      </c>
      <c r="F1937" t="s">
        <v>20</v>
      </c>
      <c r="G1937" s="4">
        <v>15</v>
      </c>
      <c r="H1937" s="1">
        <v>56703</v>
      </c>
      <c r="I1937" s="3" t="s">
        <v>21</v>
      </c>
      <c r="J1937" s="4">
        <v>1</v>
      </c>
    </row>
    <row r="1938" spans="1:10" x14ac:dyDescent="0.35">
      <c r="A1938" s="2" t="s">
        <v>1974</v>
      </c>
      <c r="B1938" s="4">
        <v>66</v>
      </c>
      <c r="C1938" t="s">
        <v>11</v>
      </c>
      <c r="D1938" t="s">
        <v>36</v>
      </c>
      <c r="E1938" t="s">
        <v>65</v>
      </c>
      <c r="F1938" t="s">
        <v>30</v>
      </c>
      <c r="G1938" s="4">
        <v>8</v>
      </c>
      <c r="H1938" s="1">
        <v>42001</v>
      </c>
      <c r="I1938" s="3" t="s">
        <v>15</v>
      </c>
      <c r="J1938" s="4">
        <v>3</v>
      </c>
    </row>
    <row r="1939" spans="1:10" x14ac:dyDescent="0.35">
      <c r="A1939" s="2" t="s">
        <v>1975</v>
      </c>
      <c r="B1939" s="4">
        <v>75</v>
      </c>
      <c r="C1939" t="s">
        <v>11</v>
      </c>
      <c r="D1939" t="s">
        <v>18</v>
      </c>
      <c r="E1939" t="s">
        <v>53</v>
      </c>
      <c r="F1939" t="s">
        <v>14</v>
      </c>
      <c r="G1939" s="4">
        <v>4</v>
      </c>
      <c r="H1939" s="1">
        <v>76177</v>
      </c>
      <c r="I1939" s="3" t="s">
        <v>15</v>
      </c>
      <c r="J1939" s="4">
        <v>5</v>
      </c>
    </row>
    <row r="1940" spans="1:10" x14ac:dyDescent="0.35">
      <c r="A1940" s="2" t="s">
        <v>1976</v>
      </c>
      <c r="B1940" s="4">
        <v>87</v>
      </c>
      <c r="C1940" t="s">
        <v>11</v>
      </c>
      <c r="D1940" t="s">
        <v>36</v>
      </c>
      <c r="E1940" t="s">
        <v>42</v>
      </c>
      <c r="F1940" t="s">
        <v>20</v>
      </c>
      <c r="G1940" s="4">
        <v>14</v>
      </c>
      <c r="H1940" s="1">
        <v>58139</v>
      </c>
      <c r="I1940" s="3" t="s">
        <v>15</v>
      </c>
      <c r="J1940" s="4">
        <v>1</v>
      </c>
    </row>
    <row r="1941" spans="1:10" x14ac:dyDescent="0.35">
      <c r="A1941" s="2" t="s">
        <v>1977</v>
      </c>
      <c r="B1941" s="4">
        <v>9</v>
      </c>
      <c r="C1941" t="s">
        <v>11</v>
      </c>
      <c r="D1941" t="s">
        <v>41</v>
      </c>
      <c r="E1941" t="s">
        <v>65</v>
      </c>
      <c r="F1941" t="s">
        <v>20</v>
      </c>
      <c r="G1941" s="4">
        <v>7</v>
      </c>
      <c r="H1941" s="1">
        <v>94432</v>
      </c>
      <c r="I1941" s="3" t="s">
        <v>15</v>
      </c>
      <c r="J1941" s="4">
        <v>5</v>
      </c>
    </row>
    <row r="1942" spans="1:10" x14ac:dyDescent="0.35">
      <c r="A1942" s="2" t="s">
        <v>1978</v>
      </c>
      <c r="B1942" s="4">
        <v>63</v>
      </c>
      <c r="C1942" t="s">
        <v>11</v>
      </c>
      <c r="D1942" t="s">
        <v>39</v>
      </c>
      <c r="E1942" t="s">
        <v>34</v>
      </c>
      <c r="F1942" t="s">
        <v>20</v>
      </c>
      <c r="G1942" s="4">
        <v>15</v>
      </c>
      <c r="H1942" s="1">
        <v>99328</v>
      </c>
      <c r="I1942" s="3" t="s">
        <v>21</v>
      </c>
      <c r="J1942" s="4">
        <v>2</v>
      </c>
    </row>
    <row r="1943" spans="1:10" x14ac:dyDescent="0.35">
      <c r="A1943" s="2" t="s">
        <v>1979</v>
      </c>
      <c r="B1943" s="4">
        <v>59</v>
      </c>
      <c r="C1943" t="s">
        <v>11</v>
      </c>
      <c r="D1943" t="s">
        <v>36</v>
      </c>
      <c r="E1943" t="s">
        <v>24</v>
      </c>
      <c r="F1943" t="s">
        <v>20</v>
      </c>
      <c r="G1943" s="4">
        <v>10</v>
      </c>
      <c r="H1943" s="1">
        <v>99485</v>
      </c>
      <c r="I1943" s="3" t="s">
        <v>21</v>
      </c>
      <c r="J1943" s="4">
        <v>5</v>
      </c>
    </row>
    <row r="1944" spans="1:10" x14ac:dyDescent="0.35">
      <c r="A1944" s="2" t="s">
        <v>1980</v>
      </c>
      <c r="B1944" s="4">
        <v>22</v>
      </c>
      <c r="C1944" t="s">
        <v>17</v>
      </c>
      <c r="D1944" t="s">
        <v>36</v>
      </c>
      <c r="E1944" t="s">
        <v>24</v>
      </c>
      <c r="F1944" t="s">
        <v>14</v>
      </c>
      <c r="G1944" s="4">
        <v>14</v>
      </c>
      <c r="H1944" s="1">
        <v>89608</v>
      </c>
      <c r="I1944" s="3" t="s">
        <v>21</v>
      </c>
      <c r="J1944" s="4">
        <v>4</v>
      </c>
    </row>
    <row r="1945" spans="1:10" x14ac:dyDescent="0.35">
      <c r="A1945" s="2" t="s">
        <v>1981</v>
      </c>
      <c r="B1945" s="4">
        <v>61</v>
      </c>
      <c r="C1945" t="s">
        <v>11</v>
      </c>
      <c r="D1945" t="s">
        <v>41</v>
      </c>
      <c r="E1945" t="s">
        <v>24</v>
      </c>
      <c r="F1945" t="s">
        <v>14</v>
      </c>
      <c r="G1945" s="4">
        <v>3</v>
      </c>
      <c r="H1945" s="1">
        <v>42697</v>
      </c>
      <c r="I1945" s="3" t="s">
        <v>21</v>
      </c>
      <c r="J1945" s="4">
        <v>3</v>
      </c>
    </row>
    <row r="1946" spans="1:10" x14ac:dyDescent="0.35">
      <c r="A1946" s="2" t="s">
        <v>1982</v>
      </c>
      <c r="B1946" s="4">
        <v>85</v>
      </c>
      <c r="C1946" t="s">
        <v>11</v>
      </c>
      <c r="D1946" t="s">
        <v>12</v>
      </c>
      <c r="E1946" t="s">
        <v>37</v>
      </c>
      <c r="F1946" t="s">
        <v>30</v>
      </c>
      <c r="G1946" s="4">
        <v>9</v>
      </c>
      <c r="H1946" s="1">
        <v>61360</v>
      </c>
      <c r="I1946" s="3" t="s">
        <v>21</v>
      </c>
      <c r="J1946" s="4">
        <v>4</v>
      </c>
    </row>
    <row r="1947" spans="1:10" x14ac:dyDescent="0.35">
      <c r="A1947" s="2" t="s">
        <v>1983</v>
      </c>
      <c r="B1947" s="4">
        <v>81</v>
      </c>
      <c r="C1947" t="s">
        <v>17</v>
      </c>
      <c r="D1947" t="s">
        <v>36</v>
      </c>
      <c r="E1947" t="s">
        <v>34</v>
      </c>
      <c r="F1947" t="s">
        <v>14</v>
      </c>
      <c r="G1947" s="4">
        <v>13</v>
      </c>
      <c r="H1947" s="1">
        <v>87573</v>
      </c>
      <c r="I1947" s="3" t="s">
        <v>15</v>
      </c>
      <c r="J1947" s="4">
        <v>5</v>
      </c>
    </row>
    <row r="1948" spans="1:10" x14ac:dyDescent="0.35">
      <c r="A1948" s="2" t="s">
        <v>1984</v>
      </c>
      <c r="B1948" s="4">
        <v>76</v>
      </c>
      <c r="C1948" t="s">
        <v>17</v>
      </c>
      <c r="D1948" t="s">
        <v>49</v>
      </c>
      <c r="E1948" t="s">
        <v>42</v>
      </c>
      <c r="F1948" t="s">
        <v>20</v>
      </c>
      <c r="G1948" s="4">
        <v>1</v>
      </c>
      <c r="H1948" s="1">
        <v>48843</v>
      </c>
      <c r="I1948" s="3" t="s">
        <v>21</v>
      </c>
      <c r="J1948" s="4">
        <v>1</v>
      </c>
    </row>
    <row r="1949" spans="1:10" x14ac:dyDescent="0.35">
      <c r="A1949" s="2" t="s">
        <v>1985</v>
      </c>
      <c r="B1949" s="4">
        <v>28</v>
      </c>
      <c r="C1949" t="s">
        <v>11</v>
      </c>
      <c r="D1949" t="s">
        <v>28</v>
      </c>
      <c r="E1949" t="s">
        <v>19</v>
      </c>
      <c r="F1949" t="s">
        <v>20</v>
      </c>
      <c r="G1949" s="4">
        <v>4</v>
      </c>
      <c r="H1949" s="1">
        <v>53203</v>
      </c>
      <c r="I1949" s="3" t="s">
        <v>21</v>
      </c>
      <c r="J1949" s="4">
        <v>2</v>
      </c>
    </row>
    <row r="1950" spans="1:10" x14ac:dyDescent="0.35">
      <c r="A1950" s="2" t="s">
        <v>1986</v>
      </c>
      <c r="B1950" s="4">
        <v>84</v>
      </c>
      <c r="C1950" t="s">
        <v>17</v>
      </c>
      <c r="D1950" t="s">
        <v>41</v>
      </c>
      <c r="E1950" t="s">
        <v>19</v>
      </c>
      <c r="F1950" t="s">
        <v>20</v>
      </c>
      <c r="G1950" s="4">
        <v>6</v>
      </c>
      <c r="H1950" s="1">
        <v>70569</v>
      </c>
      <c r="I1950" s="3" t="s">
        <v>15</v>
      </c>
      <c r="J1950" s="4">
        <v>2</v>
      </c>
    </row>
    <row r="1951" spans="1:10" x14ac:dyDescent="0.35">
      <c r="A1951" s="2" t="s">
        <v>1987</v>
      </c>
      <c r="B1951" s="4">
        <v>59</v>
      </c>
      <c r="C1951" t="s">
        <v>17</v>
      </c>
      <c r="D1951" t="s">
        <v>36</v>
      </c>
      <c r="E1951" t="s">
        <v>27</v>
      </c>
      <c r="F1951" t="s">
        <v>30</v>
      </c>
      <c r="G1951" s="4">
        <v>1</v>
      </c>
      <c r="H1951" s="1">
        <v>66353</v>
      </c>
      <c r="I1951" s="3" t="s">
        <v>21</v>
      </c>
      <c r="J1951" s="4">
        <v>2</v>
      </c>
    </row>
    <row r="1952" spans="1:10" x14ac:dyDescent="0.35">
      <c r="A1952" s="2" t="s">
        <v>1988</v>
      </c>
      <c r="B1952" s="4">
        <v>8</v>
      </c>
      <c r="C1952" t="s">
        <v>17</v>
      </c>
      <c r="D1952" t="s">
        <v>23</v>
      </c>
      <c r="E1952" t="s">
        <v>65</v>
      </c>
      <c r="F1952" t="s">
        <v>20</v>
      </c>
      <c r="G1952" s="4">
        <v>10</v>
      </c>
      <c r="H1952" s="1">
        <v>10586</v>
      </c>
      <c r="I1952" s="3" t="s">
        <v>21</v>
      </c>
      <c r="J1952" s="4">
        <v>1</v>
      </c>
    </row>
    <row r="1953" spans="1:10" x14ac:dyDescent="0.35">
      <c r="A1953" s="2" t="s">
        <v>1989</v>
      </c>
      <c r="B1953" s="4">
        <v>18</v>
      </c>
      <c r="C1953" t="s">
        <v>17</v>
      </c>
      <c r="D1953" t="s">
        <v>33</v>
      </c>
      <c r="E1953" t="s">
        <v>13</v>
      </c>
      <c r="F1953" t="s">
        <v>30</v>
      </c>
      <c r="G1953" s="4">
        <v>4</v>
      </c>
      <c r="H1953" s="1">
        <v>40391</v>
      </c>
      <c r="I1953" s="3" t="s">
        <v>21</v>
      </c>
      <c r="J1953" s="4">
        <v>2</v>
      </c>
    </row>
    <row r="1954" spans="1:10" x14ac:dyDescent="0.35">
      <c r="A1954" s="2" t="s">
        <v>1990</v>
      </c>
      <c r="B1954" s="4">
        <v>49</v>
      </c>
      <c r="C1954" t="s">
        <v>11</v>
      </c>
      <c r="D1954" t="s">
        <v>26</v>
      </c>
      <c r="E1954" t="s">
        <v>24</v>
      </c>
      <c r="F1954" t="s">
        <v>14</v>
      </c>
      <c r="G1954" s="4">
        <v>11</v>
      </c>
      <c r="H1954" s="1">
        <v>57544</v>
      </c>
      <c r="I1954" s="3" t="s">
        <v>15</v>
      </c>
      <c r="J1954" s="4">
        <v>2</v>
      </c>
    </row>
    <row r="1955" spans="1:10" x14ac:dyDescent="0.35">
      <c r="A1955" s="2" t="s">
        <v>1991</v>
      </c>
      <c r="B1955" s="4">
        <v>23</v>
      </c>
      <c r="C1955" t="s">
        <v>11</v>
      </c>
      <c r="D1955" t="s">
        <v>26</v>
      </c>
      <c r="E1955" t="s">
        <v>65</v>
      </c>
      <c r="F1955" t="s">
        <v>14</v>
      </c>
      <c r="G1955" s="4">
        <v>5</v>
      </c>
      <c r="H1955" s="1">
        <v>11416</v>
      </c>
      <c r="I1955" s="3" t="s">
        <v>15</v>
      </c>
      <c r="J1955" s="4">
        <v>2</v>
      </c>
    </row>
    <row r="1956" spans="1:10" x14ac:dyDescent="0.35">
      <c r="A1956" s="2" t="s">
        <v>1992</v>
      </c>
      <c r="B1956" s="4">
        <v>56</v>
      </c>
      <c r="C1956" t="s">
        <v>11</v>
      </c>
      <c r="D1956" t="s">
        <v>23</v>
      </c>
      <c r="E1956" t="s">
        <v>13</v>
      </c>
      <c r="F1956" t="s">
        <v>30</v>
      </c>
      <c r="G1956" s="4">
        <v>10</v>
      </c>
      <c r="H1956" s="1">
        <v>28886</v>
      </c>
      <c r="I1956" s="3" t="s">
        <v>15</v>
      </c>
      <c r="J1956" s="4">
        <v>5</v>
      </c>
    </row>
    <row r="1957" spans="1:10" x14ac:dyDescent="0.35">
      <c r="A1957" s="2" t="s">
        <v>1993</v>
      </c>
      <c r="B1957" s="4">
        <v>50</v>
      </c>
      <c r="C1957" t="s">
        <v>11</v>
      </c>
      <c r="D1957" t="s">
        <v>28</v>
      </c>
      <c r="E1957" t="s">
        <v>24</v>
      </c>
      <c r="F1957" t="s">
        <v>30</v>
      </c>
      <c r="G1957" s="4">
        <v>8</v>
      </c>
      <c r="H1957" s="1">
        <v>41438</v>
      </c>
      <c r="I1957" s="3" t="s">
        <v>15</v>
      </c>
      <c r="J1957" s="4">
        <v>4</v>
      </c>
    </row>
    <row r="1958" spans="1:10" x14ac:dyDescent="0.35">
      <c r="A1958" s="2" t="s">
        <v>1994</v>
      </c>
      <c r="B1958" s="4">
        <v>69</v>
      </c>
      <c r="C1958" t="s">
        <v>17</v>
      </c>
      <c r="D1958" t="s">
        <v>41</v>
      </c>
      <c r="E1958" t="s">
        <v>42</v>
      </c>
      <c r="F1958" t="s">
        <v>30</v>
      </c>
      <c r="G1958" s="4">
        <v>15</v>
      </c>
      <c r="H1958" s="1">
        <v>99128</v>
      </c>
      <c r="I1958" s="3" t="s">
        <v>15</v>
      </c>
      <c r="J1958" s="4">
        <v>2</v>
      </c>
    </row>
    <row r="1959" spans="1:10" x14ac:dyDescent="0.35">
      <c r="A1959" s="2" t="s">
        <v>1995</v>
      </c>
      <c r="B1959" s="4">
        <v>60</v>
      </c>
      <c r="C1959" t="s">
        <v>17</v>
      </c>
      <c r="D1959" t="s">
        <v>49</v>
      </c>
      <c r="E1959" t="s">
        <v>37</v>
      </c>
      <c r="F1959" t="s">
        <v>14</v>
      </c>
      <c r="G1959" s="4">
        <v>8</v>
      </c>
      <c r="H1959" s="1">
        <v>98456</v>
      </c>
      <c r="I1959" s="3" t="s">
        <v>15</v>
      </c>
      <c r="J1959" s="4">
        <v>2</v>
      </c>
    </row>
    <row r="1960" spans="1:10" x14ac:dyDescent="0.35">
      <c r="A1960" s="2" t="s">
        <v>1996</v>
      </c>
      <c r="B1960" s="4">
        <v>46</v>
      </c>
      <c r="C1960" t="s">
        <v>17</v>
      </c>
      <c r="D1960" t="s">
        <v>36</v>
      </c>
      <c r="E1960" t="s">
        <v>34</v>
      </c>
      <c r="F1960" t="s">
        <v>14</v>
      </c>
      <c r="G1960" s="4">
        <v>10</v>
      </c>
      <c r="H1960" s="1">
        <v>64525</v>
      </c>
      <c r="I1960" s="3" t="s">
        <v>21</v>
      </c>
      <c r="J1960" s="4">
        <v>2</v>
      </c>
    </row>
    <row r="1961" spans="1:10" x14ac:dyDescent="0.35">
      <c r="A1961" s="2" t="s">
        <v>1997</v>
      </c>
      <c r="B1961" s="4">
        <v>53</v>
      </c>
      <c r="C1961" t="s">
        <v>17</v>
      </c>
      <c r="D1961" t="s">
        <v>28</v>
      </c>
      <c r="E1961" t="s">
        <v>13</v>
      </c>
      <c r="F1961" t="s">
        <v>20</v>
      </c>
      <c r="G1961" s="4">
        <v>6</v>
      </c>
      <c r="H1961" s="1">
        <v>17090</v>
      </c>
      <c r="I1961" s="3" t="s">
        <v>15</v>
      </c>
      <c r="J1961" s="4">
        <v>2</v>
      </c>
    </row>
    <row r="1962" spans="1:10" x14ac:dyDescent="0.35">
      <c r="A1962" s="2" t="s">
        <v>1998</v>
      </c>
      <c r="B1962" s="4">
        <v>1</v>
      </c>
      <c r="C1962" t="s">
        <v>11</v>
      </c>
      <c r="D1962" t="s">
        <v>26</v>
      </c>
      <c r="E1962" t="s">
        <v>37</v>
      </c>
      <c r="F1962" t="s">
        <v>20</v>
      </c>
      <c r="G1962" s="4">
        <v>13</v>
      </c>
      <c r="H1962" s="1">
        <v>81443</v>
      </c>
      <c r="I1962" s="3" t="s">
        <v>15</v>
      </c>
      <c r="J1962" s="4">
        <v>1</v>
      </c>
    </row>
    <row r="1963" spans="1:10" x14ac:dyDescent="0.35">
      <c r="A1963" s="2" t="s">
        <v>1999</v>
      </c>
      <c r="B1963" s="4">
        <v>49</v>
      </c>
      <c r="C1963" t="s">
        <v>17</v>
      </c>
      <c r="D1963" t="s">
        <v>26</v>
      </c>
      <c r="E1963" t="s">
        <v>37</v>
      </c>
      <c r="F1963" t="s">
        <v>30</v>
      </c>
      <c r="G1963" s="4">
        <v>9</v>
      </c>
      <c r="H1963" s="1">
        <v>10061</v>
      </c>
      <c r="I1963" s="3" t="s">
        <v>21</v>
      </c>
      <c r="J1963" s="4">
        <v>4</v>
      </c>
    </row>
    <row r="1964" spans="1:10" x14ac:dyDescent="0.35">
      <c r="A1964" s="2" t="s">
        <v>2000</v>
      </c>
      <c r="B1964" s="4">
        <v>73</v>
      </c>
      <c r="C1964" t="s">
        <v>11</v>
      </c>
      <c r="D1964" t="s">
        <v>33</v>
      </c>
      <c r="E1964" t="s">
        <v>13</v>
      </c>
      <c r="F1964" t="s">
        <v>30</v>
      </c>
      <c r="G1964" s="4">
        <v>14</v>
      </c>
      <c r="H1964" s="1">
        <v>72499</v>
      </c>
      <c r="I1964" s="3" t="s">
        <v>21</v>
      </c>
      <c r="J1964" s="4">
        <v>1</v>
      </c>
    </row>
    <row r="1965" spans="1:10" x14ac:dyDescent="0.35">
      <c r="A1965" s="2" t="s">
        <v>2001</v>
      </c>
      <c r="B1965" s="4">
        <v>41</v>
      </c>
      <c r="C1965" t="s">
        <v>17</v>
      </c>
      <c r="D1965" t="s">
        <v>33</v>
      </c>
      <c r="E1965" t="s">
        <v>42</v>
      </c>
      <c r="F1965" t="s">
        <v>14</v>
      </c>
      <c r="G1965" s="4">
        <v>4</v>
      </c>
      <c r="H1965" s="1">
        <v>43751</v>
      </c>
      <c r="I1965" s="3" t="s">
        <v>15</v>
      </c>
      <c r="J1965" s="4">
        <v>2</v>
      </c>
    </row>
    <row r="1966" spans="1:10" x14ac:dyDescent="0.35">
      <c r="A1966" s="2" t="s">
        <v>2002</v>
      </c>
      <c r="B1966" s="4">
        <v>88</v>
      </c>
      <c r="C1966" t="s">
        <v>17</v>
      </c>
      <c r="D1966" t="s">
        <v>23</v>
      </c>
      <c r="E1966" t="s">
        <v>19</v>
      </c>
      <c r="F1966" t="s">
        <v>20</v>
      </c>
      <c r="G1966" s="4">
        <v>6</v>
      </c>
      <c r="H1966" s="1">
        <v>29792</v>
      </c>
      <c r="I1966" s="3" t="s">
        <v>15</v>
      </c>
      <c r="J1966" s="4">
        <v>1</v>
      </c>
    </row>
    <row r="1967" spans="1:10" x14ac:dyDescent="0.35">
      <c r="A1967" s="2" t="s">
        <v>2003</v>
      </c>
      <c r="B1967" s="4">
        <v>45</v>
      </c>
      <c r="C1967" t="s">
        <v>11</v>
      </c>
      <c r="D1967" t="s">
        <v>18</v>
      </c>
      <c r="E1967" t="s">
        <v>27</v>
      </c>
      <c r="F1967" t="s">
        <v>14</v>
      </c>
      <c r="G1967" s="4">
        <v>12</v>
      </c>
      <c r="H1967" s="1">
        <v>28127</v>
      </c>
      <c r="I1967" s="3" t="s">
        <v>21</v>
      </c>
      <c r="J1967" s="4">
        <v>2</v>
      </c>
    </row>
    <row r="1968" spans="1:10" x14ac:dyDescent="0.35">
      <c r="A1968" s="2" t="s">
        <v>2004</v>
      </c>
      <c r="B1968" s="4">
        <v>74</v>
      </c>
      <c r="C1968" t="s">
        <v>17</v>
      </c>
      <c r="D1968" t="s">
        <v>39</v>
      </c>
      <c r="E1968" t="s">
        <v>42</v>
      </c>
      <c r="F1968" t="s">
        <v>30</v>
      </c>
      <c r="G1968" s="4">
        <v>5</v>
      </c>
      <c r="H1968" s="1">
        <v>43733</v>
      </c>
      <c r="I1968" s="3" t="s">
        <v>21</v>
      </c>
      <c r="J1968" s="4">
        <v>4</v>
      </c>
    </row>
    <row r="1969" spans="1:10" x14ac:dyDescent="0.35">
      <c r="A1969" s="2" t="s">
        <v>2005</v>
      </c>
      <c r="B1969" s="4">
        <v>38</v>
      </c>
      <c r="C1969" t="s">
        <v>11</v>
      </c>
      <c r="D1969" t="s">
        <v>49</v>
      </c>
      <c r="E1969" t="s">
        <v>37</v>
      </c>
      <c r="F1969" t="s">
        <v>20</v>
      </c>
      <c r="G1969" s="4">
        <v>8</v>
      </c>
      <c r="H1969" s="1">
        <v>81145</v>
      </c>
      <c r="I1969" s="3" t="s">
        <v>15</v>
      </c>
      <c r="J1969" s="4">
        <v>2</v>
      </c>
    </row>
    <row r="1970" spans="1:10" x14ac:dyDescent="0.35">
      <c r="A1970" s="2" t="s">
        <v>2006</v>
      </c>
      <c r="B1970" s="4">
        <v>83</v>
      </c>
      <c r="C1970" t="s">
        <v>11</v>
      </c>
      <c r="D1970" t="s">
        <v>12</v>
      </c>
      <c r="E1970" t="s">
        <v>27</v>
      </c>
      <c r="F1970" t="s">
        <v>20</v>
      </c>
      <c r="G1970" s="4">
        <v>10</v>
      </c>
      <c r="H1970" s="1">
        <v>91939</v>
      </c>
      <c r="I1970" s="3" t="s">
        <v>15</v>
      </c>
      <c r="J1970" s="4">
        <v>3</v>
      </c>
    </row>
    <row r="1971" spans="1:10" x14ac:dyDescent="0.35">
      <c r="A1971" s="2" t="s">
        <v>2007</v>
      </c>
      <c r="B1971" s="4">
        <v>25</v>
      </c>
      <c r="C1971" t="s">
        <v>17</v>
      </c>
      <c r="D1971" t="s">
        <v>49</v>
      </c>
      <c r="E1971" t="s">
        <v>65</v>
      </c>
      <c r="F1971" t="s">
        <v>20</v>
      </c>
      <c r="G1971" s="4">
        <v>9</v>
      </c>
      <c r="H1971" s="1">
        <v>75617</v>
      </c>
      <c r="I1971" s="3" t="s">
        <v>21</v>
      </c>
      <c r="J1971" s="4">
        <v>1</v>
      </c>
    </row>
    <row r="1972" spans="1:10" x14ac:dyDescent="0.35">
      <c r="A1972" s="2" t="s">
        <v>2008</v>
      </c>
      <c r="B1972" s="4">
        <v>2</v>
      </c>
      <c r="C1972" t="s">
        <v>11</v>
      </c>
      <c r="D1972" t="s">
        <v>49</v>
      </c>
      <c r="E1972" t="s">
        <v>37</v>
      </c>
      <c r="F1972" t="s">
        <v>30</v>
      </c>
      <c r="G1972" s="4">
        <v>6</v>
      </c>
      <c r="H1972" s="1">
        <v>41097</v>
      </c>
      <c r="I1972" s="3" t="s">
        <v>21</v>
      </c>
      <c r="J1972" s="4">
        <v>5</v>
      </c>
    </row>
    <row r="1973" spans="1:10" x14ac:dyDescent="0.35">
      <c r="A1973" s="2" t="s">
        <v>2009</v>
      </c>
      <c r="B1973" s="4">
        <v>89</v>
      </c>
      <c r="C1973" t="s">
        <v>11</v>
      </c>
      <c r="D1973" t="s">
        <v>36</v>
      </c>
      <c r="E1973" t="s">
        <v>34</v>
      </c>
      <c r="F1973" t="s">
        <v>20</v>
      </c>
      <c r="G1973" s="4">
        <v>15</v>
      </c>
      <c r="H1973" s="1">
        <v>40389</v>
      </c>
      <c r="I1973" s="3" t="s">
        <v>15</v>
      </c>
      <c r="J1973" s="4">
        <v>1</v>
      </c>
    </row>
    <row r="1974" spans="1:10" x14ac:dyDescent="0.35">
      <c r="A1974" s="2" t="s">
        <v>2010</v>
      </c>
      <c r="B1974" s="4">
        <v>90</v>
      </c>
      <c r="C1974" t="s">
        <v>11</v>
      </c>
      <c r="D1974" t="s">
        <v>36</v>
      </c>
      <c r="E1974" t="s">
        <v>19</v>
      </c>
      <c r="F1974" t="s">
        <v>14</v>
      </c>
      <c r="G1974" s="4">
        <v>5</v>
      </c>
      <c r="H1974" s="1">
        <v>19810</v>
      </c>
      <c r="I1974" s="3" t="s">
        <v>15</v>
      </c>
      <c r="J1974" s="4">
        <v>1</v>
      </c>
    </row>
    <row r="1975" spans="1:10" x14ac:dyDescent="0.35">
      <c r="A1975" s="2" t="s">
        <v>2011</v>
      </c>
      <c r="B1975" s="4">
        <v>11</v>
      </c>
      <c r="C1975" t="s">
        <v>11</v>
      </c>
      <c r="D1975" t="s">
        <v>33</v>
      </c>
      <c r="E1975" t="s">
        <v>19</v>
      </c>
      <c r="F1975" t="s">
        <v>14</v>
      </c>
      <c r="G1975" s="4">
        <v>15</v>
      </c>
      <c r="H1975" s="1">
        <v>49845</v>
      </c>
      <c r="I1975" s="3" t="s">
        <v>15</v>
      </c>
      <c r="J1975" s="4">
        <v>1</v>
      </c>
    </row>
    <row r="1976" spans="1:10" x14ac:dyDescent="0.35">
      <c r="A1976" s="2" t="s">
        <v>2012</v>
      </c>
      <c r="B1976" s="4">
        <v>57</v>
      </c>
      <c r="C1976" t="s">
        <v>11</v>
      </c>
      <c r="D1976" t="s">
        <v>49</v>
      </c>
      <c r="E1976" t="s">
        <v>29</v>
      </c>
      <c r="F1976" t="s">
        <v>30</v>
      </c>
      <c r="G1976" s="4">
        <v>1</v>
      </c>
      <c r="H1976" s="1">
        <v>60305</v>
      </c>
      <c r="I1976" s="3" t="s">
        <v>21</v>
      </c>
      <c r="J1976" s="4">
        <v>1</v>
      </c>
    </row>
    <row r="1977" spans="1:10" x14ac:dyDescent="0.35">
      <c r="A1977" s="2" t="s">
        <v>2013</v>
      </c>
      <c r="B1977" s="4">
        <v>72</v>
      </c>
      <c r="C1977" t="s">
        <v>17</v>
      </c>
      <c r="D1977" t="s">
        <v>36</v>
      </c>
      <c r="E1977" t="s">
        <v>65</v>
      </c>
      <c r="F1977" t="s">
        <v>30</v>
      </c>
      <c r="G1977" s="4">
        <v>10</v>
      </c>
      <c r="H1977" s="1">
        <v>29886</v>
      </c>
      <c r="I1977" s="3" t="s">
        <v>15</v>
      </c>
      <c r="J1977" s="4">
        <v>3</v>
      </c>
    </row>
    <row r="1978" spans="1:10" x14ac:dyDescent="0.35">
      <c r="A1978" s="2" t="s">
        <v>2014</v>
      </c>
      <c r="B1978" s="4">
        <v>47</v>
      </c>
      <c r="C1978" t="s">
        <v>17</v>
      </c>
      <c r="D1978" t="s">
        <v>49</v>
      </c>
      <c r="E1978" t="s">
        <v>24</v>
      </c>
      <c r="F1978" t="s">
        <v>20</v>
      </c>
      <c r="G1978" s="4">
        <v>4</v>
      </c>
      <c r="H1978" s="1">
        <v>79471</v>
      </c>
      <c r="I1978" s="3" t="s">
        <v>21</v>
      </c>
      <c r="J1978" s="4">
        <v>5</v>
      </c>
    </row>
    <row r="1979" spans="1:10" x14ac:dyDescent="0.35">
      <c r="A1979" s="2" t="s">
        <v>2015</v>
      </c>
      <c r="B1979" s="4">
        <v>59</v>
      </c>
      <c r="C1979" t="s">
        <v>11</v>
      </c>
      <c r="D1979" t="s">
        <v>28</v>
      </c>
      <c r="E1979" t="s">
        <v>19</v>
      </c>
      <c r="F1979" t="s">
        <v>14</v>
      </c>
      <c r="G1979" s="4">
        <v>12</v>
      </c>
      <c r="H1979" s="1">
        <v>84879</v>
      </c>
      <c r="I1979" s="3" t="s">
        <v>15</v>
      </c>
      <c r="J1979" s="4">
        <v>2</v>
      </c>
    </row>
    <row r="1980" spans="1:10" x14ac:dyDescent="0.35">
      <c r="A1980" s="2" t="s">
        <v>2016</v>
      </c>
      <c r="B1980" s="4">
        <v>5</v>
      </c>
      <c r="C1980" t="s">
        <v>17</v>
      </c>
      <c r="D1980" t="s">
        <v>33</v>
      </c>
      <c r="E1980" t="s">
        <v>34</v>
      </c>
      <c r="F1980" t="s">
        <v>30</v>
      </c>
      <c r="G1980" s="4">
        <v>5</v>
      </c>
      <c r="H1980" s="1">
        <v>47068</v>
      </c>
      <c r="I1980" s="3" t="s">
        <v>21</v>
      </c>
      <c r="J1980" s="4">
        <v>4</v>
      </c>
    </row>
    <row r="1981" spans="1:10" x14ac:dyDescent="0.35">
      <c r="A1981" s="2" t="s">
        <v>2017</v>
      </c>
      <c r="B1981" s="4">
        <v>3</v>
      </c>
      <c r="C1981" t="s">
        <v>17</v>
      </c>
      <c r="D1981" t="s">
        <v>49</v>
      </c>
      <c r="E1981" t="s">
        <v>65</v>
      </c>
      <c r="F1981" t="s">
        <v>20</v>
      </c>
      <c r="G1981" s="4">
        <v>3</v>
      </c>
      <c r="H1981" s="1">
        <v>56190</v>
      </c>
      <c r="I1981" s="3" t="s">
        <v>15</v>
      </c>
      <c r="J1981" s="4">
        <v>5</v>
      </c>
    </row>
    <row r="1982" spans="1:10" x14ac:dyDescent="0.35">
      <c r="A1982" s="2" t="s">
        <v>2018</v>
      </c>
      <c r="B1982" s="4">
        <v>15</v>
      </c>
      <c r="C1982" t="s">
        <v>17</v>
      </c>
      <c r="D1982" t="s">
        <v>26</v>
      </c>
      <c r="E1982" t="s">
        <v>65</v>
      </c>
      <c r="F1982" t="s">
        <v>20</v>
      </c>
      <c r="G1982" s="4">
        <v>10</v>
      </c>
      <c r="H1982" s="1">
        <v>60621</v>
      </c>
      <c r="I1982" s="3" t="s">
        <v>15</v>
      </c>
      <c r="J1982" s="4">
        <v>4</v>
      </c>
    </row>
    <row r="1983" spans="1:10" x14ac:dyDescent="0.35">
      <c r="A1983" s="2" t="s">
        <v>2019</v>
      </c>
      <c r="B1983" s="4">
        <v>59</v>
      </c>
      <c r="C1983" t="s">
        <v>11</v>
      </c>
      <c r="D1983" t="s">
        <v>39</v>
      </c>
      <c r="E1983" t="s">
        <v>34</v>
      </c>
      <c r="F1983" t="s">
        <v>30</v>
      </c>
      <c r="G1983" s="4">
        <v>12</v>
      </c>
      <c r="H1983" s="1">
        <v>31948</v>
      </c>
      <c r="I1983" s="3" t="s">
        <v>21</v>
      </c>
      <c r="J1983" s="4">
        <v>5</v>
      </c>
    </row>
    <row r="1984" spans="1:10" x14ac:dyDescent="0.35">
      <c r="A1984" s="2" t="s">
        <v>2020</v>
      </c>
      <c r="B1984" s="4">
        <v>45</v>
      </c>
      <c r="C1984" t="s">
        <v>11</v>
      </c>
      <c r="D1984" t="s">
        <v>41</v>
      </c>
      <c r="E1984" t="s">
        <v>13</v>
      </c>
      <c r="F1984" t="s">
        <v>20</v>
      </c>
      <c r="G1984" s="4">
        <v>3</v>
      </c>
      <c r="H1984" s="1">
        <v>26683</v>
      </c>
      <c r="I1984" s="3" t="s">
        <v>21</v>
      </c>
      <c r="J1984" s="4">
        <v>4</v>
      </c>
    </row>
    <row r="1985" spans="1:10" x14ac:dyDescent="0.35">
      <c r="A1985" s="2" t="s">
        <v>2021</v>
      </c>
      <c r="B1985" s="4">
        <v>46</v>
      </c>
      <c r="C1985" t="s">
        <v>17</v>
      </c>
      <c r="D1985" t="s">
        <v>28</v>
      </c>
      <c r="E1985" t="s">
        <v>65</v>
      </c>
      <c r="F1985" t="s">
        <v>20</v>
      </c>
      <c r="G1985" s="4">
        <v>15</v>
      </c>
      <c r="H1985" s="1">
        <v>24907</v>
      </c>
      <c r="I1985" s="3" t="s">
        <v>21</v>
      </c>
      <c r="J1985" s="4">
        <v>3</v>
      </c>
    </row>
    <row r="1986" spans="1:10" x14ac:dyDescent="0.35">
      <c r="A1986" s="2" t="s">
        <v>2022</v>
      </c>
      <c r="B1986" s="4">
        <v>61</v>
      </c>
      <c r="C1986" t="s">
        <v>17</v>
      </c>
      <c r="D1986" t="s">
        <v>23</v>
      </c>
      <c r="E1986" t="s">
        <v>53</v>
      </c>
      <c r="F1986" t="s">
        <v>20</v>
      </c>
      <c r="G1986" s="4">
        <v>6</v>
      </c>
      <c r="H1986" s="1">
        <v>83216</v>
      </c>
      <c r="I1986" s="3" t="s">
        <v>15</v>
      </c>
      <c r="J1986" s="4">
        <v>4</v>
      </c>
    </row>
    <row r="1987" spans="1:10" x14ac:dyDescent="0.35">
      <c r="A1987" s="2" t="s">
        <v>2023</v>
      </c>
      <c r="B1987" s="4">
        <v>70</v>
      </c>
      <c r="C1987" t="s">
        <v>17</v>
      </c>
      <c r="D1987" t="s">
        <v>49</v>
      </c>
      <c r="E1987" t="s">
        <v>65</v>
      </c>
      <c r="F1987" t="s">
        <v>30</v>
      </c>
      <c r="G1987" s="4">
        <v>14</v>
      </c>
      <c r="H1987" s="1">
        <v>17596</v>
      </c>
      <c r="I1987" s="3" t="s">
        <v>15</v>
      </c>
      <c r="J1987" s="4">
        <v>4</v>
      </c>
    </row>
    <row r="1988" spans="1:10" x14ac:dyDescent="0.35">
      <c r="A1988" s="2" t="s">
        <v>2024</v>
      </c>
      <c r="B1988" s="4">
        <v>29</v>
      </c>
      <c r="C1988" t="s">
        <v>17</v>
      </c>
      <c r="D1988" t="s">
        <v>23</v>
      </c>
      <c r="E1988" t="s">
        <v>24</v>
      </c>
      <c r="F1988" t="s">
        <v>20</v>
      </c>
      <c r="G1988" s="4">
        <v>15</v>
      </c>
      <c r="H1988" s="1">
        <v>26097</v>
      </c>
      <c r="I1988" s="3" t="s">
        <v>21</v>
      </c>
      <c r="J1988" s="4">
        <v>2</v>
      </c>
    </row>
    <row r="1989" spans="1:10" x14ac:dyDescent="0.35">
      <c r="A1989" s="2" t="s">
        <v>2025</v>
      </c>
      <c r="B1989" s="4">
        <v>6</v>
      </c>
      <c r="C1989" t="s">
        <v>11</v>
      </c>
      <c r="D1989" t="s">
        <v>12</v>
      </c>
      <c r="E1989" t="s">
        <v>53</v>
      </c>
      <c r="F1989" t="s">
        <v>20</v>
      </c>
      <c r="G1989" s="4">
        <v>11</v>
      </c>
      <c r="H1989" s="1">
        <v>48150</v>
      </c>
      <c r="I1989" s="3" t="s">
        <v>21</v>
      </c>
      <c r="J1989" s="4">
        <v>1</v>
      </c>
    </row>
    <row r="1990" spans="1:10" x14ac:dyDescent="0.35">
      <c r="A1990" s="2" t="s">
        <v>2026</v>
      </c>
      <c r="B1990" s="4">
        <v>6</v>
      </c>
      <c r="C1990" t="s">
        <v>11</v>
      </c>
      <c r="D1990" t="s">
        <v>33</v>
      </c>
      <c r="E1990" t="s">
        <v>27</v>
      </c>
      <c r="F1990" t="s">
        <v>20</v>
      </c>
      <c r="G1990" s="4">
        <v>11</v>
      </c>
      <c r="H1990" s="1">
        <v>16255</v>
      </c>
      <c r="I1990" s="3" t="s">
        <v>15</v>
      </c>
      <c r="J1990" s="4">
        <v>2</v>
      </c>
    </row>
    <row r="1991" spans="1:10" x14ac:dyDescent="0.35">
      <c r="A1991" s="2" t="s">
        <v>2027</v>
      </c>
      <c r="B1991" s="4">
        <v>86</v>
      </c>
      <c r="C1991" t="s">
        <v>17</v>
      </c>
      <c r="D1991" t="s">
        <v>41</v>
      </c>
      <c r="E1991" t="s">
        <v>37</v>
      </c>
      <c r="F1991" t="s">
        <v>14</v>
      </c>
      <c r="G1991" s="4">
        <v>2</v>
      </c>
      <c r="H1991" s="1">
        <v>76331</v>
      </c>
      <c r="I1991" s="3" t="s">
        <v>21</v>
      </c>
      <c r="J1991" s="4">
        <v>2</v>
      </c>
    </row>
    <row r="1992" spans="1:10" x14ac:dyDescent="0.35">
      <c r="A1992" s="2" t="s">
        <v>2028</v>
      </c>
      <c r="B1992" s="4">
        <v>79</v>
      </c>
      <c r="C1992" t="s">
        <v>11</v>
      </c>
      <c r="D1992" t="s">
        <v>23</v>
      </c>
      <c r="E1992" t="s">
        <v>34</v>
      </c>
      <c r="F1992" t="s">
        <v>30</v>
      </c>
      <c r="G1992" s="4">
        <v>5</v>
      </c>
      <c r="H1992" s="1">
        <v>53170</v>
      </c>
      <c r="I1992" s="3" t="s">
        <v>15</v>
      </c>
      <c r="J1992" s="4">
        <v>5</v>
      </c>
    </row>
    <row r="1993" spans="1:10" x14ac:dyDescent="0.35">
      <c r="A1993" s="2" t="s">
        <v>2029</v>
      </c>
      <c r="B1993" s="4">
        <v>24</v>
      </c>
      <c r="C1993" t="s">
        <v>17</v>
      </c>
      <c r="D1993" t="s">
        <v>39</v>
      </c>
      <c r="E1993" t="s">
        <v>34</v>
      </c>
      <c r="F1993" t="s">
        <v>30</v>
      </c>
      <c r="G1993" s="4">
        <v>2</v>
      </c>
      <c r="H1993" s="1">
        <v>83978</v>
      </c>
      <c r="I1993" s="3" t="s">
        <v>21</v>
      </c>
      <c r="J1993" s="4">
        <v>5</v>
      </c>
    </row>
    <row r="1994" spans="1:10" x14ac:dyDescent="0.35">
      <c r="A1994" s="2" t="s">
        <v>2030</v>
      </c>
      <c r="B1994" s="4">
        <v>24</v>
      </c>
      <c r="C1994" t="s">
        <v>11</v>
      </c>
      <c r="D1994" t="s">
        <v>49</v>
      </c>
      <c r="E1994" t="s">
        <v>37</v>
      </c>
      <c r="F1994" t="s">
        <v>20</v>
      </c>
      <c r="G1994" s="4">
        <v>2</v>
      </c>
      <c r="H1994" s="1">
        <v>45433</v>
      </c>
      <c r="I1994" s="3" t="s">
        <v>15</v>
      </c>
      <c r="J1994" s="4">
        <v>4</v>
      </c>
    </row>
    <row r="1995" spans="1:10" x14ac:dyDescent="0.35">
      <c r="A1995" s="2" t="s">
        <v>2031</v>
      </c>
      <c r="B1995" s="4">
        <v>85</v>
      </c>
      <c r="C1995" t="s">
        <v>11</v>
      </c>
      <c r="D1995" t="s">
        <v>26</v>
      </c>
      <c r="E1995" t="s">
        <v>27</v>
      </c>
      <c r="F1995" t="s">
        <v>14</v>
      </c>
      <c r="G1995" s="4">
        <v>2</v>
      </c>
      <c r="H1995" s="1">
        <v>79847</v>
      </c>
      <c r="I1995" s="3" t="s">
        <v>21</v>
      </c>
      <c r="J1995" s="4">
        <v>1</v>
      </c>
    </row>
    <row r="1996" spans="1:10" x14ac:dyDescent="0.35">
      <c r="A1996" s="2" t="s">
        <v>2032</v>
      </c>
      <c r="B1996" s="4">
        <v>35</v>
      </c>
      <c r="C1996" t="s">
        <v>17</v>
      </c>
      <c r="D1996" t="s">
        <v>36</v>
      </c>
      <c r="E1996" t="s">
        <v>19</v>
      </c>
      <c r="F1996" t="s">
        <v>30</v>
      </c>
      <c r="G1996" s="4">
        <v>6</v>
      </c>
      <c r="H1996" s="1">
        <v>21791</v>
      </c>
      <c r="I1996" s="3" t="s">
        <v>21</v>
      </c>
      <c r="J1996" s="4">
        <v>1</v>
      </c>
    </row>
    <row r="1997" spans="1:10" x14ac:dyDescent="0.35">
      <c r="A1997" s="2" t="s">
        <v>2033</v>
      </c>
      <c r="B1997" s="4">
        <v>60</v>
      </c>
      <c r="C1997" t="s">
        <v>17</v>
      </c>
      <c r="D1997" t="s">
        <v>28</v>
      </c>
      <c r="E1997" t="s">
        <v>27</v>
      </c>
      <c r="F1997" t="s">
        <v>30</v>
      </c>
      <c r="G1997" s="4">
        <v>3</v>
      </c>
      <c r="H1997" s="1">
        <v>22740</v>
      </c>
      <c r="I1997" s="3" t="s">
        <v>21</v>
      </c>
      <c r="J1997" s="4">
        <v>4</v>
      </c>
    </row>
    <row r="1998" spans="1:10" x14ac:dyDescent="0.35">
      <c r="A1998" s="2" t="s">
        <v>2034</v>
      </c>
      <c r="B1998" s="4">
        <v>58</v>
      </c>
      <c r="C1998" t="s">
        <v>11</v>
      </c>
      <c r="D1998" t="s">
        <v>28</v>
      </c>
      <c r="E1998" t="s">
        <v>13</v>
      </c>
      <c r="F1998" t="s">
        <v>20</v>
      </c>
      <c r="G1998" s="4">
        <v>9</v>
      </c>
      <c r="H1998" s="1">
        <v>17343</v>
      </c>
      <c r="I1998" s="3" t="s">
        <v>15</v>
      </c>
      <c r="J1998" s="4">
        <v>1</v>
      </c>
    </row>
    <row r="1999" spans="1:10" x14ac:dyDescent="0.35">
      <c r="A1999" s="2" t="s">
        <v>2035</v>
      </c>
      <c r="B1999" s="4">
        <v>50</v>
      </c>
      <c r="C1999" t="s">
        <v>17</v>
      </c>
      <c r="D1999" t="s">
        <v>49</v>
      </c>
      <c r="E1999" t="s">
        <v>42</v>
      </c>
      <c r="F1999" t="s">
        <v>30</v>
      </c>
      <c r="G1999" s="4">
        <v>11</v>
      </c>
      <c r="H1999" s="1">
        <v>35556</v>
      </c>
      <c r="I1999" s="3" t="s">
        <v>21</v>
      </c>
      <c r="J1999" s="4">
        <v>5</v>
      </c>
    </row>
    <row r="2000" spans="1:10" x14ac:dyDescent="0.35">
      <c r="A2000" s="2" t="s">
        <v>2036</v>
      </c>
      <c r="B2000" s="4">
        <v>41</v>
      </c>
      <c r="C2000" t="s">
        <v>17</v>
      </c>
      <c r="D2000" t="s">
        <v>41</v>
      </c>
      <c r="E2000" t="s">
        <v>65</v>
      </c>
      <c r="F2000" t="s">
        <v>20</v>
      </c>
      <c r="G2000" s="4">
        <v>2</v>
      </c>
      <c r="H2000" s="1">
        <v>73295</v>
      </c>
      <c r="I2000" s="3" t="s">
        <v>21</v>
      </c>
      <c r="J2000" s="4">
        <v>2</v>
      </c>
    </row>
    <row r="2001" spans="1:10" x14ac:dyDescent="0.35">
      <c r="A2001" s="2" t="s">
        <v>2037</v>
      </c>
      <c r="B2001" s="4">
        <v>87</v>
      </c>
      <c r="C2001" t="s">
        <v>17</v>
      </c>
      <c r="D2001" t="s">
        <v>36</v>
      </c>
      <c r="E2001" t="s">
        <v>34</v>
      </c>
      <c r="F2001" t="s">
        <v>20</v>
      </c>
      <c r="G2001" s="4">
        <v>2</v>
      </c>
      <c r="H2001" s="1">
        <v>99700</v>
      </c>
      <c r="I2001" s="3" t="s">
        <v>15</v>
      </c>
      <c r="J2001" s="4">
        <v>3</v>
      </c>
    </row>
    <row r="2002" spans="1:10" x14ac:dyDescent="0.35">
      <c r="A2002" s="2" t="s">
        <v>2038</v>
      </c>
      <c r="B2002" s="4">
        <v>71</v>
      </c>
      <c r="C2002" t="s">
        <v>17</v>
      </c>
      <c r="D2002" t="s">
        <v>41</v>
      </c>
      <c r="E2002" t="s">
        <v>13</v>
      </c>
      <c r="F2002" t="s">
        <v>20</v>
      </c>
      <c r="G2002" s="4">
        <v>4</v>
      </c>
      <c r="H2002" s="1">
        <v>73305</v>
      </c>
      <c r="I2002" s="3" t="s">
        <v>15</v>
      </c>
      <c r="J2002" s="4">
        <v>1</v>
      </c>
    </row>
    <row r="2003" spans="1:10" x14ac:dyDescent="0.35">
      <c r="A2003" s="2" t="s">
        <v>2039</v>
      </c>
      <c r="B2003" s="4">
        <v>8</v>
      </c>
      <c r="C2003" t="s">
        <v>11</v>
      </c>
      <c r="D2003" t="s">
        <v>26</v>
      </c>
      <c r="E2003" t="s">
        <v>65</v>
      </c>
      <c r="F2003" t="s">
        <v>20</v>
      </c>
      <c r="G2003" s="4">
        <v>4</v>
      </c>
      <c r="H2003" s="1">
        <v>43941</v>
      </c>
      <c r="I2003" s="3" t="s">
        <v>21</v>
      </c>
      <c r="J2003" s="4">
        <v>1</v>
      </c>
    </row>
    <row r="2004" spans="1:10" x14ac:dyDescent="0.35">
      <c r="A2004" s="2" t="s">
        <v>2040</v>
      </c>
      <c r="B2004" s="4">
        <v>76</v>
      </c>
      <c r="C2004" t="s">
        <v>17</v>
      </c>
      <c r="D2004" t="s">
        <v>18</v>
      </c>
      <c r="E2004" t="s">
        <v>27</v>
      </c>
      <c r="F2004" t="s">
        <v>30</v>
      </c>
      <c r="G2004" s="4">
        <v>10</v>
      </c>
      <c r="H2004" s="1">
        <v>66158</v>
      </c>
      <c r="I2004" s="3" t="s">
        <v>21</v>
      </c>
      <c r="J2004" s="4">
        <v>5</v>
      </c>
    </row>
    <row r="2005" spans="1:10" x14ac:dyDescent="0.35">
      <c r="A2005" s="2" t="s">
        <v>2041</v>
      </c>
      <c r="B2005" s="4">
        <v>43</v>
      </c>
      <c r="C2005" t="s">
        <v>11</v>
      </c>
      <c r="D2005" t="s">
        <v>49</v>
      </c>
      <c r="E2005" t="s">
        <v>65</v>
      </c>
      <c r="F2005" t="s">
        <v>20</v>
      </c>
      <c r="G2005" s="4">
        <v>1</v>
      </c>
      <c r="H2005" s="1">
        <v>55821</v>
      </c>
      <c r="I2005" s="3" t="s">
        <v>15</v>
      </c>
      <c r="J2005" s="4">
        <v>4</v>
      </c>
    </row>
    <row r="2006" spans="1:10" x14ac:dyDescent="0.35">
      <c r="A2006" s="2" t="s">
        <v>2042</v>
      </c>
      <c r="B2006" s="4">
        <v>21</v>
      </c>
      <c r="C2006" t="s">
        <v>11</v>
      </c>
      <c r="D2006" t="s">
        <v>39</v>
      </c>
      <c r="E2006" t="s">
        <v>24</v>
      </c>
      <c r="F2006" t="s">
        <v>30</v>
      </c>
      <c r="G2006" s="4">
        <v>9</v>
      </c>
      <c r="H2006" s="1">
        <v>21853</v>
      </c>
      <c r="I2006" s="3" t="s">
        <v>21</v>
      </c>
      <c r="J2006" s="4">
        <v>2</v>
      </c>
    </row>
    <row r="2007" spans="1:10" x14ac:dyDescent="0.35">
      <c r="A2007" s="2" t="s">
        <v>2043</v>
      </c>
      <c r="B2007" s="4">
        <v>28</v>
      </c>
      <c r="C2007" t="s">
        <v>11</v>
      </c>
      <c r="D2007" t="s">
        <v>23</v>
      </c>
      <c r="E2007" t="s">
        <v>65</v>
      </c>
      <c r="F2007" t="s">
        <v>30</v>
      </c>
      <c r="G2007" s="4">
        <v>14</v>
      </c>
      <c r="H2007" s="1">
        <v>92440</v>
      </c>
      <c r="I2007" s="3" t="s">
        <v>21</v>
      </c>
      <c r="J2007" s="4">
        <v>1</v>
      </c>
    </row>
    <row r="2008" spans="1:10" x14ac:dyDescent="0.35">
      <c r="A2008" s="2" t="s">
        <v>2044</v>
      </c>
      <c r="B2008" s="4">
        <v>58</v>
      </c>
      <c r="C2008" t="s">
        <v>11</v>
      </c>
      <c r="D2008" t="s">
        <v>18</v>
      </c>
      <c r="E2008" t="s">
        <v>19</v>
      </c>
      <c r="F2008" t="s">
        <v>30</v>
      </c>
      <c r="G2008" s="4">
        <v>7</v>
      </c>
      <c r="H2008" s="1">
        <v>29787</v>
      </c>
      <c r="I2008" s="3" t="s">
        <v>15</v>
      </c>
      <c r="J2008" s="4">
        <v>5</v>
      </c>
    </row>
    <row r="2009" spans="1:10" x14ac:dyDescent="0.35">
      <c r="A2009" s="2" t="s">
        <v>2045</v>
      </c>
      <c r="B2009" s="4">
        <v>44</v>
      </c>
      <c r="C2009" t="s">
        <v>11</v>
      </c>
      <c r="D2009" t="s">
        <v>26</v>
      </c>
      <c r="E2009" t="s">
        <v>65</v>
      </c>
      <c r="F2009" t="s">
        <v>14</v>
      </c>
      <c r="G2009" s="4">
        <v>6</v>
      </c>
      <c r="H2009" s="1">
        <v>94614</v>
      </c>
      <c r="I2009" s="3" t="s">
        <v>15</v>
      </c>
      <c r="J2009" s="4">
        <v>3</v>
      </c>
    </row>
    <row r="2010" spans="1:10" x14ac:dyDescent="0.35">
      <c r="A2010" s="2" t="s">
        <v>2046</v>
      </c>
      <c r="B2010" s="4">
        <v>31</v>
      </c>
      <c r="C2010" t="s">
        <v>11</v>
      </c>
      <c r="D2010" t="s">
        <v>18</v>
      </c>
      <c r="E2010" t="s">
        <v>29</v>
      </c>
      <c r="F2010" t="s">
        <v>20</v>
      </c>
      <c r="G2010" s="4">
        <v>3</v>
      </c>
      <c r="H2010" s="1">
        <v>74874</v>
      </c>
      <c r="I2010" s="3" t="s">
        <v>15</v>
      </c>
      <c r="J2010" s="4">
        <v>5</v>
      </c>
    </row>
    <row r="2011" spans="1:10" x14ac:dyDescent="0.35">
      <c r="A2011" s="2" t="s">
        <v>2047</v>
      </c>
      <c r="B2011" s="4">
        <v>45</v>
      </c>
      <c r="C2011" t="s">
        <v>17</v>
      </c>
      <c r="D2011" t="s">
        <v>18</v>
      </c>
      <c r="E2011" t="s">
        <v>37</v>
      </c>
      <c r="F2011" t="s">
        <v>14</v>
      </c>
      <c r="G2011" s="4">
        <v>14</v>
      </c>
      <c r="H2011" s="1">
        <v>89165</v>
      </c>
      <c r="I2011" s="3" t="s">
        <v>21</v>
      </c>
      <c r="J2011" s="4">
        <v>2</v>
      </c>
    </row>
    <row r="2012" spans="1:10" x14ac:dyDescent="0.35">
      <c r="A2012" s="2" t="s">
        <v>2048</v>
      </c>
      <c r="B2012" s="4">
        <v>89</v>
      </c>
      <c r="C2012" t="s">
        <v>11</v>
      </c>
      <c r="D2012" t="s">
        <v>18</v>
      </c>
      <c r="E2012" t="s">
        <v>34</v>
      </c>
      <c r="F2012" t="s">
        <v>14</v>
      </c>
      <c r="G2012" s="4">
        <v>8</v>
      </c>
      <c r="H2012" s="1">
        <v>67028</v>
      </c>
      <c r="I2012" s="3" t="s">
        <v>21</v>
      </c>
      <c r="J2012" s="4">
        <v>2</v>
      </c>
    </row>
    <row r="2013" spans="1:10" x14ac:dyDescent="0.35">
      <c r="A2013" s="2" t="s">
        <v>2049</v>
      </c>
      <c r="B2013" s="4">
        <v>25</v>
      </c>
      <c r="C2013" t="s">
        <v>17</v>
      </c>
      <c r="D2013" t="s">
        <v>41</v>
      </c>
      <c r="E2013" t="s">
        <v>34</v>
      </c>
      <c r="F2013" t="s">
        <v>14</v>
      </c>
      <c r="G2013" s="4">
        <v>4</v>
      </c>
      <c r="H2013" s="1">
        <v>8248</v>
      </c>
      <c r="I2013" s="3" t="s">
        <v>21</v>
      </c>
      <c r="J2013" s="4">
        <v>5</v>
      </c>
    </row>
    <row r="2014" spans="1:10" x14ac:dyDescent="0.35">
      <c r="A2014" s="2" t="s">
        <v>2050</v>
      </c>
      <c r="B2014" s="4">
        <v>24</v>
      </c>
      <c r="C2014" t="s">
        <v>17</v>
      </c>
      <c r="D2014" t="s">
        <v>39</v>
      </c>
      <c r="E2014" t="s">
        <v>34</v>
      </c>
      <c r="F2014" t="s">
        <v>14</v>
      </c>
      <c r="G2014" s="4">
        <v>2</v>
      </c>
      <c r="H2014" s="1">
        <v>8242</v>
      </c>
      <c r="I2014" s="3" t="s">
        <v>21</v>
      </c>
      <c r="J2014" s="4">
        <v>3</v>
      </c>
    </row>
    <row r="2015" spans="1:10" x14ac:dyDescent="0.35">
      <c r="A2015" s="2" t="s">
        <v>2051</v>
      </c>
      <c r="B2015" s="4">
        <v>81</v>
      </c>
      <c r="C2015" t="s">
        <v>17</v>
      </c>
      <c r="D2015" t="s">
        <v>33</v>
      </c>
      <c r="E2015" t="s">
        <v>24</v>
      </c>
      <c r="F2015" t="s">
        <v>14</v>
      </c>
      <c r="G2015" s="4">
        <v>12</v>
      </c>
      <c r="H2015" s="1">
        <v>93170</v>
      </c>
      <c r="I2015" s="3" t="s">
        <v>15</v>
      </c>
      <c r="J2015" s="4">
        <v>4</v>
      </c>
    </row>
    <row r="2016" spans="1:10" x14ac:dyDescent="0.35">
      <c r="A2016" s="2" t="s">
        <v>2052</v>
      </c>
      <c r="B2016" s="4">
        <v>75</v>
      </c>
      <c r="C2016" t="s">
        <v>17</v>
      </c>
      <c r="D2016" t="s">
        <v>26</v>
      </c>
      <c r="E2016" t="s">
        <v>53</v>
      </c>
      <c r="F2016" t="s">
        <v>20</v>
      </c>
      <c r="G2016" s="4">
        <v>6</v>
      </c>
      <c r="H2016" s="1">
        <v>25674</v>
      </c>
      <c r="I2016" s="3" t="s">
        <v>21</v>
      </c>
      <c r="J2016" s="4">
        <v>3</v>
      </c>
    </row>
    <row r="2017" spans="1:10" x14ac:dyDescent="0.35">
      <c r="A2017" s="2" t="s">
        <v>2053</v>
      </c>
      <c r="B2017" s="4">
        <v>27</v>
      </c>
      <c r="C2017" t="s">
        <v>11</v>
      </c>
      <c r="D2017" t="s">
        <v>36</v>
      </c>
      <c r="E2017" t="s">
        <v>19</v>
      </c>
      <c r="F2017" t="s">
        <v>30</v>
      </c>
      <c r="G2017" s="4">
        <v>6</v>
      </c>
      <c r="H2017" s="1">
        <v>90838</v>
      </c>
      <c r="I2017" s="3" t="s">
        <v>15</v>
      </c>
      <c r="J2017" s="4">
        <v>3</v>
      </c>
    </row>
    <row r="2018" spans="1:10" x14ac:dyDescent="0.35">
      <c r="A2018" s="2" t="s">
        <v>2054</v>
      </c>
      <c r="B2018" s="4">
        <v>20</v>
      </c>
      <c r="C2018" t="s">
        <v>11</v>
      </c>
      <c r="D2018" t="s">
        <v>12</v>
      </c>
      <c r="E2018" t="s">
        <v>34</v>
      </c>
      <c r="F2018" t="s">
        <v>14</v>
      </c>
      <c r="G2018" s="4">
        <v>9</v>
      </c>
      <c r="H2018" s="1">
        <v>59111</v>
      </c>
      <c r="I2018" s="3" t="s">
        <v>21</v>
      </c>
      <c r="J2018" s="4">
        <v>5</v>
      </c>
    </row>
    <row r="2019" spans="1:10" x14ac:dyDescent="0.35">
      <c r="A2019" s="2" t="s">
        <v>2055</v>
      </c>
      <c r="B2019" s="4">
        <v>8</v>
      </c>
      <c r="C2019" t="s">
        <v>11</v>
      </c>
      <c r="D2019" t="s">
        <v>23</v>
      </c>
      <c r="E2019" t="s">
        <v>65</v>
      </c>
      <c r="F2019" t="s">
        <v>30</v>
      </c>
      <c r="G2019" s="4">
        <v>8</v>
      </c>
      <c r="H2019" s="1">
        <v>89409</v>
      </c>
      <c r="I2019" s="3" t="s">
        <v>21</v>
      </c>
      <c r="J2019" s="4">
        <v>4</v>
      </c>
    </row>
    <row r="2020" spans="1:10" x14ac:dyDescent="0.35">
      <c r="A2020" s="2" t="s">
        <v>2056</v>
      </c>
      <c r="B2020" s="4">
        <v>78</v>
      </c>
      <c r="C2020" t="s">
        <v>17</v>
      </c>
      <c r="D2020" t="s">
        <v>33</v>
      </c>
      <c r="E2020" t="s">
        <v>24</v>
      </c>
      <c r="F2020" t="s">
        <v>30</v>
      </c>
      <c r="G2020" s="4">
        <v>11</v>
      </c>
      <c r="H2020" s="1">
        <v>97779</v>
      </c>
      <c r="I2020" s="3" t="s">
        <v>21</v>
      </c>
      <c r="J2020" s="4">
        <v>1</v>
      </c>
    </row>
    <row r="2021" spans="1:10" x14ac:dyDescent="0.35">
      <c r="A2021" s="2" t="s">
        <v>2057</v>
      </c>
      <c r="B2021" s="4">
        <v>19</v>
      </c>
      <c r="C2021" t="s">
        <v>17</v>
      </c>
      <c r="D2021" t="s">
        <v>33</v>
      </c>
      <c r="E2021" t="s">
        <v>29</v>
      </c>
      <c r="F2021" t="s">
        <v>20</v>
      </c>
      <c r="G2021" s="4">
        <v>5</v>
      </c>
      <c r="H2021" s="1">
        <v>15536</v>
      </c>
      <c r="I2021" s="3" t="s">
        <v>15</v>
      </c>
      <c r="J2021" s="4">
        <v>2</v>
      </c>
    </row>
    <row r="2022" spans="1:10" x14ac:dyDescent="0.35">
      <c r="A2022" s="2" t="s">
        <v>2058</v>
      </c>
      <c r="B2022" s="4">
        <v>50</v>
      </c>
      <c r="C2022" t="s">
        <v>11</v>
      </c>
      <c r="D2022" t="s">
        <v>26</v>
      </c>
      <c r="E2022" t="s">
        <v>53</v>
      </c>
      <c r="F2022" t="s">
        <v>14</v>
      </c>
      <c r="G2022" s="4">
        <v>10</v>
      </c>
      <c r="H2022" s="1">
        <v>41814</v>
      </c>
      <c r="I2022" s="3" t="s">
        <v>21</v>
      </c>
      <c r="J2022" s="4">
        <v>5</v>
      </c>
    </row>
    <row r="2023" spans="1:10" x14ac:dyDescent="0.35">
      <c r="A2023" s="2" t="s">
        <v>2059</v>
      </c>
      <c r="B2023" s="4">
        <v>88</v>
      </c>
      <c r="C2023" t="s">
        <v>17</v>
      </c>
      <c r="D2023" t="s">
        <v>26</v>
      </c>
      <c r="E2023" t="s">
        <v>13</v>
      </c>
      <c r="F2023" t="s">
        <v>30</v>
      </c>
      <c r="G2023" s="4">
        <v>15</v>
      </c>
      <c r="H2023" s="1">
        <v>54886</v>
      </c>
      <c r="I2023" s="3" t="s">
        <v>21</v>
      </c>
      <c r="J2023" s="4">
        <v>3</v>
      </c>
    </row>
    <row r="2024" spans="1:10" x14ac:dyDescent="0.35">
      <c r="A2024" s="2" t="s">
        <v>2060</v>
      </c>
      <c r="B2024" s="4">
        <v>77</v>
      </c>
      <c r="C2024" t="s">
        <v>11</v>
      </c>
      <c r="D2024" t="s">
        <v>33</v>
      </c>
      <c r="E2024" t="s">
        <v>24</v>
      </c>
      <c r="F2024" t="s">
        <v>20</v>
      </c>
      <c r="G2024" s="4">
        <v>9</v>
      </c>
      <c r="H2024" s="1">
        <v>82725</v>
      </c>
      <c r="I2024" s="3" t="s">
        <v>21</v>
      </c>
      <c r="J2024" s="4">
        <v>1</v>
      </c>
    </row>
    <row r="2025" spans="1:10" x14ac:dyDescent="0.35">
      <c r="A2025" s="2" t="s">
        <v>2061</v>
      </c>
      <c r="B2025" s="4">
        <v>72</v>
      </c>
      <c r="C2025" t="s">
        <v>11</v>
      </c>
      <c r="D2025" t="s">
        <v>36</v>
      </c>
      <c r="E2025" t="s">
        <v>27</v>
      </c>
      <c r="F2025" t="s">
        <v>30</v>
      </c>
      <c r="G2025" s="4">
        <v>15</v>
      </c>
      <c r="H2025" s="1">
        <v>13573</v>
      </c>
      <c r="I2025" s="3" t="s">
        <v>21</v>
      </c>
      <c r="J2025" s="4">
        <v>2</v>
      </c>
    </row>
    <row r="2026" spans="1:10" x14ac:dyDescent="0.35">
      <c r="A2026" s="2" t="s">
        <v>2062</v>
      </c>
      <c r="B2026" s="4">
        <v>5</v>
      </c>
      <c r="C2026" t="s">
        <v>17</v>
      </c>
      <c r="D2026" t="s">
        <v>26</v>
      </c>
      <c r="E2026" t="s">
        <v>29</v>
      </c>
      <c r="F2026" t="s">
        <v>20</v>
      </c>
      <c r="G2026" s="4">
        <v>4</v>
      </c>
      <c r="H2026" s="1">
        <v>88068</v>
      </c>
      <c r="I2026" s="3" t="s">
        <v>15</v>
      </c>
      <c r="J2026" s="4">
        <v>5</v>
      </c>
    </row>
    <row r="2027" spans="1:10" x14ac:dyDescent="0.35">
      <c r="A2027" s="2" t="s">
        <v>2063</v>
      </c>
      <c r="B2027" s="4">
        <v>32</v>
      </c>
      <c r="C2027" t="s">
        <v>11</v>
      </c>
      <c r="D2027" t="s">
        <v>26</v>
      </c>
      <c r="E2027" t="s">
        <v>19</v>
      </c>
      <c r="F2027" t="s">
        <v>14</v>
      </c>
      <c r="G2027" s="4">
        <v>3</v>
      </c>
      <c r="H2027" s="1">
        <v>51680</v>
      </c>
      <c r="I2027" s="3" t="s">
        <v>15</v>
      </c>
      <c r="J2027" s="4">
        <v>4</v>
      </c>
    </row>
    <row r="2028" spans="1:10" x14ac:dyDescent="0.35">
      <c r="A2028" s="2" t="s">
        <v>2064</v>
      </c>
      <c r="B2028" s="4">
        <v>59</v>
      </c>
      <c r="C2028" t="s">
        <v>17</v>
      </c>
      <c r="D2028" t="s">
        <v>36</v>
      </c>
      <c r="E2028" t="s">
        <v>29</v>
      </c>
      <c r="F2028" t="s">
        <v>20</v>
      </c>
      <c r="G2028" s="4">
        <v>12</v>
      </c>
      <c r="H2028" s="1">
        <v>46734</v>
      </c>
      <c r="I2028" s="3" t="s">
        <v>21</v>
      </c>
      <c r="J2028" s="4">
        <v>3</v>
      </c>
    </row>
    <row r="2029" spans="1:10" x14ac:dyDescent="0.35">
      <c r="A2029" s="2" t="s">
        <v>2065</v>
      </c>
      <c r="B2029" s="4">
        <v>43</v>
      </c>
      <c r="C2029" t="s">
        <v>11</v>
      </c>
      <c r="D2029" t="s">
        <v>26</v>
      </c>
      <c r="E2029" t="s">
        <v>29</v>
      </c>
      <c r="F2029" t="s">
        <v>14</v>
      </c>
      <c r="G2029" s="4">
        <v>15</v>
      </c>
      <c r="H2029" s="1">
        <v>59896</v>
      </c>
      <c r="I2029" s="3" t="s">
        <v>21</v>
      </c>
      <c r="J2029" s="4">
        <v>1</v>
      </c>
    </row>
    <row r="2030" spans="1:10" x14ac:dyDescent="0.35">
      <c r="A2030" s="2" t="s">
        <v>2066</v>
      </c>
      <c r="B2030" s="4">
        <v>34</v>
      </c>
      <c r="C2030" t="s">
        <v>17</v>
      </c>
      <c r="D2030" t="s">
        <v>36</v>
      </c>
      <c r="E2030" t="s">
        <v>13</v>
      </c>
      <c r="F2030" t="s">
        <v>14</v>
      </c>
      <c r="G2030" s="4">
        <v>10</v>
      </c>
      <c r="H2030" s="1">
        <v>78068</v>
      </c>
      <c r="I2030" s="3" t="s">
        <v>15</v>
      </c>
      <c r="J2030" s="4">
        <v>5</v>
      </c>
    </row>
    <row r="2031" spans="1:10" x14ac:dyDescent="0.35">
      <c r="A2031" s="2" t="s">
        <v>2067</v>
      </c>
      <c r="B2031" s="4">
        <v>20</v>
      </c>
      <c r="C2031" t="s">
        <v>17</v>
      </c>
      <c r="D2031" t="s">
        <v>23</v>
      </c>
      <c r="E2031" t="s">
        <v>34</v>
      </c>
      <c r="F2031" t="s">
        <v>20</v>
      </c>
      <c r="G2031" s="4">
        <v>9</v>
      </c>
      <c r="H2031" s="1">
        <v>50372</v>
      </c>
      <c r="I2031" s="3" t="s">
        <v>15</v>
      </c>
      <c r="J2031" s="4">
        <v>2</v>
      </c>
    </row>
    <row r="2032" spans="1:10" x14ac:dyDescent="0.35">
      <c r="A2032" s="2" t="s">
        <v>2068</v>
      </c>
      <c r="B2032" s="4">
        <v>18</v>
      </c>
      <c r="C2032" t="s">
        <v>17</v>
      </c>
      <c r="D2032" t="s">
        <v>36</v>
      </c>
      <c r="E2032" t="s">
        <v>65</v>
      </c>
      <c r="F2032" t="s">
        <v>20</v>
      </c>
      <c r="G2032" s="4">
        <v>14</v>
      </c>
      <c r="H2032" s="1">
        <v>26978</v>
      </c>
      <c r="I2032" s="3" t="s">
        <v>15</v>
      </c>
      <c r="J2032" s="4">
        <v>3</v>
      </c>
    </row>
    <row r="2033" spans="1:10" x14ac:dyDescent="0.35">
      <c r="A2033" s="2" t="s">
        <v>2069</v>
      </c>
      <c r="B2033" s="4">
        <v>88</v>
      </c>
      <c r="C2033" t="s">
        <v>17</v>
      </c>
      <c r="D2033" t="s">
        <v>26</v>
      </c>
      <c r="E2033" t="s">
        <v>34</v>
      </c>
      <c r="F2033" t="s">
        <v>20</v>
      </c>
      <c r="G2033" s="4">
        <v>11</v>
      </c>
      <c r="H2033" s="1">
        <v>98567</v>
      </c>
      <c r="I2033" s="3" t="s">
        <v>21</v>
      </c>
      <c r="J2033" s="4">
        <v>2</v>
      </c>
    </row>
    <row r="2034" spans="1:10" x14ac:dyDescent="0.35">
      <c r="A2034" s="2" t="s">
        <v>2070</v>
      </c>
      <c r="B2034" s="4">
        <v>32</v>
      </c>
      <c r="C2034" t="s">
        <v>17</v>
      </c>
      <c r="D2034" t="s">
        <v>41</v>
      </c>
      <c r="E2034" t="s">
        <v>13</v>
      </c>
      <c r="F2034" t="s">
        <v>30</v>
      </c>
      <c r="G2034" s="4">
        <v>13</v>
      </c>
      <c r="H2034" s="1">
        <v>12433</v>
      </c>
      <c r="I2034" s="3" t="s">
        <v>15</v>
      </c>
      <c r="J2034" s="4">
        <v>3</v>
      </c>
    </row>
    <row r="2035" spans="1:10" x14ac:dyDescent="0.35">
      <c r="A2035" s="2" t="s">
        <v>2071</v>
      </c>
      <c r="B2035" s="4">
        <v>28</v>
      </c>
      <c r="C2035" t="s">
        <v>11</v>
      </c>
      <c r="D2035" t="s">
        <v>49</v>
      </c>
      <c r="E2035" t="s">
        <v>37</v>
      </c>
      <c r="F2035" t="s">
        <v>30</v>
      </c>
      <c r="G2035" s="4">
        <v>8</v>
      </c>
      <c r="H2035" s="1">
        <v>25784</v>
      </c>
      <c r="I2035" s="3" t="s">
        <v>21</v>
      </c>
      <c r="J2035" s="4">
        <v>5</v>
      </c>
    </row>
    <row r="2036" spans="1:10" x14ac:dyDescent="0.35">
      <c r="A2036" s="2" t="s">
        <v>2072</v>
      </c>
      <c r="B2036" s="4">
        <v>88</v>
      </c>
      <c r="C2036" t="s">
        <v>17</v>
      </c>
      <c r="D2036" t="s">
        <v>33</v>
      </c>
      <c r="E2036" t="s">
        <v>13</v>
      </c>
      <c r="F2036" t="s">
        <v>14</v>
      </c>
      <c r="G2036" s="4">
        <v>14</v>
      </c>
      <c r="H2036" s="1">
        <v>38419</v>
      </c>
      <c r="I2036" s="3" t="s">
        <v>15</v>
      </c>
      <c r="J2036" s="4">
        <v>3</v>
      </c>
    </row>
    <row r="2037" spans="1:10" x14ac:dyDescent="0.35">
      <c r="A2037" s="2" t="s">
        <v>2073</v>
      </c>
      <c r="B2037" s="4">
        <v>40</v>
      </c>
      <c r="C2037" t="s">
        <v>17</v>
      </c>
      <c r="D2037" t="s">
        <v>12</v>
      </c>
      <c r="E2037" t="s">
        <v>24</v>
      </c>
      <c r="F2037" t="s">
        <v>30</v>
      </c>
      <c r="G2037" s="4">
        <v>1</v>
      </c>
      <c r="H2037" s="1">
        <v>66143</v>
      </c>
      <c r="I2037" s="3" t="s">
        <v>21</v>
      </c>
      <c r="J2037" s="4">
        <v>4</v>
      </c>
    </row>
    <row r="2038" spans="1:10" x14ac:dyDescent="0.35">
      <c r="A2038" s="2" t="s">
        <v>2074</v>
      </c>
      <c r="B2038" s="4">
        <v>11</v>
      </c>
      <c r="C2038" t="s">
        <v>17</v>
      </c>
      <c r="D2038" t="s">
        <v>28</v>
      </c>
      <c r="E2038" t="s">
        <v>42</v>
      </c>
      <c r="F2038" t="s">
        <v>14</v>
      </c>
      <c r="G2038" s="4">
        <v>4</v>
      </c>
      <c r="H2038" s="1">
        <v>44412</v>
      </c>
      <c r="I2038" s="3" t="s">
        <v>21</v>
      </c>
      <c r="J2038" s="4">
        <v>1</v>
      </c>
    </row>
    <row r="2039" spans="1:10" x14ac:dyDescent="0.35">
      <c r="A2039" s="2" t="s">
        <v>2075</v>
      </c>
      <c r="B2039" s="4">
        <v>48</v>
      </c>
      <c r="C2039" t="s">
        <v>11</v>
      </c>
      <c r="D2039" t="s">
        <v>23</v>
      </c>
      <c r="E2039" t="s">
        <v>65</v>
      </c>
      <c r="F2039" t="s">
        <v>30</v>
      </c>
      <c r="G2039" s="4">
        <v>14</v>
      </c>
      <c r="H2039" s="1">
        <v>92287</v>
      </c>
      <c r="I2039" s="3" t="s">
        <v>21</v>
      </c>
      <c r="J2039" s="4">
        <v>4</v>
      </c>
    </row>
    <row r="2040" spans="1:10" x14ac:dyDescent="0.35">
      <c r="A2040" s="2" t="s">
        <v>2076</v>
      </c>
      <c r="B2040" s="4">
        <v>22</v>
      </c>
      <c r="C2040" t="s">
        <v>11</v>
      </c>
      <c r="D2040" t="s">
        <v>41</v>
      </c>
      <c r="E2040" t="s">
        <v>42</v>
      </c>
      <c r="F2040" t="s">
        <v>30</v>
      </c>
      <c r="G2040" s="4">
        <v>12</v>
      </c>
      <c r="H2040" s="1">
        <v>41010</v>
      </c>
      <c r="I2040" s="3" t="s">
        <v>21</v>
      </c>
      <c r="J2040" s="4">
        <v>4</v>
      </c>
    </row>
    <row r="2041" spans="1:10" x14ac:dyDescent="0.35">
      <c r="A2041" s="2" t="s">
        <v>2077</v>
      </c>
      <c r="B2041" s="4">
        <v>73</v>
      </c>
      <c r="C2041" t="s">
        <v>17</v>
      </c>
      <c r="D2041" t="s">
        <v>36</v>
      </c>
      <c r="E2041" t="s">
        <v>53</v>
      </c>
      <c r="F2041" t="s">
        <v>14</v>
      </c>
      <c r="G2041" s="4">
        <v>3</v>
      </c>
      <c r="H2041" s="1">
        <v>86560</v>
      </c>
      <c r="I2041" s="3" t="s">
        <v>15</v>
      </c>
      <c r="J2041" s="4">
        <v>5</v>
      </c>
    </row>
    <row r="2042" spans="1:10" x14ac:dyDescent="0.35">
      <c r="A2042" s="2" t="s">
        <v>2078</v>
      </c>
      <c r="B2042" s="4">
        <v>10</v>
      </c>
      <c r="C2042" t="s">
        <v>11</v>
      </c>
      <c r="D2042" t="s">
        <v>39</v>
      </c>
      <c r="E2042" t="s">
        <v>65</v>
      </c>
      <c r="F2042" t="s">
        <v>30</v>
      </c>
      <c r="G2042" s="4">
        <v>2</v>
      </c>
      <c r="H2042" s="1">
        <v>75267</v>
      </c>
      <c r="I2042" s="3" t="s">
        <v>15</v>
      </c>
      <c r="J2042" s="4">
        <v>4</v>
      </c>
    </row>
    <row r="2043" spans="1:10" x14ac:dyDescent="0.35">
      <c r="A2043" s="2" t="s">
        <v>2079</v>
      </c>
      <c r="B2043" s="4">
        <v>90</v>
      </c>
      <c r="C2043" t="s">
        <v>17</v>
      </c>
      <c r="D2043" t="s">
        <v>12</v>
      </c>
      <c r="E2043" t="s">
        <v>34</v>
      </c>
      <c r="F2043" t="s">
        <v>14</v>
      </c>
      <c r="G2043" s="4">
        <v>11</v>
      </c>
      <c r="H2043" s="1">
        <v>96569</v>
      </c>
      <c r="I2043" s="3" t="s">
        <v>15</v>
      </c>
      <c r="J2043" s="4">
        <v>3</v>
      </c>
    </row>
    <row r="2044" spans="1:10" x14ac:dyDescent="0.35">
      <c r="A2044" s="2" t="s">
        <v>2080</v>
      </c>
      <c r="B2044" s="4">
        <v>67</v>
      </c>
      <c r="C2044" t="s">
        <v>11</v>
      </c>
      <c r="D2044" t="s">
        <v>18</v>
      </c>
      <c r="E2044" t="s">
        <v>37</v>
      </c>
      <c r="F2044" t="s">
        <v>14</v>
      </c>
      <c r="G2044" s="4">
        <v>1</v>
      </c>
      <c r="H2044" s="1">
        <v>59553</v>
      </c>
      <c r="I2044" s="3" t="s">
        <v>15</v>
      </c>
      <c r="J2044" s="4">
        <v>1</v>
      </c>
    </row>
    <row r="2045" spans="1:10" x14ac:dyDescent="0.35">
      <c r="A2045" s="2" t="s">
        <v>2081</v>
      </c>
      <c r="B2045" s="4">
        <v>17</v>
      </c>
      <c r="C2045" t="s">
        <v>11</v>
      </c>
      <c r="D2045" t="s">
        <v>33</v>
      </c>
      <c r="E2045" t="s">
        <v>29</v>
      </c>
      <c r="F2045" t="s">
        <v>30</v>
      </c>
      <c r="G2045" s="4">
        <v>3</v>
      </c>
      <c r="H2045" s="1">
        <v>79256</v>
      </c>
      <c r="I2045" s="3" t="s">
        <v>21</v>
      </c>
      <c r="J2045" s="4">
        <v>1</v>
      </c>
    </row>
    <row r="2046" spans="1:10" x14ac:dyDescent="0.35">
      <c r="A2046" s="2" t="s">
        <v>2082</v>
      </c>
      <c r="B2046" s="4">
        <v>69</v>
      </c>
      <c r="C2046" t="s">
        <v>11</v>
      </c>
      <c r="D2046" t="s">
        <v>41</v>
      </c>
      <c r="E2046" t="s">
        <v>42</v>
      </c>
      <c r="F2046" t="s">
        <v>14</v>
      </c>
      <c r="G2046" s="4">
        <v>10</v>
      </c>
      <c r="H2046" s="1">
        <v>26462</v>
      </c>
      <c r="I2046" s="3" t="s">
        <v>21</v>
      </c>
      <c r="J2046" s="4">
        <v>5</v>
      </c>
    </row>
    <row r="2047" spans="1:10" x14ac:dyDescent="0.35">
      <c r="A2047" s="2" t="s">
        <v>2083</v>
      </c>
      <c r="B2047" s="4">
        <v>67</v>
      </c>
      <c r="C2047" t="s">
        <v>11</v>
      </c>
      <c r="D2047" t="s">
        <v>28</v>
      </c>
      <c r="E2047" t="s">
        <v>13</v>
      </c>
      <c r="F2047" t="s">
        <v>30</v>
      </c>
      <c r="G2047" s="4">
        <v>6</v>
      </c>
      <c r="H2047" s="1">
        <v>32980</v>
      </c>
      <c r="I2047" s="3" t="s">
        <v>21</v>
      </c>
      <c r="J2047" s="4">
        <v>5</v>
      </c>
    </row>
    <row r="2048" spans="1:10" x14ac:dyDescent="0.35">
      <c r="A2048" s="2" t="s">
        <v>2084</v>
      </c>
      <c r="B2048" s="4">
        <v>59</v>
      </c>
      <c r="C2048" t="s">
        <v>11</v>
      </c>
      <c r="D2048" t="s">
        <v>39</v>
      </c>
      <c r="E2048" t="s">
        <v>34</v>
      </c>
      <c r="F2048" t="s">
        <v>20</v>
      </c>
      <c r="G2048" s="4">
        <v>11</v>
      </c>
      <c r="H2048" s="1">
        <v>14286</v>
      </c>
      <c r="I2048" s="3" t="s">
        <v>15</v>
      </c>
      <c r="J2048" s="4">
        <v>1</v>
      </c>
    </row>
    <row r="2049" spans="1:10" x14ac:dyDescent="0.35">
      <c r="A2049" s="2" t="s">
        <v>2085</v>
      </c>
      <c r="B2049" s="4">
        <v>35</v>
      </c>
      <c r="C2049" t="s">
        <v>11</v>
      </c>
      <c r="D2049" t="s">
        <v>18</v>
      </c>
      <c r="E2049" t="s">
        <v>34</v>
      </c>
      <c r="F2049" t="s">
        <v>14</v>
      </c>
      <c r="G2049" s="4">
        <v>15</v>
      </c>
      <c r="H2049" s="1">
        <v>64879</v>
      </c>
      <c r="I2049" s="3" t="s">
        <v>21</v>
      </c>
      <c r="J2049" s="4">
        <v>3</v>
      </c>
    </row>
    <row r="2050" spans="1:10" x14ac:dyDescent="0.35">
      <c r="A2050" s="2" t="s">
        <v>2086</v>
      </c>
      <c r="B2050" s="4">
        <v>83</v>
      </c>
      <c r="C2050" t="s">
        <v>17</v>
      </c>
      <c r="D2050" t="s">
        <v>28</v>
      </c>
      <c r="E2050" t="s">
        <v>27</v>
      </c>
      <c r="F2050" t="s">
        <v>20</v>
      </c>
      <c r="G2050" s="4">
        <v>2</v>
      </c>
      <c r="H2050" s="1">
        <v>92264</v>
      </c>
      <c r="I2050" s="3" t="s">
        <v>15</v>
      </c>
      <c r="J2050" s="4">
        <v>2</v>
      </c>
    </row>
    <row r="2051" spans="1:10" x14ac:dyDescent="0.35">
      <c r="A2051" s="2" t="s">
        <v>2087</v>
      </c>
      <c r="B2051" s="4">
        <v>48</v>
      </c>
      <c r="C2051" t="s">
        <v>17</v>
      </c>
      <c r="D2051" t="s">
        <v>23</v>
      </c>
      <c r="E2051" t="s">
        <v>13</v>
      </c>
      <c r="F2051" t="s">
        <v>20</v>
      </c>
      <c r="G2051" s="4">
        <v>12</v>
      </c>
      <c r="H2051" s="1">
        <v>62098</v>
      </c>
      <c r="I2051" s="3" t="s">
        <v>15</v>
      </c>
      <c r="J2051" s="4">
        <v>3</v>
      </c>
    </row>
    <row r="2052" spans="1:10" x14ac:dyDescent="0.35">
      <c r="A2052" s="2" t="s">
        <v>2088</v>
      </c>
      <c r="B2052" s="4">
        <v>10</v>
      </c>
      <c r="C2052" t="s">
        <v>17</v>
      </c>
      <c r="D2052" t="s">
        <v>28</v>
      </c>
      <c r="E2052" t="s">
        <v>53</v>
      </c>
      <c r="F2052" t="s">
        <v>20</v>
      </c>
      <c r="G2052" s="4">
        <v>4</v>
      </c>
      <c r="H2052" s="1">
        <v>19276</v>
      </c>
      <c r="I2052" s="3" t="s">
        <v>15</v>
      </c>
      <c r="J2052" s="4">
        <v>5</v>
      </c>
    </row>
    <row r="2053" spans="1:10" x14ac:dyDescent="0.35">
      <c r="A2053" s="2" t="s">
        <v>2089</v>
      </c>
      <c r="B2053" s="4">
        <v>52</v>
      </c>
      <c r="C2053" t="s">
        <v>11</v>
      </c>
      <c r="D2053" t="s">
        <v>12</v>
      </c>
      <c r="E2053" t="s">
        <v>13</v>
      </c>
      <c r="F2053" t="s">
        <v>20</v>
      </c>
      <c r="G2053" s="4">
        <v>12</v>
      </c>
      <c r="H2053" s="1">
        <v>62335</v>
      </c>
      <c r="I2053" s="3" t="s">
        <v>15</v>
      </c>
      <c r="J2053" s="4">
        <v>1</v>
      </c>
    </row>
    <row r="2054" spans="1:10" x14ac:dyDescent="0.35">
      <c r="A2054" s="2" t="s">
        <v>2090</v>
      </c>
      <c r="B2054" s="4">
        <v>44</v>
      </c>
      <c r="C2054" t="s">
        <v>17</v>
      </c>
      <c r="D2054" t="s">
        <v>33</v>
      </c>
      <c r="E2054" t="s">
        <v>65</v>
      </c>
      <c r="F2054" t="s">
        <v>20</v>
      </c>
      <c r="G2054" s="4">
        <v>3</v>
      </c>
      <c r="H2054" s="1">
        <v>26585</v>
      </c>
      <c r="I2054" s="3" t="s">
        <v>21</v>
      </c>
      <c r="J2054" s="4">
        <v>3</v>
      </c>
    </row>
    <row r="2055" spans="1:10" x14ac:dyDescent="0.35">
      <c r="A2055" s="2" t="s">
        <v>2091</v>
      </c>
      <c r="B2055" s="4">
        <v>52</v>
      </c>
      <c r="C2055" t="s">
        <v>17</v>
      </c>
      <c r="D2055" t="s">
        <v>41</v>
      </c>
      <c r="E2055" t="s">
        <v>65</v>
      </c>
      <c r="F2055" t="s">
        <v>30</v>
      </c>
      <c r="G2055" s="4">
        <v>15</v>
      </c>
      <c r="H2055" s="1">
        <v>18120</v>
      </c>
      <c r="I2055" s="3" t="s">
        <v>15</v>
      </c>
      <c r="J2055" s="4">
        <v>4</v>
      </c>
    </row>
    <row r="2056" spans="1:10" x14ac:dyDescent="0.35">
      <c r="A2056" s="2" t="s">
        <v>2092</v>
      </c>
      <c r="B2056" s="4">
        <v>45</v>
      </c>
      <c r="C2056" t="s">
        <v>17</v>
      </c>
      <c r="D2056" t="s">
        <v>23</v>
      </c>
      <c r="E2056" t="s">
        <v>29</v>
      </c>
      <c r="F2056" t="s">
        <v>20</v>
      </c>
      <c r="G2056" s="4">
        <v>7</v>
      </c>
      <c r="H2056" s="1">
        <v>32866</v>
      </c>
      <c r="I2056" s="3" t="s">
        <v>21</v>
      </c>
      <c r="J2056" s="4">
        <v>2</v>
      </c>
    </row>
    <row r="2057" spans="1:10" x14ac:dyDescent="0.35">
      <c r="A2057" s="2" t="s">
        <v>2093</v>
      </c>
      <c r="B2057" s="4">
        <v>10</v>
      </c>
      <c r="C2057" t="s">
        <v>11</v>
      </c>
      <c r="D2057" t="s">
        <v>23</v>
      </c>
      <c r="E2057" t="s">
        <v>13</v>
      </c>
      <c r="F2057" t="s">
        <v>30</v>
      </c>
      <c r="G2057" s="4">
        <v>12</v>
      </c>
      <c r="H2057" s="1">
        <v>72281</v>
      </c>
      <c r="I2057" s="3" t="s">
        <v>21</v>
      </c>
      <c r="J2057" s="4">
        <v>3</v>
      </c>
    </row>
    <row r="2058" spans="1:10" x14ac:dyDescent="0.35">
      <c r="A2058" s="2" t="s">
        <v>2094</v>
      </c>
      <c r="B2058" s="4">
        <v>67</v>
      </c>
      <c r="C2058" t="s">
        <v>11</v>
      </c>
      <c r="D2058" t="s">
        <v>18</v>
      </c>
      <c r="E2058" t="s">
        <v>34</v>
      </c>
      <c r="F2058" t="s">
        <v>30</v>
      </c>
      <c r="G2058" s="4">
        <v>10</v>
      </c>
      <c r="H2058" s="1">
        <v>36249</v>
      </c>
      <c r="I2058" s="3" t="s">
        <v>21</v>
      </c>
      <c r="J2058" s="4">
        <v>2</v>
      </c>
    </row>
    <row r="2059" spans="1:10" x14ac:dyDescent="0.35">
      <c r="A2059" s="2" t="s">
        <v>2095</v>
      </c>
      <c r="B2059" s="4">
        <v>45</v>
      </c>
      <c r="C2059" t="s">
        <v>17</v>
      </c>
      <c r="D2059" t="s">
        <v>23</v>
      </c>
      <c r="E2059" t="s">
        <v>27</v>
      </c>
      <c r="F2059" t="s">
        <v>30</v>
      </c>
      <c r="G2059" s="4">
        <v>6</v>
      </c>
      <c r="H2059" s="1">
        <v>20489</v>
      </c>
      <c r="I2059" s="3" t="s">
        <v>21</v>
      </c>
      <c r="J2059" s="4">
        <v>3</v>
      </c>
    </row>
    <row r="2060" spans="1:10" x14ac:dyDescent="0.35">
      <c r="A2060" s="2" t="s">
        <v>2096</v>
      </c>
      <c r="B2060" s="4">
        <v>9</v>
      </c>
      <c r="C2060" t="s">
        <v>17</v>
      </c>
      <c r="D2060" t="s">
        <v>49</v>
      </c>
      <c r="E2060" t="s">
        <v>65</v>
      </c>
      <c r="F2060" t="s">
        <v>30</v>
      </c>
      <c r="G2060" s="4">
        <v>2</v>
      </c>
      <c r="H2060" s="1">
        <v>99141</v>
      </c>
      <c r="I2060" s="3" t="s">
        <v>15</v>
      </c>
      <c r="J2060" s="4">
        <v>2</v>
      </c>
    </row>
    <row r="2061" spans="1:10" x14ac:dyDescent="0.35">
      <c r="A2061" s="2" t="s">
        <v>2097</v>
      </c>
      <c r="B2061" s="4">
        <v>13</v>
      </c>
      <c r="C2061" t="s">
        <v>11</v>
      </c>
      <c r="D2061" t="s">
        <v>49</v>
      </c>
      <c r="E2061" t="s">
        <v>37</v>
      </c>
      <c r="F2061" t="s">
        <v>30</v>
      </c>
      <c r="G2061" s="4">
        <v>10</v>
      </c>
      <c r="H2061" s="1">
        <v>19864</v>
      </c>
      <c r="I2061" s="3" t="s">
        <v>21</v>
      </c>
      <c r="J2061" s="4">
        <v>1</v>
      </c>
    </row>
    <row r="2062" spans="1:10" x14ac:dyDescent="0.35">
      <c r="A2062" s="2" t="s">
        <v>2098</v>
      </c>
      <c r="B2062" s="4">
        <v>78</v>
      </c>
      <c r="C2062" t="s">
        <v>17</v>
      </c>
      <c r="D2062" t="s">
        <v>39</v>
      </c>
      <c r="E2062" t="s">
        <v>27</v>
      </c>
      <c r="F2062" t="s">
        <v>20</v>
      </c>
      <c r="G2062" s="4">
        <v>11</v>
      </c>
      <c r="H2062" s="1">
        <v>31458</v>
      </c>
      <c r="I2062" s="3" t="s">
        <v>15</v>
      </c>
      <c r="J2062" s="4">
        <v>5</v>
      </c>
    </row>
    <row r="2063" spans="1:10" x14ac:dyDescent="0.35">
      <c r="A2063" s="2" t="s">
        <v>2099</v>
      </c>
      <c r="B2063" s="4">
        <v>33</v>
      </c>
      <c r="C2063" t="s">
        <v>17</v>
      </c>
      <c r="D2063" t="s">
        <v>23</v>
      </c>
      <c r="E2063" t="s">
        <v>34</v>
      </c>
      <c r="F2063" t="s">
        <v>14</v>
      </c>
      <c r="G2063" s="4">
        <v>6</v>
      </c>
      <c r="H2063" s="1">
        <v>6358</v>
      </c>
      <c r="I2063" s="3" t="s">
        <v>15</v>
      </c>
      <c r="J2063" s="4">
        <v>2</v>
      </c>
    </row>
    <row r="2064" spans="1:10" x14ac:dyDescent="0.35">
      <c r="A2064" s="2" t="s">
        <v>2100</v>
      </c>
      <c r="B2064" s="4">
        <v>58</v>
      </c>
      <c r="C2064" t="s">
        <v>11</v>
      </c>
      <c r="D2064" t="s">
        <v>23</v>
      </c>
      <c r="E2064" t="s">
        <v>65</v>
      </c>
      <c r="F2064" t="s">
        <v>20</v>
      </c>
      <c r="G2064" s="4">
        <v>2</v>
      </c>
      <c r="H2064" s="1">
        <v>75098</v>
      </c>
      <c r="I2064" s="3" t="s">
        <v>21</v>
      </c>
      <c r="J2064" s="4">
        <v>1</v>
      </c>
    </row>
    <row r="2065" spans="1:10" x14ac:dyDescent="0.35">
      <c r="A2065" s="2" t="s">
        <v>2101</v>
      </c>
      <c r="B2065" s="4">
        <v>17</v>
      </c>
      <c r="C2065" t="s">
        <v>17</v>
      </c>
      <c r="D2065" t="s">
        <v>18</v>
      </c>
      <c r="E2065" t="s">
        <v>29</v>
      </c>
      <c r="F2065" t="s">
        <v>20</v>
      </c>
      <c r="G2065" s="4">
        <v>4</v>
      </c>
      <c r="H2065" s="1">
        <v>37141</v>
      </c>
      <c r="I2065" s="3" t="s">
        <v>21</v>
      </c>
      <c r="J2065" s="4">
        <v>4</v>
      </c>
    </row>
    <row r="2066" spans="1:10" x14ac:dyDescent="0.35">
      <c r="A2066" s="2" t="s">
        <v>2102</v>
      </c>
      <c r="B2066" s="4">
        <v>18</v>
      </c>
      <c r="C2066" t="s">
        <v>17</v>
      </c>
      <c r="D2066" t="s">
        <v>26</v>
      </c>
      <c r="E2066" t="s">
        <v>19</v>
      </c>
      <c r="F2066" t="s">
        <v>14</v>
      </c>
      <c r="G2066" s="4">
        <v>15</v>
      </c>
      <c r="H2066" s="1">
        <v>93128</v>
      </c>
      <c r="I2066" s="3" t="s">
        <v>15</v>
      </c>
      <c r="J2066" s="4">
        <v>4</v>
      </c>
    </row>
    <row r="2067" spans="1:10" x14ac:dyDescent="0.35">
      <c r="A2067" s="2" t="s">
        <v>2103</v>
      </c>
      <c r="B2067" s="4">
        <v>31</v>
      </c>
      <c r="C2067" t="s">
        <v>17</v>
      </c>
      <c r="D2067" t="s">
        <v>23</v>
      </c>
      <c r="E2067" t="s">
        <v>27</v>
      </c>
      <c r="F2067" t="s">
        <v>30</v>
      </c>
      <c r="G2067" s="4">
        <v>8</v>
      </c>
      <c r="H2067" s="1">
        <v>47917</v>
      </c>
      <c r="I2067" s="3" t="s">
        <v>21</v>
      </c>
      <c r="J2067" s="4">
        <v>1</v>
      </c>
    </row>
    <row r="2068" spans="1:10" x14ac:dyDescent="0.35">
      <c r="A2068" s="2" t="s">
        <v>2104</v>
      </c>
      <c r="B2068" s="4">
        <v>13</v>
      </c>
      <c r="C2068" t="s">
        <v>11</v>
      </c>
      <c r="D2068" t="s">
        <v>36</v>
      </c>
      <c r="E2068" t="s">
        <v>53</v>
      </c>
      <c r="F2068" t="s">
        <v>20</v>
      </c>
      <c r="G2068" s="4">
        <v>7</v>
      </c>
      <c r="H2068" s="1">
        <v>92345</v>
      </c>
      <c r="I2068" s="3" t="s">
        <v>15</v>
      </c>
      <c r="J2068" s="4">
        <v>2</v>
      </c>
    </row>
    <row r="2069" spans="1:10" x14ac:dyDescent="0.35">
      <c r="A2069" s="2" t="s">
        <v>2105</v>
      </c>
      <c r="B2069" s="4">
        <v>55</v>
      </c>
      <c r="C2069" t="s">
        <v>11</v>
      </c>
      <c r="D2069" t="s">
        <v>33</v>
      </c>
      <c r="E2069" t="s">
        <v>42</v>
      </c>
      <c r="F2069" t="s">
        <v>20</v>
      </c>
      <c r="G2069" s="4">
        <v>2</v>
      </c>
      <c r="H2069" s="1">
        <v>71130</v>
      </c>
      <c r="I2069" s="3" t="s">
        <v>15</v>
      </c>
      <c r="J2069" s="4">
        <v>1</v>
      </c>
    </row>
    <row r="2070" spans="1:10" x14ac:dyDescent="0.35">
      <c r="A2070" s="2" t="s">
        <v>2106</v>
      </c>
      <c r="B2070" s="4">
        <v>77</v>
      </c>
      <c r="C2070" t="s">
        <v>17</v>
      </c>
      <c r="D2070" t="s">
        <v>26</v>
      </c>
      <c r="E2070" t="s">
        <v>34</v>
      </c>
      <c r="F2070" t="s">
        <v>14</v>
      </c>
      <c r="G2070" s="4">
        <v>14</v>
      </c>
      <c r="H2070" s="1">
        <v>85366</v>
      </c>
      <c r="I2070" s="3" t="s">
        <v>21</v>
      </c>
      <c r="J2070" s="4">
        <v>2</v>
      </c>
    </row>
    <row r="2071" spans="1:10" x14ac:dyDescent="0.35">
      <c r="A2071" s="2" t="s">
        <v>2107</v>
      </c>
      <c r="B2071" s="4">
        <v>47</v>
      </c>
      <c r="C2071" t="s">
        <v>11</v>
      </c>
      <c r="D2071" t="s">
        <v>49</v>
      </c>
      <c r="E2071" t="s">
        <v>37</v>
      </c>
      <c r="F2071" t="s">
        <v>20</v>
      </c>
      <c r="G2071" s="4">
        <v>10</v>
      </c>
      <c r="H2071" s="1">
        <v>61528</v>
      </c>
      <c r="I2071" s="3" t="s">
        <v>15</v>
      </c>
      <c r="J2071" s="4">
        <v>1</v>
      </c>
    </row>
    <row r="2072" spans="1:10" x14ac:dyDescent="0.35">
      <c r="A2072" s="2" t="s">
        <v>2108</v>
      </c>
      <c r="B2072" s="4">
        <v>53</v>
      </c>
      <c r="C2072" t="s">
        <v>17</v>
      </c>
      <c r="D2072" t="s">
        <v>18</v>
      </c>
      <c r="E2072" t="s">
        <v>13</v>
      </c>
      <c r="F2072" t="s">
        <v>14</v>
      </c>
      <c r="G2072" s="4">
        <v>9</v>
      </c>
      <c r="H2072" s="1">
        <v>86322</v>
      </c>
      <c r="I2072" s="3" t="s">
        <v>15</v>
      </c>
      <c r="J2072" s="4">
        <v>2</v>
      </c>
    </row>
    <row r="2073" spans="1:10" x14ac:dyDescent="0.35">
      <c r="A2073" s="2" t="s">
        <v>2109</v>
      </c>
      <c r="B2073" s="4">
        <v>89</v>
      </c>
      <c r="C2073" t="s">
        <v>11</v>
      </c>
      <c r="D2073" t="s">
        <v>28</v>
      </c>
      <c r="E2073" t="s">
        <v>19</v>
      </c>
      <c r="F2073" t="s">
        <v>20</v>
      </c>
      <c r="G2073" s="4">
        <v>7</v>
      </c>
      <c r="H2073" s="1">
        <v>39270</v>
      </c>
      <c r="I2073" s="3" t="s">
        <v>21</v>
      </c>
      <c r="J2073" s="4">
        <v>2</v>
      </c>
    </row>
    <row r="2074" spans="1:10" x14ac:dyDescent="0.35">
      <c r="A2074" s="2" t="s">
        <v>2110</v>
      </c>
      <c r="B2074" s="4">
        <v>12</v>
      </c>
      <c r="C2074" t="s">
        <v>17</v>
      </c>
      <c r="D2074" t="s">
        <v>36</v>
      </c>
      <c r="E2074" t="s">
        <v>24</v>
      </c>
      <c r="F2074" t="s">
        <v>30</v>
      </c>
      <c r="G2074" s="4">
        <v>9</v>
      </c>
      <c r="H2074" s="1">
        <v>79826</v>
      </c>
      <c r="I2074" s="3" t="s">
        <v>21</v>
      </c>
      <c r="J2074" s="4">
        <v>1</v>
      </c>
    </row>
    <row r="2075" spans="1:10" x14ac:dyDescent="0.35">
      <c r="A2075" s="2" t="s">
        <v>2111</v>
      </c>
      <c r="B2075" s="4">
        <v>19</v>
      </c>
      <c r="C2075" t="s">
        <v>11</v>
      </c>
      <c r="D2075" t="s">
        <v>33</v>
      </c>
      <c r="E2075" t="s">
        <v>42</v>
      </c>
      <c r="F2075" t="s">
        <v>30</v>
      </c>
      <c r="G2075" s="4">
        <v>8</v>
      </c>
      <c r="H2075" s="1">
        <v>14260</v>
      </c>
      <c r="I2075" s="3" t="s">
        <v>21</v>
      </c>
      <c r="J2075" s="4">
        <v>5</v>
      </c>
    </row>
    <row r="2076" spans="1:10" x14ac:dyDescent="0.35">
      <c r="A2076" s="2" t="s">
        <v>2112</v>
      </c>
      <c r="B2076" s="4">
        <v>72</v>
      </c>
      <c r="C2076" t="s">
        <v>17</v>
      </c>
      <c r="D2076" t="s">
        <v>49</v>
      </c>
      <c r="E2076" t="s">
        <v>29</v>
      </c>
      <c r="F2076" t="s">
        <v>14</v>
      </c>
      <c r="G2076" s="4">
        <v>5</v>
      </c>
      <c r="H2076" s="1">
        <v>31982</v>
      </c>
      <c r="I2076" s="3" t="s">
        <v>21</v>
      </c>
      <c r="J2076" s="4">
        <v>2</v>
      </c>
    </row>
    <row r="2077" spans="1:10" x14ac:dyDescent="0.35">
      <c r="A2077" s="2" t="s">
        <v>2113</v>
      </c>
      <c r="B2077" s="4">
        <v>10</v>
      </c>
      <c r="C2077" t="s">
        <v>17</v>
      </c>
      <c r="D2077" t="s">
        <v>36</v>
      </c>
      <c r="E2077" t="s">
        <v>24</v>
      </c>
      <c r="F2077" t="s">
        <v>14</v>
      </c>
      <c r="G2077" s="4">
        <v>1</v>
      </c>
      <c r="H2077" s="1">
        <v>37995</v>
      </c>
      <c r="I2077" s="3" t="s">
        <v>15</v>
      </c>
      <c r="J2077" s="4">
        <v>3</v>
      </c>
    </row>
    <row r="2078" spans="1:10" x14ac:dyDescent="0.35">
      <c r="A2078" s="2" t="s">
        <v>2114</v>
      </c>
      <c r="B2078" s="4">
        <v>19</v>
      </c>
      <c r="C2078" t="s">
        <v>11</v>
      </c>
      <c r="D2078" t="s">
        <v>33</v>
      </c>
      <c r="E2078" t="s">
        <v>34</v>
      </c>
      <c r="F2078" t="s">
        <v>20</v>
      </c>
      <c r="G2078" s="4">
        <v>3</v>
      </c>
      <c r="H2078" s="1">
        <v>90609</v>
      </c>
      <c r="I2078" s="3" t="s">
        <v>21</v>
      </c>
      <c r="J2078" s="4">
        <v>5</v>
      </c>
    </row>
    <row r="2079" spans="1:10" x14ac:dyDescent="0.35">
      <c r="A2079" s="2" t="s">
        <v>2115</v>
      </c>
      <c r="B2079" s="4">
        <v>22</v>
      </c>
      <c r="C2079" t="s">
        <v>11</v>
      </c>
      <c r="D2079" t="s">
        <v>49</v>
      </c>
      <c r="E2079" t="s">
        <v>19</v>
      </c>
      <c r="F2079" t="s">
        <v>30</v>
      </c>
      <c r="G2079" s="4">
        <v>9</v>
      </c>
      <c r="H2079" s="1">
        <v>47688</v>
      </c>
      <c r="I2079" s="3" t="s">
        <v>21</v>
      </c>
      <c r="J2079" s="4">
        <v>5</v>
      </c>
    </row>
    <row r="2080" spans="1:10" x14ac:dyDescent="0.35">
      <c r="A2080" s="2" t="s">
        <v>2116</v>
      </c>
      <c r="B2080" s="4">
        <v>10</v>
      </c>
      <c r="C2080" t="s">
        <v>17</v>
      </c>
      <c r="D2080" t="s">
        <v>41</v>
      </c>
      <c r="E2080" t="s">
        <v>65</v>
      </c>
      <c r="F2080" t="s">
        <v>14</v>
      </c>
      <c r="G2080" s="4">
        <v>9</v>
      </c>
      <c r="H2080" s="1">
        <v>21755</v>
      </c>
      <c r="I2080" s="3" t="s">
        <v>15</v>
      </c>
      <c r="J2080" s="4">
        <v>3</v>
      </c>
    </row>
    <row r="2081" spans="1:10" x14ac:dyDescent="0.35">
      <c r="A2081" s="2" t="s">
        <v>2117</v>
      </c>
      <c r="B2081" s="4">
        <v>32</v>
      </c>
      <c r="C2081" t="s">
        <v>11</v>
      </c>
      <c r="D2081" t="s">
        <v>28</v>
      </c>
      <c r="E2081" t="s">
        <v>27</v>
      </c>
      <c r="F2081" t="s">
        <v>14</v>
      </c>
      <c r="G2081" s="4">
        <v>15</v>
      </c>
      <c r="H2081" s="1">
        <v>16620</v>
      </c>
      <c r="I2081" s="3" t="s">
        <v>21</v>
      </c>
      <c r="J2081" s="4">
        <v>3</v>
      </c>
    </row>
    <row r="2082" spans="1:10" x14ac:dyDescent="0.35">
      <c r="A2082" s="2" t="s">
        <v>2118</v>
      </c>
      <c r="B2082" s="4">
        <v>55</v>
      </c>
      <c r="C2082" t="s">
        <v>17</v>
      </c>
      <c r="D2082" t="s">
        <v>41</v>
      </c>
      <c r="E2082" t="s">
        <v>42</v>
      </c>
      <c r="F2082" t="s">
        <v>20</v>
      </c>
      <c r="G2082" s="4">
        <v>9</v>
      </c>
      <c r="H2082" s="1">
        <v>98950</v>
      </c>
      <c r="I2082" s="3" t="s">
        <v>21</v>
      </c>
      <c r="J2082" s="4">
        <v>1</v>
      </c>
    </row>
    <row r="2083" spans="1:10" x14ac:dyDescent="0.35">
      <c r="A2083" s="2" t="s">
        <v>2119</v>
      </c>
      <c r="B2083" s="4">
        <v>23</v>
      </c>
      <c r="C2083" t="s">
        <v>17</v>
      </c>
      <c r="D2083" t="s">
        <v>39</v>
      </c>
      <c r="E2083" t="s">
        <v>19</v>
      </c>
      <c r="F2083" t="s">
        <v>20</v>
      </c>
      <c r="G2083" s="4">
        <v>6</v>
      </c>
      <c r="H2083" s="1">
        <v>84783</v>
      </c>
      <c r="I2083" s="3" t="s">
        <v>21</v>
      </c>
      <c r="J2083" s="4">
        <v>4</v>
      </c>
    </row>
    <row r="2084" spans="1:10" x14ac:dyDescent="0.35">
      <c r="A2084" s="2" t="s">
        <v>2120</v>
      </c>
      <c r="B2084" s="4">
        <v>68</v>
      </c>
      <c r="C2084" t="s">
        <v>11</v>
      </c>
      <c r="D2084" t="s">
        <v>12</v>
      </c>
      <c r="E2084" t="s">
        <v>29</v>
      </c>
      <c r="F2084" t="s">
        <v>20</v>
      </c>
      <c r="G2084" s="4">
        <v>7</v>
      </c>
      <c r="H2084" s="1">
        <v>12984</v>
      </c>
      <c r="I2084" s="3" t="s">
        <v>21</v>
      </c>
      <c r="J2084" s="4">
        <v>2</v>
      </c>
    </row>
    <row r="2085" spans="1:10" x14ac:dyDescent="0.35">
      <c r="A2085" s="2" t="s">
        <v>2121</v>
      </c>
      <c r="B2085" s="4">
        <v>20</v>
      </c>
      <c r="C2085" t="s">
        <v>17</v>
      </c>
      <c r="D2085" t="s">
        <v>26</v>
      </c>
      <c r="E2085" t="s">
        <v>34</v>
      </c>
      <c r="F2085" t="s">
        <v>14</v>
      </c>
      <c r="G2085" s="4">
        <v>14</v>
      </c>
      <c r="H2085" s="1">
        <v>85581</v>
      </c>
      <c r="I2085" s="3" t="s">
        <v>21</v>
      </c>
      <c r="J2085" s="4">
        <v>2</v>
      </c>
    </row>
    <row r="2086" spans="1:10" x14ac:dyDescent="0.35">
      <c r="A2086" s="2" t="s">
        <v>2122</v>
      </c>
      <c r="B2086" s="4">
        <v>56</v>
      </c>
      <c r="C2086" t="s">
        <v>17</v>
      </c>
      <c r="D2086" t="s">
        <v>23</v>
      </c>
      <c r="E2086" t="s">
        <v>29</v>
      </c>
      <c r="F2086" t="s">
        <v>20</v>
      </c>
      <c r="G2086" s="4">
        <v>10</v>
      </c>
      <c r="H2086" s="1">
        <v>26908</v>
      </c>
      <c r="I2086" s="3" t="s">
        <v>21</v>
      </c>
      <c r="J2086" s="4">
        <v>1</v>
      </c>
    </row>
    <row r="2087" spans="1:10" x14ac:dyDescent="0.35">
      <c r="A2087" s="2" t="s">
        <v>2123</v>
      </c>
      <c r="B2087" s="4">
        <v>84</v>
      </c>
      <c r="C2087" t="s">
        <v>17</v>
      </c>
      <c r="D2087" t="s">
        <v>33</v>
      </c>
      <c r="E2087" t="s">
        <v>34</v>
      </c>
      <c r="F2087" t="s">
        <v>30</v>
      </c>
      <c r="G2087" s="4">
        <v>5</v>
      </c>
      <c r="H2087" s="1">
        <v>14500</v>
      </c>
      <c r="I2087" s="3" t="s">
        <v>15</v>
      </c>
      <c r="J2087" s="4">
        <v>5</v>
      </c>
    </row>
    <row r="2088" spans="1:10" x14ac:dyDescent="0.35">
      <c r="A2088" s="2" t="s">
        <v>2124</v>
      </c>
      <c r="B2088" s="4">
        <v>64</v>
      </c>
      <c r="C2088" t="s">
        <v>17</v>
      </c>
      <c r="D2088" t="s">
        <v>39</v>
      </c>
      <c r="E2088" t="s">
        <v>65</v>
      </c>
      <c r="F2088" t="s">
        <v>20</v>
      </c>
      <c r="G2088" s="4">
        <v>11</v>
      </c>
      <c r="H2088" s="1">
        <v>99947</v>
      </c>
      <c r="I2088" s="3" t="s">
        <v>15</v>
      </c>
      <c r="J2088" s="4">
        <v>3</v>
      </c>
    </row>
    <row r="2089" spans="1:10" x14ac:dyDescent="0.35">
      <c r="A2089" s="2" t="s">
        <v>2125</v>
      </c>
      <c r="B2089" s="4">
        <v>8</v>
      </c>
      <c r="C2089" t="s">
        <v>17</v>
      </c>
      <c r="D2089" t="s">
        <v>26</v>
      </c>
      <c r="E2089" t="s">
        <v>65</v>
      </c>
      <c r="F2089" t="s">
        <v>30</v>
      </c>
      <c r="G2089" s="4">
        <v>14</v>
      </c>
      <c r="H2089" s="1">
        <v>87265</v>
      </c>
      <c r="I2089" s="3" t="s">
        <v>21</v>
      </c>
      <c r="J2089" s="4">
        <v>2</v>
      </c>
    </row>
    <row r="2090" spans="1:10" x14ac:dyDescent="0.35">
      <c r="A2090" s="2" t="s">
        <v>2126</v>
      </c>
      <c r="B2090" s="4">
        <v>43</v>
      </c>
      <c r="C2090" t="s">
        <v>17</v>
      </c>
      <c r="D2090" t="s">
        <v>18</v>
      </c>
      <c r="E2090" t="s">
        <v>19</v>
      </c>
      <c r="F2090" t="s">
        <v>20</v>
      </c>
      <c r="G2090" s="4">
        <v>11</v>
      </c>
      <c r="H2090" s="1">
        <v>28224</v>
      </c>
      <c r="I2090" s="3" t="s">
        <v>21</v>
      </c>
      <c r="J2090" s="4">
        <v>1</v>
      </c>
    </row>
    <row r="2091" spans="1:10" x14ac:dyDescent="0.35">
      <c r="A2091" s="2" t="s">
        <v>2127</v>
      </c>
      <c r="B2091" s="4">
        <v>56</v>
      </c>
      <c r="C2091" t="s">
        <v>11</v>
      </c>
      <c r="D2091" t="s">
        <v>23</v>
      </c>
      <c r="E2091" t="s">
        <v>29</v>
      </c>
      <c r="F2091" t="s">
        <v>30</v>
      </c>
      <c r="G2091" s="4">
        <v>11</v>
      </c>
      <c r="H2091" s="1">
        <v>13289</v>
      </c>
      <c r="I2091" s="3" t="s">
        <v>15</v>
      </c>
      <c r="J2091" s="4">
        <v>1</v>
      </c>
    </row>
    <row r="2092" spans="1:10" x14ac:dyDescent="0.35">
      <c r="A2092" s="2" t="s">
        <v>2128</v>
      </c>
      <c r="B2092" s="4">
        <v>11</v>
      </c>
      <c r="C2092" t="s">
        <v>11</v>
      </c>
      <c r="D2092" t="s">
        <v>26</v>
      </c>
      <c r="E2092" t="s">
        <v>65</v>
      </c>
      <c r="F2092" t="s">
        <v>14</v>
      </c>
      <c r="G2092" s="4">
        <v>9</v>
      </c>
      <c r="H2092" s="1">
        <v>16755</v>
      </c>
      <c r="I2092" s="3" t="s">
        <v>15</v>
      </c>
      <c r="J2092" s="4">
        <v>3</v>
      </c>
    </row>
    <row r="2093" spans="1:10" x14ac:dyDescent="0.35">
      <c r="A2093" s="2" t="s">
        <v>2129</v>
      </c>
      <c r="B2093" s="4">
        <v>20</v>
      </c>
      <c r="C2093" t="s">
        <v>17</v>
      </c>
      <c r="D2093" t="s">
        <v>36</v>
      </c>
      <c r="E2093" t="s">
        <v>29</v>
      </c>
      <c r="F2093" t="s">
        <v>14</v>
      </c>
      <c r="G2093" s="4">
        <v>11</v>
      </c>
      <c r="H2093" s="1">
        <v>54702</v>
      </c>
      <c r="I2093" s="3" t="s">
        <v>15</v>
      </c>
      <c r="J2093" s="4">
        <v>2</v>
      </c>
    </row>
    <row r="2094" spans="1:10" x14ac:dyDescent="0.35">
      <c r="A2094" s="2" t="s">
        <v>2130</v>
      </c>
      <c r="B2094" s="4">
        <v>64</v>
      </c>
      <c r="C2094" t="s">
        <v>17</v>
      </c>
      <c r="D2094" t="s">
        <v>23</v>
      </c>
      <c r="E2094" t="s">
        <v>13</v>
      </c>
      <c r="F2094" t="s">
        <v>14</v>
      </c>
      <c r="G2094" s="4">
        <v>14</v>
      </c>
      <c r="H2094" s="1">
        <v>16708</v>
      </c>
      <c r="I2094" s="3" t="s">
        <v>15</v>
      </c>
      <c r="J2094" s="4">
        <v>2</v>
      </c>
    </row>
    <row r="2095" spans="1:10" x14ac:dyDescent="0.35">
      <c r="A2095" s="2" t="s">
        <v>2131</v>
      </c>
      <c r="B2095" s="4">
        <v>65</v>
      </c>
      <c r="C2095" t="s">
        <v>11</v>
      </c>
      <c r="D2095" t="s">
        <v>39</v>
      </c>
      <c r="E2095" t="s">
        <v>65</v>
      </c>
      <c r="F2095" t="s">
        <v>14</v>
      </c>
      <c r="G2095" s="4">
        <v>5</v>
      </c>
      <c r="H2095" s="1">
        <v>36795</v>
      </c>
      <c r="I2095" s="3" t="s">
        <v>15</v>
      </c>
      <c r="J2095" s="4">
        <v>4</v>
      </c>
    </row>
    <row r="2096" spans="1:10" x14ac:dyDescent="0.35">
      <c r="A2096" s="2" t="s">
        <v>2132</v>
      </c>
      <c r="B2096" s="4">
        <v>7</v>
      </c>
      <c r="C2096" t="s">
        <v>11</v>
      </c>
      <c r="D2096" t="s">
        <v>36</v>
      </c>
      <c r="E2096" t="s">
        <v>42</v>
      </c>
      <c r="F2096" t="s">
        <v>30</v>
      </c>
      <c r="G2096" s="4">
        <v>2</v>
      </c>
      <c r="H2096" s="1">
        <v>78101</v>
      </c>
      <c r="I2096" s="3" t="s">
        <v>21</v>
      </c>
      <c r="J2096" s="4">
        <v>4</v>
      </c>
    </row>
    <row r="2097" spans="1:10" x14ac:dyDescent="0.35">
      <c r="A2097" s="2" t="s">
        <v>2133</v>
      </c>
      <c r="B2097" s="4">
        <v>26</v>
      </c>
      <c r="C2097" t="s">
        <v>17</v>
      </c>
      <c r="D2097" t="s">
        <v>33</v>
      </c>
      <c r="E2097" t="s">
        <v>65</v>
      </c>
      <c r="F2097" t="s">
        <v>14</v>
      </c>
      <c r="G2097" s="4">
        <v>14</v>
      </c>
      <c r="H2097" s="1">
        <v>76952</v>
      </c>
      <c r="I2097" s="3" t="s">
        <v>21</v>
      </c>
      <c r="J2097" s="4">
        <v>4</v>
      </c>
    </row>
    <row r="2098" spans="1:10" x14ac:dyDescent="0.35">
      <c r="A2098" s="2" t="s">
        <v>2134</v>
      </c>
      <c r="B2098" s="4">
        <v>13</v>
      </c>
      <c r="C2098" t="s">
        <v>11</v>
      </c>
      <c r="D2098" t="s">
        <v>36</v>
      </c>
      <c r="E2098" t="s">
        <v>65</v>
      </c>
      <c r="F2098" t="s">
        <v>30</v>
      </c>
      <c r="G2098" s="4">
        <v>6</v>
      </c>
      <c r="H2098" s="1">
        <v>52154</v>
      </c>
      <c r="I2098" s="3" t="s">
        <v>15</v>
      </c>
      <c r="J2098" s="4">
        <v>2</v>
      </c>
    </row>
    <row r="2099" spans="1:10" x14ac:dyDescent="0.35">
      <c r="A2099" s="2" t="s">
        <v>2135</v>
      </c>
      <c r="B2099" s="4">
        <v>31</v>
      </c>
      <c r="C2099" t="s">
        <v>17</v>
      </c>
      <c r="D2099" t="s">
        <v>39</v>
      </c>
      <c r="E2099" t="s">
        <v>13</v>
      </c>
      <c r="F2099" t="s">
        <v>30</v>
      </c>
      <c r="G2099" s="4">
        <v>10</v>
      </c>
      <c r="H2099" s="1">
        <v>91539</v>
      </c>
      <c r="I2099" s="3" t="s">
        <v>21</v>
      </c>
      <c r="J2099" s="4">
        <v>2</v>
      </c>
    </row>
    <row r="2100" spans="1:10" x14ac:dyDescent="0.35">
      <c r="A2100" s="2" t="s">
        <v>2136</v>
      </c>
      <c r="B2100" s="4">
        <v>88</v>
      </c>
      <c r="C2100" t="s">
        <v>17</v>
      </c>
      <c r="D2100" t="s">
        <v>41</v>
      </c>
      <c r="E2100" t="s">
        <v>29</v>
      </c>
      <c r="F2100" t="s">
        <v>30</v>
      </c>
      <c r="G2100" s="4">
        <v>9</v>
      </c>
      <c r="H2100" s="1">
        <v>16603</v>
      </c>
      <c r="I2100" s="3" t="s">
        <v>15</v>
      </c>
      <c r="J2100" s="4">
        <v>5</v>
      </c>
    </row>
    <row r="2101" spans="1:10" x14ac:dyDescent="0.35">
      <c r="A2101" s="2" t="s">
        <v>2137</v>
      </c>
      <c r="B2101" s="4">
        <v>51</v>
      </c>
      <c r="C2101" t="s">
        <v>11</v>
      </c>
      <c r="D2101" t="s">
        <v>41</v>
      </c>
      <c r="E2101" t="s">
        <v>29</v>
      </c>
      <c r="F2101" t="s">
        <v>20</v>
      </c>
      <c r="G2101" s="4">
        <v>9</v>
      </c>
      <c r="H2101" s="1">
        <v>69719</v>
      </c>
      <c r="I2101" s="3" t="s">
        <v>15</v>
      </c>
      <c r="J2101" s="4">
        <v>5</v>
      </c>
    </row>
    <row r="2102" spans="1:10" x14ac:dyDescent="0.35">
      <c r="A2102" s="2" t="s">
        <v>2138</v>
      </c>
      <c r="B2102" s="4">
        <v>70</v>
      </c>
      <c r="C2102" t="s">
        <v>17</v>
      </c>
      <c r="D2102" t="s">
        <v>23</v>
      </c>
      <c r="E2102" t="s">
        <v>24</v>
      </c>
      <c r="F2102" t="s">
        <v>30</v>
      </c>
      <c r="G2102" s="4">
        <v>1</v>
      </c>
      <c r="H2102" s="1">
        <v>44662</v>
      </c>
      <c r="I2102" s="3" t="s">
        <v>21</v>
      </c>
      <c r="J2102" s="4">
        <v>1</v>
      </c>
    </row>
    <row r="2103" spans="1:10" x14ac:dyDescent="0.35">
      <c r="A2103" s="2" t="s">
        <v>2139</v>
      </c>
      <c r="B2103" s="4">
        <v>78</v>
      </c>
      <c r="C2103" t="s">
        <v>11</v>
      </c>
      <c r="D2103" t="s">
        <v>41</v>
      </c>
      <c r="E2103" t="s">
        <v>27</v>
      </c>
      <c r="F2103" t="s">
        <v>14</v>
      </c>
      <c r="G2103" s="4">
        <v>13</v>
      </c>
      <c r="H2103" s="1">
        <v>78853</v>
      </c>
      <c r="I2103" s="3" t="s">
        <v>15</v>
      </c>
      <c r="J2103" s="4">
        <v>3</v>
      </c>
    </row>
    <row r="2104" spans="1:10" x14ac:dyDescent="0.35">
      <c r="A2104" s="2" t="s">
        <v>2140</v>
      </c>
      <c r="B2104" s="4">
        <v>60</v>
      </c>
      <c r="C2104" t="s">
        <v>11</v>
      </c>
      <c r="D2104" t="s">
        <v>18</v>
      </c>
      <c r="E2104" t="s">
        <v>27</v>
      </c>
      <c r="F2104" t="s">
        <v>30</v>
      </c>
      <c r="G2104" s="4">
        <v>12</v>
      </c>
      <c r="H2104" s="1">
        <v>75823</v>
      </c>
      <c r="I2104" s="3" t="s">
        <v>21</v>
      </c>
      <c r="J2104" s="4">
        <v>2</v>
      </c>
    </row>
    <row r="2105" spans="1:10" x14ac:dyDescent="0.35">
      <c r="A2105" s="2" t="s">
        <v>2141</v>
      </c>
      <c r="B2105" s="4">
        <v>52</v>
      </c>
      <c r="C2105" t="s">
        <v>11</v>
      </c>
      <c r="D2105" t="s">
        <v>12</v>
      </c>
      <c r="E2105" t="s">
        <v>19</v>
      </c>
      <c r="F2105" t="s">
        <v>14</v>
      </c>
      <c r="G2105" s="4">
        <v>14</v>
      </c>
      <c r="H2105" s="1">
        <v>71327</v>
      </c>
      <c r="I2105" s="3" t="s">
        <v>21</v>
      </c>
      <c r="J2105" s="4">
        <v>2</v>
      </c>
    </row>
    <row r="2106" spans="1:10" x14ac:dyDescent="0.35">
      <c r="A2106" s="2" t="s">
        <v>2142</v>
      </c>
      <c r="B2106" s="4">
        <v>3</v>
      </c>
      <c r="C2106" t="s">
        <v>11</v>
      </c>
      <c r="D2106" t="s">
        <v>39</v>
      </c>
      <c r="E2106" t="s">
        <v>42</v>
      </c>
      <c r="F2106" t="s">
        <v>20</v>
      </c>
      <c r="G2106" s="4">
        <v>1</v>
      </c>
      <c r="H2106" s="1">
        <v>72099</v>
      </c>
      <c r="I2106" s="3" t="s">
        <v>15</v>
      </c>
      <c r="J2106" s="4">
        <v>3</v>
      </c>
    </row>
    <row r="2107" spans="1:10" x14ac:dyDescent="0.35">
      <c r="A2107" s="2" t="s">
        <v>2143</v>
      </c>
      <c r="B2107" s="4">
        <v>18</v>
      </c>
      <c r="C2107" t="s">
        <v>17</v>
      </c>
      <c r="D2107" t="s">
        <v>23</v>
      </c>
      <c r="E2107" t="s">
        <v>42</v>
      </c>
      <c r="F2107" t="s">
        <v>14</v>
      </c>
      <c r="G2107" s="4">
        <v>5</v>
      </c>
      <c r="H2107" s="1">
        <v>46107</v>
      </c>
      <c r="I2107" s="3" t="s">
        <v>21</v>
      </c>
      <c r="J2107" s="4">
        <v>4</v>
      </c>
    </row>
    <row r="2108" spans="1:10" x14ac:dyDescent="0.35">
      <c r="A2108" s="2" t="s">
        <v>2144</v>
      </c>
      <c r="B2108" s="4">
        <v>29</v>
      </c>
      <c r="C2108" t="s">
        <v>11</v>
      </c>
      <c r="D2108" t="s">
        <v>12</v>
      </c>
      <c r="E2108" t="s">
        <v>29</v>
      </c>
      <c r="F2108" t="s">
        <v>20</v>
      </c>
      <c r="G2108" s="4">
        <v>8</v>
      </c>
      <c r="H2108" s="1">
        <v>38896</v>
      </c>
      <c r="I2108" s="3" t="s">
        <v>21</v>
      </c>
      <c r="J2108" s="4">
        <v>4</v>
      </c>
    </row>
    <row r="2109" spans="1:10" x14ac:dyDescent="0.35">
      <c r="A2109" s="2" t="s">
        <v>2145</v>
      </c>
      <c r="B2109" s="4">
        <v>4</v>
      </c>
      <c r="C2109" t="s">
        <v>11</v>
      </c>
      <c r="D2109" t="s">
        <v>49</v>
      </c>
      <c r="E2109" t="s">
        <v>19</v>
      </c>
      <c r="F2109" t="s">
        <v>14</v>
      </c>
      <c r="G2109" s="4">
        <v>6</v>
      </c>
      <c r="H2109" s="1">
        <v>87464</v>
      </c>
      <c r="I2109" s="3" t="s">
        <v>15</v>
      </c>
      <c r="J2109" s="4">
        <v>2</v>
      </c>
    </row>
    <row r="2110" spans="1:10" x14ac:dyDescent="0.35">
      <c r="A2110" s="2" t="s">
        <v>2146</v>
      </c>
      <c r="B2110" s="4">
        <v>59</v>
      </c>
      <c r="C2110" t="s">
        <v>17</v>
      </c>
      <c r="D2110" t="s">
        <v>39</v>
      </c>
      <c r="E2110" t="s">
        <v>13</v>
      </c>
      <c r="F2110" t="s">
        <v>20</v>
      </c>
      <c r="G2110" s="4">
        <v>4</v>
      </c>
      <c r="H2110" s="1">
        <v>5609</v>
      </c>
      <c r="I2110" s="3" t="s">
        <v>15</v>
      </c>
      <c r="J2110" s="4">
        <v>2</v>
      </c>
    </row>
    <row r="2111" spans="1:10" x14ac:dyDescent="0.35">
      <c r="A2111" s="2" t="s">
        <v>2147</v>
      </c>
      <c r="B2111" s="4">
        <v>34</v>
      </c>
      <c r="C2111" t="s">
        <v>17</v>
      </c>
      <c r="D2111" t="s">
        <v>23</v>
      </c>
      <c r="E2111" t="s">
        <v>29</v>
      </c>
      <c r="F2111" t="s">
        <v>20</v>
      </c>
      <c r="G2111" s="4">
        <v>4</v>
      </c>
      <c r="H2111" s="1">
        <v>14605</v>
      </c>
      <c r="I2111" s="3" t="s">
        <v>21</v>
      </c>
      <c r="J2111" s="4">
        <v>2</v>
      </c>
    </row>
    <row r="2112" spans="1:10" x14ac:dyDescent="0.35">
      <c r="A2112" s="2" t="s">
        <v>2148</v>
      </c>
      <c r="B2112" s="4">
        <v>50</v>
      </c>
      <c r="C2112" t="s">
        <v>17</v>
      </c>
      <c r="D2112" t="s">
        <v>26</v>
      </c>
      <c r="E2112" t="s">
        <v>37</v>
      </c>
      <c r="F2112" t="s">
        <v>30</v>
      </c>
      <c r="G2112" s="4">
        <v>14</v>
      </c>
      <c r="H2112" s="1">
        <v>74637</v>
      </c>
      <c r="I2112" s="3" t="s">
        <v>21</v>
      </c>
      <c r="J2112" s="4">
        <v>4</v>
      </c>
    </row>
    <row r="2113" spans="1:10" x14ac:dyDescent="0.35">
      <c r="A2113" s="2" t="s">
        <v>2149</v>
      </c>
      <c r="B2113" s="4">
        <v>86</v>
      </c>
      <c r="C2113" t="s">
        <v>11</v>
      </c>
      <c r="D2113" t="s">
        <v>18</v>
      </c>
      <c r="E2113" t="s">
        <v>27</v>
      </c>
      <c r="F2113" t="s">
        <v>14</v>
      </c>
      <c r="G2113" s="4">
        <v>7</v>
      </c>
      <c r="H2113" s="1">
        <v>11778</v>
      </c>
      <c r="I2113" s="3" t="s">
        <v>21</v>
      </c>
      <c r="J2113" s="4">
        <v>3</v>
      </c>
    </row>
    <row r="2114" spans="1:10" x14ac:dyDescent="0.35">
      <c r="A2114" s="2" t="s">
        <v>2150</v>
      </c>
      <c r="B2114" s="4">
        <v>53</v>
      </c>
      <c r="C2114" t="s">
        <v>17</v>
      </c>
      <c r="D2114" t="s">
        <v>49</v>
      </c>
      <c r="E2114" t="s">
        <v>19</v>
      </c>
      <c r="F2114" t="s">
        <v>14</v>
      </c>
      <c r="G2114" s="4">
        <v>11</v>
      </c>
      <c r="H2114" s="1">
        <v>61062</v>
      </c>
      <c r="I2114" s="3" t="s">
        <v>15</v>
      </c>
      <c r="J2114" s="4">
        <v>4</v>
      </c>
    </row>
    <row r="2115" spans="1:10" x14ac:dyDescent="0.35">
      <c r="A2115" s="2" t="s">
        <v>2151</v>
      </c>
      <c r="B2115" s="4">
        <v>61</v>
      </c>
      <c r="C2115" t="s">
        <v>11</v>
      </c>
      <c r="D2115" t="s">
        <v>33</v>
      </c>
      <c r="E2115" t="s">
        <v>42</v>
      </c>
      <c r="F2115" t="s">
        <v>14</v>
      </c>
      <c r="G2115" s="4">
        <v>8</v>
      </c>
      <c r="H2115" s="1">
        <v>76971</v>
      </c>
      <c r="I2115" s="3" t="s">
        <v>21</v>
      </c>
      <c r="J2115" s="4">
        <v>1</v>
      </c>
    </row>
    <row r="2116" spans="1:10" x14ac:dyDescent="0.35">
      <c r="A2116" s="2" t="s">
        <v>2152</v>
      </c>
      <c r="B2116" s="4">
        <v>39</v>
      </c>
      <c r="C2116" t="s">
        <v>17</v>
      </c>
      <c r="D2116" t="s">
        <v>33</v>
      </c>
      <c r="E2116" t="s">
        <v>53</v>
      </c>
      <c r="F2116" t="s">
        <v>14</v>
      </c>
      <c r="G2116" s="4">
        <v>8</v>
      </c>
      <c r="H2116" s="1">
        <v>40811</v>
      </c>
      <c r="I2116" s="3" t="s">
        <v>21</v>
      </c>
      <c r="J2116" s="4">
        <v>4</v>
      </c>
    </row>
    <row r="2117" spans="1:10" x14ac:dyDescent="0.35">
      <c r="A2117" s="2" t="s">
        <v>2153</v>
      </c>
      <c r="B2117" s="4">
        <v>30</v>
      </c>
      <c r="C2117" t="s">
        <v>17</v>
      </c>
      <c r="D2117" t="s">
        <v>23</v>
      </c>
      <c r="E2117" t="s">
        <v>37</v>
      </c>
      <c r="F2117" t="s">
        <v>30</v>
      </c>
      <c r="G2117" s="4">
        <v>9</v>
      </c>
      <c r="H2117" s="1">
        <v>41440</v>
      </c>
      <c r="I2117" s="3" t="s">
        <v>21</v>
      </c>
      <c r="J2117" s="4">
        <v>5</v>
      </c>
    </row>
    <row r="2118" spans="1:10" x14ac:dyDescent="0.35">
      <c r="A2118" s="2" t="s">
        <v>2154</v>
      </c>
      <c r="B2118" s="4">
        <v>68</v>
      </c>
      <c r="C2118" t="s">
        <v>17</v>
      </c>
      <c r="D2118" t="s">
        <v>26</v>
      </c>
      <c r="E2118" t="s">
        <v>53</v>
      </c>
      <c r="F2118" t="s">
        <v>20</v>
      </c>
      <c r="G2118" s="4">
        <v>11</v>
      </c>
      <c r="H2118" s="1">
        <v>9636</v>
      </c>
      <c r="I2118" s="3" t="s">
        <v>21</v>
      </c>
      <c r="J2118" s="4">
        <v>5</v>
      </c>
    </row>
    <row r="2119" spans="1:10" x14ac:dyDescent="0.35">
      <c r="A2119" s="2" t="s">
        <v>2155</v>
      </c>
      <c r="B2119" s="4">
        <v>83</v>
      </c>
      <c r="C2119" t="s">
        <v>11</v>
      </c>
      <c r="D2119" t="s">
        <v>39</v>
      </c>
      <c r="E2119" t="s">
        <v>65</v>
      </c>
      <c r="F2119" t="s">
        <v>14</v>
      </c>
      <c r="G2119" s="4">
        <v>14</v>
      </c>
      <c r="H2119" s="1">
        <v>97654</v>
      </c>
      <c r="I2119" s="3" t="s">
        <v>21</v>
      </c>
      <c r="J2119" s="4">
        <v>3</v>
      </c>
    </row>
    <row r="2120" spans="1:10" x14ac:dyDescent="0.35">
      <c r="A2120" s="2" t="s">
        <v>2156</v>
      </c>
      <c r="B2120" s="4">
        <v>51</v>
      </c>
      <c r="C2120" t="s">
        <v>11</v>
      </c>
      <c r="D2120" t="s">
        <v>12</v>
      </c>
      <c r="E2120" t="s">
        <v>27</v>
      </c>
      <c r="F2120" t="s">
        <v>14</v>
      </c>
      <c r="G2120" s="4">
        <v>3</v>
      </c>
      <c r="H2120" s="1">
        <v>11921</v>
      </c>
      <c r="I2120" s="3" t="s">
        <v>21</v>
      </c>
      <c r="J2120" s="4">
        <v>1</v>
      </c>
    </row>
    <row r="2121" spans="1:10" x14ac:dyDescent="0.35">
      <c r="A2121" s="2" t="s">
        <v>2157</v>
      </c>
      <c r="B2121" s="4">
        <v>23</v>
      </c>
      <c r="C2121" t="s">
        <v>17</v>
      </c>
      <c r="D2121" t="s">
        <v>41</v>
      </c>
      <c r="E2121" t="s">
        <v>13</v>
      </c>
      <c r="F2121" t="s">
        <v>30</v>
      </c>
      <c r="G2121" s="4">
        <v>11</v>
      </c>
      <c r="H2121" s="1">
        <v>90863</v>
      </c>
      <c r="I2121" s="3" t="s">
        <v>21</v>
      </c>
      <c r="J2121" s="4">
        <v>3</v>
      </c>
    </row>
    <row r="2122" spans="1:10" x14ac:dyDescent="0.35">
      <c r="A2122" s="2" t="s">
        <v>2158</v>
      </c>
      <c r="B2122" s="4">
        <v>15</v>
      </c>
      <c r="C2122" t="s">
        <v>11</v>
      </c>
      <c r="D2122" t="s">
        <v>41</v>
      </c>
      <c r="E2122" t="s">
        <v>42</v>
      </c>
      <c r="F2122" t="s">
        <v>20</v>
      </c>
      <c r="G2122" s="4">
        <v>14</v>
      </c>
      <c r="H2122" s="1">
        <v>33685</v>
      </c>
      <c r="I2122" s="3" t="s">
        <v>21</v>
      </c>
      <c r="J2122" s="4">
        <v>1</v>
      </c>
    </row>
    <row r="2123" spans="1:10" x14ac:dyDescent="0.35">
      <c r="A2123" s="2" t="s">
        <v>2159</v>
      </c>
      <c r="B2123" s="4">
        <v>48</v>
      </c>
      <c r="C2123" t="s">
        <v>17</v>
      </c>
      <c r="D2123" t="s">
        <v>18</v>
      </c>
      <c r="E2123" t="s">
        <v>34</v>
      </c>
      <c r="F2123" t="s">
        <v>14</v>
      </c>
      <c r="G2123" s="4">
        <v>14</v>
      </c>
      <c r="H2123" s="1">
        <v>23294</v>
      </c>
      <c r="I2123" s="3" t="s">
        <v>15</v>
      </c>
      <c r="J2123" s="4">
        <v>1</v>
      </c>
    </row>
    <row r="2124" spans="1:10" x14ac:dyDescent="0.35">
      <c r="A2124" s="2" t="s">
        <v>2160</v>
      </c>
      <c r="B2124" s="4">
        <v>86</v>
      </c>
      <c r="C2124" t="s">
        <v>11</v>
      </c>
      <c r="D2124" t="s">
        <v>23</v>
      </c>
      <c r="E2124" t="s">
        <v>42</v>
      </c>
      <c r="F2124" t="s">
        <v>14</v>
      </c>
      <c r="G2124" s="4">
        <v>2</v>
      </c>
      <c r="H2124" s="1">
        <v>63131</v>
      </c>
      <c r="I2124" s="3" t="s">
        <v>21</v>
      </c>
      <c r="J2124" s="4">
        <v>5</v>
      </c>
    </row>
    <row r="2125" spans="1:10" x14ac:dyDescent="0.35">
      <c r="A2125" s="2" t="s">
        <v>2161</v>
      </c>
      <c r="B2125" s="4">
        <v>64</v>
      </c>
      <c r="C2125" t="s">
        <v>17</v>
      </c>
      <c r="D2125" t="s">
        <v>18</v>
      </c>
      <c r="E2125" t="s">
        <v>34</v>
      </c>
      <c r="F2125" t="s">
        <v>30</v>
      </c>
      <c r="G2125" s="4">
        <v>10</v>
      </c>
      <c r="H2125" s="1">
        <v>41099</v>
      </c>
      <c r="I2125" s="3" t="s">
        <v>21</v>
      </c>
      <c r="J2125" s="4">
        <v>5</v>
      </c>
    </row>
    <row r="2126" spans="1:10" x14ac:dyDescent="0.35">
      <c r="A2126" s="2" t="s">
        <v>2162</v>
      </c>
      <c r="B2126" s="4">
        <v>85</v>
      </c>
      <c r="C2126" t="s">
        <v>17</v>
      </c>
      <c r="D2126" t="s">
        <v>28</v>
      </c>
      <c r="E2126" t="s">
        <v>29</v>
      </c>
      <c r="F2126" t="s">
        <v>20</v>
      </c>
      <c r="G2126" s="4">
        <v>12</v>
      </c>
      <c r="H2126" s="1">
        <v>85792</v>
      </c>
      <c r="I2126" s="3" t="s">
        <v>21</v>
      </c>
      <c r="J2126" s="4">
        <v>3</v>
      </c>
    </row>
    <row r="2127" spans="1:10" x14ac:dyDescent="0.35">
      <c r="A2127" s="2" t="s">
        <v>2163</v>
      </c>
      <c r="B2127" s="4">
        <v>35</v>
      </c>
      <c r="C2127" t="s">
        <v>11</v>
      </c>
      <c r="D2127" t="s">
        <v>26</v>
      </c>
      <c r="E2127" t="s">
        <v>65</v>
      </c>
      <c r="F2127" t="s">
        <v>20</v>
      </c>
      <c r="G2127" s="4">
        <v>14</v>
      </c>
      <c r="H2127" s="1">
        <v>44773</v>
      </c>
      <c r="I2127" s="3" t="s">
        <v>15</v>
      </c>
      <c r="J2127" s="4">
        <v>2</v>
      </c>
    </row>
    <row r="2128" spans="1:10" x14ac:dyDescent="0.35">
      <c r="A2128" s="2" t="s">
        <v>2164</v>
      </c>
      <c r="B2128" s="4">
        <v>90</v>
      </c>
      <c r="C2128" t="s">
        <v>11</v>
      </c>
      <c r="D2128" t="s">
        <v>18</v>
      </c>
      <c r="E2128" t="s">
        <v>37</v>
      </c>
      <c r="F2128" t="s">
        <v>20</v>
      </c>
      <c r="G2128" s="4">
        <v>5</v>
      </c>
      <c r="H2128" s="1">
        <v>60257</v>
      </c>
      <c r="I2128" s="3" t="s">
        <v>21</v>
      </c>
      <c r="J2128" s="4">
        <v>2</v>
      </c>
    </row>
    <row r="2129" spans="1:10" x14ac:dyDescent="0.35">
      <c r="A2129" s="2" t="s">
        <v>2165</v>
      </c>
      <c r="B2129" s="4">
        <v>54</v>
      </c>
      <c r="C2129" t="s">
        <v>17</v>
      </c>
      <c r="D2129" t="s">
        <v>49</v>
      </c>
      <c r="E2129" t="s">
        <v>37</v>
      </c>
      <c r="F2129" t="s">
        <v>20</v>
      </c>
      <c r="G2129" s="4">
        <v>1</v>
      </c>
      <c r="H2129" s="1">
        <v>11623</v>
      </c>
      <c r="I2129" s="3" t="s">
        <v>15</v>
      </c>
      <c r="J2129" s="4">
        <v>2</v>
      </c>
    </row>
    <row r="2130" spans="1:10" x14ac:dyDescent="0.35">
      <c r="A2130" s="2" t="s">
        <v>2166</v>
      </c>
      <c r="B2130" s="4">
        <v>87</v>
      </c>
      <c r="C2130" t="s">
        <v>17</v>
      </c>
      <c r="D2130" t="s">
        <v>39</v>
      </c>
      <c r="E2130" t="s">
        <v>34</v>
      </c>
      <c r="F2130" t="s">
        <v>30</v>
      </c>
      <c r="G2130" s="4">
        <v>6</v>
      </c>
      <c r="H2130" s="1">
        <v>95490</v>
      </c>
      <c r="I2130" s="3" t="s">
        <v>15</v>
      </c>
      <c r="J2130" s="4">
        <v>4</v>
      </c>
    </row>
    <row r="2131" spans="1:10" x14ac:dyDescent="0.35">
      <c r="A2131" s="2" t="s">
        <v>2167</v>
      </c>
      <c r="B2131" s="4">
        <v>9</v>
      </c>
      <c r="C2131" t="s">
        <v>17</v>
      </c>
      <c r="D2131" t="s">
        <v>36</v>
      </c>
      <c r="E2131" t="s">
        <v>19</v>
      </c>
      <c r="F2131" t="s">
        <v>14</v>
      </c>
      <c r="G2131" s="4">
        <v>5</v>
      </c>
      <c r="H2131" s="1">
        <v>86183</v>
      </c>
      <c r="I2131" s="3" t="s">
        <v>15</v>
      </c>
      <c r="J2131" s="4">
        <v>4</v>
      </c>
    </row>
    <row r="2132" spans="1:10" x14ac:dyDescent="0.35">
      <c r="A2132" s="2" t="s">
        <v>2168</v>
      </c>
      <c r="B2132" s="4">
        <v>77</v>
      </c>
      <c r="C2132" t="s">
        <v>11</v>
      </c>
      <c r="D2132" t="s">
        <v>28</v>
      </c>
      <c r="E2132" t="s">
        <v>65</v>
      </c>
      <c r="F2132" t="s">
        <v>20</v>
      </c>
      <c r="G2132" s="4">
        <v>6</v>
      </c>
      <c r="H2132" s="1">
        <v>43201</v>
      </c>
      <c r="I2132" s="3" t="s">
        <v>21</v>
      </c>
      <c r="J2132" s="4">
        <v>4</v>
      </c>
    </row>
    <row r="2133" spans="1:10" x14ac:dyDescent="0.35">
      <c r="A2133" s="2" t="s">
        <v>2169</v>
      </c>
      <c r="B2133" s="4">
        <v>29</v>
      </c>
      <c r="C2133" t="s">
        <v>11</v>
      </c>
      <c r="D2133" t="s">
        <v>12</v>
      </c>
      <c r="E2133" t="s">
        <v>27</v>
      </c>
      <c r="F2133" t="s">
        <v>30</v>
      </c>
      <c r="G2133" s="4">
        <v>12</v>
      </c>
      <c r="H2133" s="1">
        <v>39150</v>
      </c>
      <c r="I2133" s="3" t="s">
        <v>21</v>
      </c>
      <c r="J2133" s="4">
        <v>5</v>
      </c>
    </row>
    <row r="2134" spans="1:10" x14ac:dyDescent="0.35">
      <c r="A2134" s="2" t="s">
        <v>2170</v>
      </c>
      <c r="B2134" s="4">
        <v>89</v>
      </c>
      <c r="C2134" t="s">
        <v>17</v>
      </c>
      <c r="D2134" t="s">
        <v>18</v>
      </c>
      <c r="E2134" t="s">
        <v>53</v>
      </c>
      <c r="F2134" t="s">
        <v>14</v>
      </c>
      <c r="G2134" s="4">
        <v>3</v>
      </c>
      <c r="H2134" s="1">
        <v>43814</v>
      </c>
      <c r="I2134" s="3" t="s">
        <v>15</v>
      </c>
      <c r="J2134" s="4">
        <v>1</v>
      </c>
    </row>
    <row r="2135" spans="1:10" x14ac:dyDescent="0.35">
      <c r="A2135" s="2" t="s">
        <v>2171</v>
      </c>
      <c r="B2135" s="4">
        <v>74</v>
      </c>
      <c r="C2135" t="s">
        <v>17</v>
      </c>
      <c r="D2135" t="s">
        <v>28</v>
      </c>
      <c r="E2135" t="s">
        <v>29</v>
      </c>
      <c r="F2135" t="s">
        <v>14</v>
      </c>
      <c r="G2135" s="4">
        <v>11</v>
      </c>
      <c r="H2135" s="1">
        <v>14839</v>
      </c>
      <c r="I2135" s="3" t="s">
        <v>15</v>
      </c>
      <c r="J2135" s="4">
        <v>2</v>
      </c>
    </row>
    <row r="2136" spans="1:10" x14ac:dyDescent="0.35">
      <c r="A2136" s="2" t="s">
        <v>2172</v>
      </c>
      <c r="B2136" s="4">
        <v>2</v>
      </c>
      <c r="C2136" t="s">
        <v>17</v>
      </c>
      <c r="D2136" t="s">
        <v>33</v>
      </c>
      <c r="E2136" t="s">
        <v>19</v>
      </c>
      <c r="F2136" t="s">
        <v>20</v>
      </c>
      <c r="G2136" s="4">
        <v>8</v>
      </c>
      <c r="H2136" s="1">
        <v>91722</v>
      </c>
      <c r="I2136" s="3" t="s">
        <v>15</v>
      </c>
      <c r="J2136" s="4">
        <v>1</v>
      </c>
    </row>
    <row r="2137" spans="1:10" x14ac:dyDescent="0.35">
      <c r="A2137" s="2" t="s">
        <v>2173</v>
      </c>
      <c r="B2137" s="4">
        <v>68</v>
      </c>
      <c r="C2137" t="s">
        <v>11</v>
      </c>
      <c r="D2137" t="s">
        <v>39</v>
      </c>
      <c r="E2137" t="s">
        <v>24</v>
      </c>
      <c r="F2137" t="s">
        <v>14</v>
      </c>
      <c r="G2137" s="4">
        <v>12</v>
      </c>
      <c r="H2137" s="1">
        <v>41201</v>
      </c>
      <c r="I2137" s="3" t="s">
        <v>21</v>
      </c>
      <c r="J2137" s="4">
        <v>4</v>
      </c>
    </row>
    <row r="2138" spans="1:10" x14ac:dyDescent="0.35">
      <c r="A2138" s="2" t="s">
        <v>2174</v>
      </c>
      <c r="B2138" s="4">
        <v>43</v>
      </c>
      <c r="C2138" t="s">
        <v>11</v>
      </c>
      <c r="D2138" t="s">
        <v>49</v>
      </c>
      <c r="E2138" t="s">
        <v>24</v>
      </c>
      <c r="F2138" t="s">
        <v>14</v>
      </c>
      <c r="G2138" s="4">
        <v>6</v>
      </c>
      <c r="H2138" s="1">
        <v>67277</v>
      </c>
      <c r="I2138" s="3" t="s">
        <v>21</v>
      </c>
      <c r="J2138" s="4">
        <v>2</v>
      </c>
    </row>
    <row r="2139" spans="1:10" x14ac:dyDescent="0.35">
      <c r="A2139" s="2" t="s">
        <v>2175</v>
      </c>
      <c r="B2139" s="4">
        <v>22</v>
      </c>
      <c r="C2139" t="s">
        <v>17</v>
      </c>
      <c r="D2139" t="s">
        <v>26</v>
      </c>
      <c r="E2139" t="s">
        <v>24</v>
      </c>
      <c r="F2139" t="s">
        <v>20</v>
      </c>
      <c r="G2139" s="4">
        <v>1</v>
      </c>
      <c r="H2139" s="1">
        <v>78729</v>
      </c>
      <c r="I2139" s="3" t="s">
        <v>15</v>
      </c>
      <c r="J2139" s="4">
        <v>5</v>
      </c>
    </row>
    <row r="2140" spans="1:10" x14ac:dyDescent="0.35">
      <c r="A2140" s="2" t="s">
        <v>2176</v>
      </c>
      <c r="B2140" s="4">
        <v>69</v>
      </c>
      <c r="C2140" t="s">
        <v>11</v>
      </c>
      <c r="D2140" t="s">
        <v>39</v>
      </c>
      <c r="E2140" t="s">
        <v>29</v>
      </c>
      <c r="F2140" t="s">
        <v>14</v>
      </c>
      <c r="G2140" s="4">
        <v>2</v>
      </c>
      <c r="H2140" s="1">
        <v>52281</v>
      </c>
      <c r="I2140" s="3" t="s">
        <v>15</v>
      </c>
      <c r="J2140" s="4">
        <v>2</v>
      </c>
    </row>
    <row r="2141" spans="1:10" x14ac:dyDescent="0.35">
      <c r="A2141" s="2" t="s">
        <v>2177</v>
      </c>
      <c r="B2141" s="4">
        <v>57</v>
      </c>
      <c r="C2141" t="s">
        <v>17</v>
      </c>
      <c r="D2141" t="s">
        <v>26</v>
      </c>
      <c r="E2141" t="s">
        <v>37</v>
      </c>
      <c r="F2141" t="s">
        <v>30</v>
      </c>
      <c r="G2141" s="4">
        <v>10</v>
      </c>
      <c r="H2141" s="1">
        <v>98923</v>
      </c>
      <c r="I2141" s="3" t="s">
        <v>21</v>
      </c>
      <c r="J2141" s="4">
        <v>5</v>
      </c>
    </row>
    <row r="2142" spans="1:10" x14ac:dyDescent="0.35">
      <c r="A2142" s="2" t="s">
        <v>2178</v>
      </c>
      <c r="B2142" s="4">
        <v>13</v>
      </c>
      <c r="C2142" t="s">
        <v>11</v>
      </c>
      <c r="D2142" t="s">
        <v>39</v>
      </c>
      <c r="E2142" t="s">
        <v>34</v>
      </c>
      <c r="F2142" t="s">
        <v>20</v>
      </c>
      <c r="G2142" s="4">
        <v>12</v>
      </c>
      <c r="H2142" s="1">
        <v>57463</v>
      </c>
      <c r="I2142" s="3" t="s">
        <v>21</v>
      </c>
      <c r="J2142" s="4">
        <v>1</v>
      </c>
    </row>
    <row r="2143" spans="1:10" x14ac:dyDescent="0.35">
      <c r="A2143" s="2" t="s">
        <v>2179</v>
      </c>
      <c r="B2143" s="4">
        <v>9</v>
      </c>
      <c r="C2143" t="s">
        <v>11</v>
      </c>
      <c r="D2143" t="s">
        <v>26</v>
      </c>
      <c r="E2143" t="s">
        <v>53</v>
      </c>
      <c r="F2143" t="s">
        <v>14</v>
      </c>
      <c r="G2143" s="4">
        <v>5</v>
      </c>
      <c r="H2143" s="1">
        <v>42854</v>
      </c>
      <c r="I2143" s="3" t="s">
        <v>15</v>
      </c>
      <c r="J2143" s="4">
        <v>1</v>
      </c>
    </row>
    <row r="2144" spans="1:10" x14ac:dyDescent="0.35">
      <c r="A2144" s="2" t="s">
        <v>2180</v>
      </c>
      <c r="B2144" s="4">
        <v>87</v>
      </c>
      <c r="C2144" t="s">
        <v>17</v>
      </c>
      <c r="D2144" t="s">
        <v>39</v>
      </c>
      <c r="E2144" t="s">
        <v>34</v>
      </c>
      <c r="F2144" t="s">
        <v>20</v>
      </c>
      <c r="G2144" s="4">
        <v>5</v>
      </c>
      <c r="H2144" s="1">
        <v>66533</v>
      </c>
      <c r="I2144" s="3" t="s">
        <v>21</v>
      </c>
      <c r="J2144" s="4">
        <v>1</v>
      </c>
    </row>
    <row r="2145" spans="1:10" x14ac:dyDescent="0.35">
      <c r="A2145" s="2" t="s">
        <v>2181</v>
      </c>
      <c r="B2145" s="4">
        <v>79</v>
      </c>
      <c r="C2145" t="s">
        <v>17</v>
      </c>
      <c r="D2145" t="s">
        <v>28</v>
      </c>
      <c r="E2145" t="s">
        <v>34</v>
      </c>
      <c r="F2145" t="s">
        <v>14</v>
      </c>
      <c r="G2145" s="4">
        <v>11</v>
      </c>
      <c r="H2145" s="1">
        <v>48193</v>
      </c>
      <c r="I2145" s="3" t="s">
        <v>15</v>
      </c>
      <c r="J2145" s="4">
        <v>1</v>
      </c>
    </row>
    <row r="2146" spans="1:10" x14ac:dyDescent="0.35">
      <c r="A2146" s="2" t="s">
        <v>2182</v>
      </c>
      <c r="B2146" s="4">
        <v>57</v>
      </c>
      <c r="C2146" t="s">
        <v>17</v>
      </c>
      <c r="D2146" t="s">
        <v>33</v>
      </c>
      <c r="E2146" t="s">
        <v>65</v>
      </c>
      <c r="F2146" t="s">
        <v>30</v>
      </c>
      <c r="G2146" s="4">
        <v>11</v>
      </c>
      <c r="H2146" s="1">
        <v>41251</v>
      </c>
      <c r="I2146" s="3" t="s">
        <v>15</v>
      </c>
      <c r="J2146" s="4">
        <v>5</v>
      </c>
    </row>
    <row r="2147" spans="1:10" x14ac:dyDescent="0.35">
      <c r="A2147" s="2" t="s">
        <v>2183</v>
      </c>
      <c r="B2147" s="4">
        <v>31</v>
      </c>
      <c r="C2147" t="s">
        <v>17</v>
      </c>
      <c r="D2147" t="s">
        <v>26</v>
      </c>
      <c r="E2147" t="s">
        <v>13</v>
      </c>
      <c r="F2147" t="s">
        <v>30</v>
      </c>
      <c r="G2147" s="4">
        <v>9</v>
      </c>
      <c r="H2147" s="1">
        <v>85177</v>
      </c>
      <c r="I2147" s="3" t="s">
        <v>15</v>
      </c>
      <c r="J2147" s="4">
        <v>2</v>
      </c>
    </row>
    <row r="2148" spans="1:10" x14ac:dyDescent="0.35">
      <c r="A2148" s="2" t="s">
        <v>2184</v>
      </c>
      <c r="B2148" s="4">
        <v>90</v>
      </c>
      <c r="C2148" t="s">
        <v>11</v>
      </c>
      <c r="D2148" t="s">
        <v>12</v>
      </c>
      <c r="E2148" t="s">
        <v>24</v>
      </c>
      <c r="F2148" t="s">
        <v>14</v>
      </c>
      <c r="G2148" s="4">
        <v>10</v>
      </c>
      <c r="H2148" s="1">
        <v>11075</v>
      </c>
      <c r="I2148" s="3" t="s">
        <v>15</v>
      </c>
      <c r="J2148" s="4">
        <v>2</v>
      </c>
    </row>
    <row r="2149" spans="1:10" x14ac:dyDescent="0.35">
      <c r="A2149" s="2" t="s">
        <v>2185</v>
      </c>
      <c r="B2149" s="4">
        <v>87</v>
      </c>
      <c r="C2149" t="s">
        <v>11</v>
      </c>
      <c r="D2149" t="s">
        <v>23</v>
      </c>
      <c r="E2149" t="s">
        <v>53</v>
      </c>
      <c r="F2149" t="s">
        <v>20</v>
      </c>
      <c r="G2149" s="4">
        <v>14</v>
      </c>
      <c r="H2149" s="1">
        <v>56145</v>
      </c>
      <c r="I2149" s="3" t="s">
        <v>15</v>
      </c>
      <c r="J2149" s="4">
        <v>2</v>
      </c>
    </row>
    <row r="2150" spans="1:10" x14ac:dyDescent="0.35">
      <c r="A2150" s="2" t="s">
        <v>2186</v>
      </c>
      <c r="B2150" s="4">
        <v>88</v>
      </c>
      <c r="C2150" t="s">
        <v>17</v>
      </c>
      <c r="D2150" t="s">
        <v>33</v>
      </c>
      <c r="E2150" t="s">
        <v>34</v>
      </c>
      <c r="F2150" t="s">
        <v>20</v>
      </c>
      <c r="G2150" s="4">
        <v>7</v>
      </c>
      <c r="H2150" s="1">
        <v>84537</v>
      </c>
      <c r="I2150" s="3" t="s">
        <v>15</v>
      </c>
      <c r="J2150" s="4">
        <v>2</v>
      </c>
    </row>
    <row r="2151" spans="1:10" x14ac:dyDescent="0.35">
      <c r="A2151" s="2" t="s">
        <v>2187</v>
      </c>
      <c r="B2151" s="4">
        <v>61</v>
      </c>
      <c r="C2151" t="s">
        <v>17</v>
      </c>
      <c r="D2151" t="s">
        <v>18</v>
      </c>
      <c r="E2151" t="s">
        <v>27</v>
      </c>
      <c r="F2151" t="s">
        <v>20</v>
      </c>
      <c r="G2151" s="4">
        <v>9</v>
      </c>
      <c r="H2151" s="1">
        <v>73290</v>
      </c>
      <c r="I2151" s="3" t="s">
        <v>21</v>
      </c>
      <c r="J2151" s="4">
        <v>2</v>
      </c>
    </row>
    <row r="2152" spans="1:10" x14ac:dyDescent="0.35">
      <c r="A2152" s="2" t="s">
        <v>2188</v>
      </c>
      <c r="B2152" s="4">
        <v>34</v>
      </c>
      <c r="C2152" t="s">
        <v>17</v>
      </c>
      <c r="D2152" t="s">
        <v>28</v>
      </c>
      <c r="E2152" t="s">
        <v>37</v>
      </c>
      <c r="F2152" t="s">
        <v>30</v>
      </c>
      <c r="G2152" s="4">
        <v>10</v>
      </c>
      <c r="H2152" s="1">
        <v>69823</v>
      </c>
      <c r="I2152" s="3" t="s">
        <v>15</v>
      </c>
      <c r="J2152" s="4">
        <v>4</v>
      </c>
    </row>
    <row r="2153" spans="1:10" x14ac:dyDescent="0.35">
      <c r="A2153" s="2" t="s">
        <v>2189</v>
      </c>
      <c r="B2153" s="4">
        <v>90</v>
      </c>
      <c r="C2153" t="s">
        <v>17</v>
      </c>
      <c r="D2153" t="s">
        <v>39</v>
      </c>
      <c r="E2153" t="s">
        <v>13</v>
      </c>
      <c r="F2153" t="s">
        <v>14</v>
      </c>
      <c r="G2153" s="4">
        <v>10</v>
      </c>
      <c r="H2153" s="1">
        <v>75928</v>
      </c>
      <c r="I2153" s="3" t="s">
        <v>15</v>
      </c>
      <c r="J2153" s="4">
        <v>2</v>
      </c>
    </row>
    <row r="2154" spans="1:10" x14ac:dyDescent="0.35">
      <c r="A2154" s="2" t="s">
        <v>2190</v>
      </c>
      <c r="B2154" s="4">
        <v>5</v>
      </c>
      <c r="C2154" t="s">
        <v>17</v>
      </c>
      <c r="D2154" t="s">
        <v>28</v>
      </c>
      <c r="E2154" t="s">
        <v>65</v>
      </c>
      <c r="F2154" t="s">
        <v>20</v>
      </c>
      <c r="G2154" s="4">
        <v>3</v>
      </c>
      <c r="H2154" s="1">
        <v>71719</v>
      </c>
      <c r="I2154" s="3" t="s">
        <v>21</v>
      </c>
      <c r="J2154" s="4">
        <v>3</v>
      </c>
    </row>
    <row r="2155" spans="1:10" x14ac:dyDescent="0.35">
      <c r="A2155" s="2" t="s">
        <v>2191</v>
      </c>
      <c r="B2155" s="4">
        <v>58</v>
      </c>
      <c r="C2155" t="s">
        <v>17</v>
      </c>
      <c r="D2155" t="s">
        <v>41</v>
      </c>
      <c r="E2155" t="s">
        <v>42</v>
      </c>
      <c r="F2155" t="s">
        <v>30</v>
      </c>
      <c r="G2155" s="4">
        <v>9</v>
      </c>
      <c r="H2155" s="1">
        <v>69248</v>
      </c>
      <c r="I2155" s="3" t="s">
        <v>15</v>
      </c>
      <c r="J2155" s="4">
        <v>1</v>
      </c>
    </row>
    <row r="2156" spans="1:10" x14ac:dyDescent="0.35">
      <c r="A2156" s="2" t="s">
        <v>2192</v>
      </c>
      <c r="B2156" s="4">
        <v>72</v>
      </c>
      <c r="C2156" t="s">
        <v>11</v>
      </c>
      <c r="D2156" t="s">
        <v>26</v>
      </c>
      <c r="E2156" t="s">
        <v>24</v>
      </c>
      <c r="F2156" t="s">
        <v>14</v>
      </c>
      <c r="G2156" s="4">
        <v>9</v>
      </c>
      <c r="H2156" s="1">
        <v>45175</v>
      </c>
      <c r="I2156" s="3" t="s">
        <v>21</v>
      </c>
      <c r="J2156" s="4">
        <v>1</v>
      </c>
    </row>
    <row r="2157" spans="1:10" x14ac:dyDescent="0.35">
      <c r="A2157" s="2" t="s">
        <v>2193</v>
      </c>
      <c r="B2157" s="4">
        <v>9</v>
      </c>
      <c r="C2157" t="s">
        <v>11</v>
      </c>
      <c r="D2157" t="s">
        <v>23</v>
      </c>
      <c r="E2157" t="s">
        <v>34</v>
      </c>
      <c r="F2157" t="s">
        <v>14</v>
      </c>
      <c r="G2157" s="4">
        <v>11</v>
      </c>
      <c r="H2157" s="1">
        <v>12926</v>
      </c>
      <c r="I2157" s="3" t="s">
        <v>21</v>
      </c>
      <c r="J2157" s="4">
        <v>4</v>
      </c>
    </row>
    <row r="2158" spans="1:10" x14ac:dyDescent="0.35">
      <c r="A2158" s="2" t="s">
        <v>2194</v>
      </c>
      <c r="B2158" s="4">
        <v>48</v>
      </c>
      <c r="C2158" t="s">
        <v>11</v>
      </c>
      <c r="D2158" t="s">
        <v>33</v>
      </c>
      <c r="E2158" t="s">
        <v>24</v>
      </c>
      <c r="F2158" t="s">
        <v>30</v>
      </c>
      <c r="G2158" s="4">
        <v>1</v>
      </c>
      <c r="H2158" s="1">
        <v>60426</v>
      </c>
      <c r="I2158" s="3" t="s">
        <v>21</v>
      </c>
      <c r="J2158" s="4">
        <v>4</v>
      </c>
    </row>
    <row r="2159" spans="1:10" x14ac:dyDescent="0.35">
      <c r="A2159" s="2" t="s">
        <v>2195</v>
      </c>
      <c r="B2159" s="4">
        <v>78</v>
      </c>
      <c r="C2159" t="s">
        <v>11</v>
      </c>
      <c r="D2159" t="s">
        <v>23</v>
      </c>
      <c r="E2159" t="s">
        <v>24</v>
      </c>
      <c r="F2159" t="s">
        <v>30</v>
      </c>
      <c r="G2159" s="4">
        <v>15</v>
      </c>
      <c r="H2159" s="1">
        <v>96710</v>
      </c>
      <c r="I2159" s="3" t="s">
        <v>15</v>
      </c>
      <c r="J2159" s="4">
        <v>4</v>
      </c>
    </row>
    <row r="2160" spans="1:10" x14ac:dyDescent="0.35">
      <c r="A2160" s="2" t="s">
        <v>2196</v>
      </c>
      <c r="B2160" s="4">
        <v>20</v>
      </c>
      <c r="C2160" t="s">
        <v>11</v>
      </c>
      <c r="D2160" t="s">
        <v>39</v>
      </c>
      <c r="E2160" t="s">
        <v>65</v>
      </c>
      <c r="F2160" t="s">
        <v>14</v>
      </c>
      <c r="G2160" s="4">
        <v>2</v>
      </c>
      <c r="H2160" s="1">
        <v>29319</v>
      </c>
      <c r="I2160" s="3" t="s">
        <v>15</v>
      </c>
      <c r="J2160" s="4">
        <v>1</v>
      </c>
    </row>
    <row r="2161" spans="1:10" x14ac:dyDescent="0.35">
      <c r="A2161" s="2" t="s">
        <v>2197</v>
      </c>
      <c r="B2161" s="4">
        <v>27</v>
      </c>
      <c r="C2161" t="s">
        <v>17</v>
      </c>
      <c r="D2161" t="s">
        <v>49</v>
      </c>
      <c r="E2161" t="s">
        <v>42</v>
      </c>
      <c r="F2161" t="s">
        <v>14</v>
      </c>
      <c r="G2161" s="4">
        <v>15</v>
      </c>
      <c r="H2161" s="1">
        <v>65021</v>
      </c>
      <c r="I2161" s="3" t="s">
        <v>15</v>
      </c>
      <c r="J2161" s="4">
        <v>1</v>
      </c>
    </row>
    <row r="2162" spans="1:10" x14ac:dyDescent="0.35">
      <c r="A2162" s="2" t="s">
        <v>2198</v>
      </c>
      <c r="B2162" s="4">
        <v>9</v>
      </c>
      <c r="C2162" t="s">
        <v>17</v>
      </c>
      <c r="D2162" t="s">
        <v>28</v>
      </c>
      <c r="E2162" t="s">
        <v>24</v>
      </c>
      <c r="F2162" t="s">
        <v>30</v>
      </c>
      <c r="G2162" s="4">
        <v>1</v>
      </c>
      <c r="H2162" s="1">
        <v>9383</v>
      </c>
      <c r="I2162" s="3" t="s">
        <v>15</v>
      </c>
      <c r="J2162" s="4">
        <v>4</v>
      </c>
    </row>
    <row r="2163" spans="1:10" x14ac:dyDescent="0.35">
      <c r="A2163" s="2" t="s">
        <v>2199</v>
      </c>
      <c r="B2163" s="4">
        <v>6</v>
      </c>
      <c r="C2163" t="s">
        <v>17</v>
      </c>
      <c r="D2163" t="s">
        <v>33</v>
      </c>
      <c r="E2163" t="s">
        <v>42</v>
      </c>
      <c r="F2163" t="s">
        <v>20</v>
      </c>
      <c r="G2163" s="4">
        <v>7</v>
      </c>
      <c r="H2163" s="1">
        <v>45046</v>
      </c>
      <c r="I2163" s="3" t="s">
        <v>15</v>
      </c>
      <c r="J2163" s="4">
        <v>4</v>
      </c>
    </row>
    <row r="2164" spans="1:10" x14ac:dyDescent="0.35">
      <c r="A2164" s="2" t="s">
        <v>2200</v>
      </c>
      <c r="B2164" s="4">
        <v>41</v>
      </c>
      <c r="C2164" t="s">
        <v>11</v>
      </c>
      <c r="D2164" t="s">
        <v>18</v>
      </c>
      <c r="E2164" t="s">
        <v>27</v>
      </c>
      <c r="F2164" t="s">
        <v>20</v>
      </c>
      <c r="G2164" s="4">
        <v>7</v>
      </c>
      <c r="H2164" s="1">
        <v>42446</v>
      </c>
      <c r="I2164" s="3" t="s">
        <v>15</v>
      </c>
      <c r="J2164" s="4">
        <v>2</v>
      </c>
    </row>
    <row r="2165" spans="1:10" x14ac:dyDescent="0.35">
      <c r="A2165" s="2" t="s">
        <v>2201</v>
      </c>
      <c r="B2165" s="4">
        <v>3</v>
      </c>
      <c r="C2165" t="s">
        <v>17</v>
      </c>
      <c r="D2165" t="s">
        <v>12</v>
      </c>
      <c r="E2165" t="s">
        <v>34</v>
      </c>
      <c r="F2165" t="s">
        <v>14</v>
      </c>
      <c r="G2165" s="4">
        <v>8</v>
      </c>
      <c r="H2165" s="1">
        <v>85105</v>
      </c>
      <c r="I2165" s="3" t="s">
        <v>15</v>
      </c>
      <c r="J2165" s="4">
        <v>2</v>
      </c>
    </row>
    <row r="2166" spans="1:10" x14ac:dyDescent="0.35">
      <c r="A2166" s="2" t="s">
        <v>2202</v>
      </c>
      <c r="B2166" s="4">
        <v>6</v>
      </c>
      <c r="C2166" t="s">
        <v>11</v>
      </c>
      <c r="D2166" t="s">
        <v>26</v>
      </c>
      <c r="E2166" t="s">
        <v>24</v>
      </c>
      <c r="F2166" t="s">
        <v>30</v>
      </c>
      <c r="G2166" s="4">
        <v>9</v>
      </c>
      <c r="H2166" s="1">
        <v>77298</v>
      </c>
      <c r="I2166" s="3" t="s">
        <v>15</v>
      </c>
      <c r="J2166" s="4">
        <v>5</v>
      </c>
    </row>
    <row r="2167" spans="1:10" x14ac:dyDescent="0.35">
      <c r="A2167" s="2" t="s">
        <v>2203</v>
      </c>
      <c r="B2167" s="4">
        <v>64</v>
      </c>
      <c r="C2167" t="s">
        <v>11</v>
      </c>
      <c r="D2167" t="s">
        <v>36</v>
      </c>
      <c r="E2167" t="s">
        <v>65</v>
      </c>
      <c r="F2167" t="s">
        <v>30</v>
      </c>
      <c r="G2167" s="4">
        <v>5</v>
      </c>
      <c r="H2167" s="1">
        <v>82854</v>
      </c>
      <c r="I2167" s="3" t="s">
        <v>15</v>
      </c>
      <c r="J2167" s="4">
        <v>1</v>
      </c>
    </row>
    <row r="2168" spans="1:10" x14ac:dyDescent="0.35">
      <c r="A2168" s="2" t="s">
        <v>2204</v>
      </c>
      <c r="B2168" s="4">
        <v>35</v>
      </c>
      <c r="C2168" t="s">
        <v>11</v>
      </c>
      <c r="D2168" t="s">
        <v>41</v>
      </c>
      <c r="E2168" t="s">
        <v>24</v>
      </c>
      <c r="F2168" t="s">
        <v>14</v>
      </c>
      <c r="G2168" s="4">
        <v>13</v>
      </c>
      <c r="H2168" s="1">
        <v>61039</v>
      </c>
      <c r="I2168" s="3" t="s">
        <v>21</v>
      </c>
      <c r="J2168" s="4">
        <v>1</v>
      </c>
    </row>
    <row r="2169" spans="1:10" x14ac:dyDescent="0.35">
      <c r="A2169" s="2" t="s">
        <v>2205</v>
      </c>
      <c r="B2169" s="4">
        <v>69</v>
      </c>
      <c r="C2169" t="s">
        <v>11</v>
      </c>
      <c r="D2169" t="s">
        <v>49</v>
      </c>
      <c r="E2169" t="s">
        <v>29</v>
      </c>
      <c r="F2169" t="s">
        <v>30</v>
      </c>
      <c r="G2169" s="4">
        <v>9</v>
      </c>
      <c r="H2169" s="1">
        <v>20461</v>
      </c>
      <c r="I2169" s="3" t="s">
        <v>15</v>
      </c>
      <c r="J2169" s="4">
        <v>5</v>
      </c>
    </row>
    <row r="2170" spans="1:10" x14ac:dyDescent="0.35">
      <c r="A2170" s="2" t="s">
        <v>2206</v>
      </c>
      <c r="B2170" s="4">
        <v>87</v>
      </c>
      <c r="C2170" t="s">
        <v>11</v>
      </c>
      <c r="D2170" t="s">
        <v>28</v>
      </c>
      <c r="E2170" t="s">
        <v>19</v>
      </c>
      <c r="F2170" t="s">
        <v>30</v>
      </c>
      <c r="G2170" s="4">
        <v>9</v>
      </c>
      <c r="H2170" s="1">
        <v>26714</v>
      </c>
      <c r="I2170" s="3" t="s">
        <v>15</v>
      </c>
      <c r="J2170" s="4">
        <v>5</v>
      </c>
    </row>
    <row r="2171" spans="1:10" x14ac:dyDescent="0.35">
      <c r="A2171" s="2" t="s">
        <v>2207</v>
      </c>
      <c r="B2171" s="4">
        <v>61</v>
      </c>
      <c r="C2171" t="s">
        <v>17</v>
      </c>
      <c r="D2171" t="s">
        <v>41</v>
      </c>
      <c r="E2171" t="s">
        <v>42</v>
      </c>
      <c r="F2171" t="s">
        <v>14</v>
      </c>
      <c r="G2171" s="4">
        <v>6</v>
      </c>
      <c r="H2171" s="1">
        <v>24175</v>
      </c>
      <c r="I2171" s="3" t="s">
        <v>15</v>
      </c>
      <c r="J2171" s="4">
        <v>4</v>
      </c>
    </row>
    <row r="2172" spans="1:10" x14ac:dyDescent="0.35">
      <c r="A2172" s="2" t="s">
        <v>2208</v>
      </c>
      <c r="B2172" s="4">
        <v>25</v>
      </c>
      <c r="C2172" t="s">
        <v>11</v>
      </c>
      <c r="D2172" t="s">
        <v>12</v>
      </c>
      <c r="E2172" t="s">
        <v>65</v>
      </c>
      <c r="F2172" t="s">
        <v>30</v>
      </c>
      <c r="G2172" s="4">
        <v>6</v>
      </c>
      <c r="H2172" s="1">
        <v>67426</v>
      </c>
      <c r="I2172" s="3" t="s">
        <v>15</v>
      </c>
      <c r="J2172" s="4">
        <v>2</v>
      </c>
    </row>
    <row r="2173" spans="1:10" x14ac:dyDescent="0.35">
      <c r="A2173" s="2" t="s">
        <v>2209</v>
      </c>
      <c r="B2173" s="4">
        <v>86</v>
      </c>
      <c r="C2173" t="s">
        <v>17</v>
      </c>
      <c r="D2173" t="s">
        <v>41</v>
      </c>
      <c r="E2173" t="s">
        <v>53</v>
      </c>
      <c r="F2173" t="s">
        <v>20</v>
      </c>
      <c r="G2173" s="4">
        <v>9</v>
      </c>
      <c r="H2173" s="1">
        <v>82278</v>
      </c>
      <c r="I2173" s="3" t="s">
        <v>21</v>
      </c>
      <c r="J2173" s="4">
        <v>5</v>
      </c>
    </row>
    <row r="2174" spans="1:10" x14ac:dyDescent="0.35">
      <c r="A2174" s="2" t="s">
        <v>2210</v>
      </c>
      <c r="B2174" s="4">
        <v>23</v>
      </c>
      <c r="C2174" t="s">
        <v>11</v>
      </c>
      <c r="D2174" t="s">
        <v>23</v>
      </c>
      <c r="E2174" t="s">
        <v>24</v>
      </c>
      <c r="F2174" t="s">
        <v>30</v>
      </c>
      <c r="G2174" s="4">
        <v>2</v>
      </c>
      <c r="H2174" s="1">
        <v>32301</v>
      </c>
      <c r="I2174" s="3" t="s">
        <v>21</v>
      </c>
      <c r="J2174" s="4">
        <v>4</v>
      </c>
    </row>
    <row r="2175" spans="1:10" x14ac:dyDescent="0.35">
      <c r="A2175" s="2" t="s">
        <v>2211</v>
      </c>
      <c r="B2175" s="4">
        <v>52</v>
      </c>
      <c r="C2175" t="s">
        <v>17</v>
      </c>
      <c r="D2175" t="s">
        <v>33</v>
      </c>
      <c r="E2175" t="s">
        <v>13</v>
      </c>
      <c r="F2175" t="s">
        <v>20</v>
      </c>
      <c r="G2175" s="4">
        <v>13</v>
      </c>
      <c r="H2175" s="1">
        <v>59658</v>
      </c>
      <c r="I2175" s="3" t="s">
        <v>21</v>
      </c>
      <c r="J2175" s="4">
        <v>4</v>
      </c>
    </row>
    <row r="2176" spans="1:10" x14ac:dyDescent="0.35">
      <c r="A2176" s="2" t="s">
        <v>2212</v>
      </c>
      <c r="B2176" s="4">
        <v>14</v>
      </c>
      <c r="C2176" t="s">
        <v>11</v>
      </c>
      <c r="D2176" t="s">
        <v>36</v>
      </c>
      <c r="E2176" t="s">
        <v>29</v>
      </c>
      <c r="F2176" t="s">
        <v>14</v>
      </c>
      <c r="G2176" s="4">
        <v>14</v>
      </c>
      <c r="H2176" s="1">
        <v>63631</v>
      </c>
      <c r="I2176" s="3" t="s">
        <v>21</v>
      </c>
      <c r="J2176" s="4">
        <v>4</v>
      </c>
    </row>
    <row r="2177" spans="1:10" x14ac:dyDescent="0.35">
      <c r="A2177" s="2" t="s">
        <v>2213</v>
      </c>
      <c r="B2177" s="4">
        <v>9</v>
      </c>
      <c r="C2177" t="s">
        <v>11</v>
      </c>
      <c r="D2177" t="s">
        <v>36</v>
      </c>
      <c r="E2177" t="s">
        <v>24</v>
      </c>
      <c r="F2177" t="s">
        <v>30</v>
      </c>
      <c r="G2177" s="4">
        <v>14</v>
      </c>
      <c r="H2177" s="1">
        <v>42634</v>
      </c>
      <c r="I2177" s="3" t="s">
        <v>21</v>
      </c>
      <c r="J2177" s="4">
        <v>2</v>
      </c>
    </row>
    <row r="2178" spans="1:10" x14ac:dyDescent="0.35">
      <c r="A2178" s="2" t="s">
        <v>2214</v>
      </c>
      <c r="B2178" s="4">
        <v>54</v>
      </c>
      <c r="C2178" t="s">
        <v>17</v>
      </c>
      <c r="D2178" t="s">
        <v>18</v>
      </c>
      <c r="E2178" t="s">
        <v>24</v>
      </c>
      <c r="F2178" t="s">
        <v>20</v>
      </c>
      <c r="G2178" s="4">
        <v>8</v>
      </c>
      <c r="H2178" s="1">
        <v>52342</v>
      </c>
      <c r="I2178" s="3" t="s">
        <v>15</v>
      </c>
      <c r="J2178" s="4">
        <v>2</v>
      </c>
    </row>
    <row r="2179" spans="1:10" x14ac:dyDescent="0.35">
      <c r="A2179" s="2" t="s">
        <v>2215</v>
      </c>
      <c r="B2179" s="4">
        <v>86</v>
      </c>
      <c r="C2179" t="s">
        <v>17</v>
      </c>
      <c r="D2179" t="s">
        <v>36</v>
      </c>
      <c r="E2179" t="s">
        <v>19</v>
      </c>
      <c r="F2179" t="s">
        <v>14</v>
      </c>
      <c r="G2179" s="4">
        <v>13</v>
      </c>
      <c r="H2179" s="1">
        <v>44474</v>
      </c>
      <c r="I2179" s="3" t="s">
        <v>15</v>
      </c>
      <c r="J2179" s="4">
        <v>5</v>
      </c>
    </row>
    <row r="2180" spans="1:10" x14ac:dyDescent="0.35">
      <c r="A2180" s="2" t="s">
        <v>2216</v>
      </c>
      <c r="B2180" s="4">
        <v>42</v>
      </c>
      <c r="C2180" t="s">
        <v>11</v>
      </c>
      <c r="D2180" t="s">
        <v>12</v>
      </c>
      <c r="E2180" t="s">
        <v>65</v>
      </c>
      <c r="F2180" t="s">
        <v>14</v>
      </c>
      <c r="G2180" s="4">
        <v>11</v>
      </c>
      <c r="H2180" s="1">
        <v>70762</v>
      </c>
      <c r="I2180" s="3" t="s">
        <v>21</v>
      </c>
      <c r="J2180" s="4">
        <v>5</v>
      </c>
    </row>
    <row r="2181" spans="1:10" x14ac:dyDescent="0.35">
      <c r="A2181" s="2" t="s">
        <v>2217</v>
      </c>
      <c r="B2181" s="4">
        <v>54</v>
      </c>
      <c r="C2181" t="s">
        <v>11</v>
      </c>
      <c r="D2181" t="s">
        <v>28</v>
      </c>
      <c r="E2181" t="s">
        <v>29</v>
      </c>
      <c r="F2181" t="s">
        <v>30</v>
      </c>
      <c r="G2181" s="4">
        <v>12</v>
      </c>
      <c r="H2181" s="1">
        <v>21607</v>
      </c>
      <c r="I2181" s="3" t="s">
        <v>21</v>
      </c>
      <c r="J2181" s="4">
        <v>2</v>
      </c>
    </row>
    <row r="2182" spans="1:10" x14ac:dyDescent="0.35">
      <c r="A2182" s="2" t="s">
        <v>2218</v>
      </c>
      <c r="B2182" s="4">
        <v>46</v>
      </c>
      <c r="C2182" t="s">
        <v>17</v>
      </c>
      <c r="D2182" t="s">
        <v>49</v>
      </c>
      <c r="E2182" t="s">
        <v>19</v>
      </c>
      <c r="F2182" t="s">
        <v>30</v>
      </c>
      <c r="G2182" s="4">
        <v>6</v>
      </c>
      <c r="H2182" s="1">
        <v>42802</v>
      </c>
      <c r="I2182" s="3" t="s">
        <v>15</v>
      </c>
      <c r="J2182" s="4">
        <v>5</v>
      </c>
    </row>
    <row r="2183" spans="1:10" x14ac:dyDescent="0.35">
      <c r="A2183" s="2" t="s">
        <v>2219</v>
      </c>
      <c r="B2183" s="4">
        <v>3</v>
      </c>
      <c r="C2183" t="s">
        <v>11</v>
      </c>
      <c r="D2183" t="s">
        <v>33</v>
      </c>
      <c r="E2183" t="s">
        <v>13</v>
      </c>
      <c r="F2183" t="s">
        <v>30</v>
      </c>
      <c r="G2183" s="4">
        <v>14</v>
      </c>
      <c r="H2183" s="1">
        <v>97377</v>
      </c>
      <c r="I2183" s="3" t="s">
        <v>21</v>
      </c>
      <c r="J2183" s="4">
        <v>1</v>
      </c>
    </row>
    <row r="2184" spans="1:10" x14ac:dyDescent="0.35">
      <c r="A2184" s="2" t="s">
        <v>2220</v>
      </c>
      <c r="B2184" s="4">
        <v>5</v>
      </c>
      <c r="C2184" t="s">
        <v>17</v>
      </c>
      <c r="D2184" t="s">
        <v>12</v>
      </c>
      <c r="E2184" t="s">
        <v>42</v>
      </c>
      <c r="F2184" t="s">
        <v>30</v>
      </c>
      <c r="G2184" s="4">
        <v>5</v>
      </c>
      <c r="H2184" s="1">
        <v>35329</v>
      </c>
      <c r="I2184" s="3" t="s">
        <v>15</v>
      </c>
      <c r="J2184" s="4">
        <v>1</v>
      </c>
    </row>
    <row r="2185" spans="1:10" x14ac:dyDescent="0.35">
      <c r="A2185" s="2" t="s">
        <v>2221</v>
      </c>
      <c r="B2185" s="4">
        <v>39</v>
      </c>
      <c r="C2185" t="s">
        <v>11</v>
      </c>
      <c r="D2185" t="s">
        <v>36</v>
      </c>
      <c r="E2185" t="s">
        <v>19</v>
      </c>
      <c r="F2185" t="s">
        <v>20</v>
      </c>
      <c r="G2185" s="4">
        <v>9</v>
      </c>
      <c r="H2185" s="1">
        <v>71044</v>
      </c>
      <c r="I2185" s="3" t="s">
        <v>21</v>
      </c>
      <c r="J2185" s="4">
        <v>5</v>
      </c>
    </row>
    <row r="2186" spans="1:10" x14ac:dyDescent="0.35">
      <c r="A2186" s="2" t="s">
        <v>2222</v>
      </c>
      <c r="B2186" s="4">
        <v>15</v>
      </c>
      <c r="C2186" t="s">
        <v>11</v>
      </c>
      <c r="D2186" t="s">
        <v>41</v>
      </c>
      <c r="E2186" t="s">
        <v>53</v>
      </c>
      <c r="F2186" t="s">
        <v>30</v>
      </c>
      <c r="G2186" s="4">
        <v>15</v>
      </c>
      <c r="H2186" s="1">
        <v>36961</v>
      </c>
      <c r="I2186" s="3" t="s">
        <v>15</v>
      </c>
      <c r="J2186" s="4">
        <v>2</v>
      </c>
    </row>
    <row r="2187" spans="1:10" x14ac:dyDescent="0.35">
      <c r="A2187" s="2" t="s">
        <v>2223</v>
      </c>
      <c r="B2187" s="4">
        <v>70</v>
      </c>
      <c r="C2187" t="s">
        <v>11</v>
      </c>
      <c r="D2187" t="s">
        <v>18</v>
      </c>
      <c r="E2187" t="s">
        <v>24</v>
      </c>
      <c r="F2187" t="s">
        <v>30</v>
      </c>
      <c r="G2187" s="4">
        <v>6</v>
      </c>
      <c r="H2187" s="1">
        <v>13572</v>
      </c>
      <c r="I2187" s="3" t="s">
        <v>15</v>
      </c>
      <c r="J2187" s="4">
        <v>1</v>
      </c>
    </row>
    <row r="2188" spans="1:10" x14ac:dyDescent="0.35">
      <c r="A2188" s="2" t="s">
        <v>2224</v>
      </c>
      <c r="B2188" s="4">
        <v>48</v>
      </c>
      <c r="C2188" t="s">
        <v>17</v>
      </c>
      <c r="D2188" t="s">
        <v>39</v>
      </c>
      <c r="E2188" t="s">
        <v>42</v>
      </c>
      <c r="F2188" t="s">
        <v>20</v>
      </c>
      <c r="G2188" s="4">
        <v>1</v>
      </c>
      <c r="H2188" s="1">
        <v>62847</v>
      </c>
      <c r="I2188" s="3" t="s">
        <v>15</v>
      </c>
      <c r="J2188" s="4">
        <v>5</v>
      </c>
    </row>
    <row r="2189" spans="1:10" x14ac:dyDescent="0.35">
      <c r="A2189" s="2" t="s">
        <v>2225</v>
      </c>
      <c r="B2189" s="4">
        <v>83</v>
      </c>
      <c r="C2189" t="s">
        <v>11</v>
      </c>
      <c r="D2189" t="s">
        <v>41</v>
      </c>
      <c r="E2189" t="s">
        <v>24</v>
      </c>
      <c r="F2189" t="s">
        <v>14</v>
      </c>
      <c r="G2189" s="4">
        <v>3</v>
      </c>
      <c r="H2189" s="1">
        <v>91354</v>
      </c>
      <c r="I2189" s="3" t="s">
        <v>21</v>
      </c>
      <c r="J2189" s="4">
        <v>1</v>
      </c>
    </row>
    <row r="2190" spans="1:10" x14ac:dyDescent="0.35">
      <c r="A2190" s="2" t="s">
        <v>2226</v>
      </c>
      <c r="B2190" s="4">
        <v>40</v>
      </c>
      <c r="C2190" t="s">
        <v>17</v>
      </c>
      <c r="D2190" t="s">
        <v>41</v>
      </c>
      <c r="E2190" t="s">
        <v>13</v>
      </c>
      <c r="F2190" t="s">
        <v>30</v>
      </c>
      <c r="G2190" s="4">
        <v>7</v>
      </c>
      <c r="H2190" s="1">
        <v>14639</v>
      </c>
      <c r="I2190" s="3" t="s">
        <v>21</v>
      </c>
      <c r="J2190" s="4">
        <v>3</v>
      </c>
    </row>
    <row r="2191" spans="1:10" x14ac:dyDescent="0.35">
      <c r="A2191" s="2" t="s">
        <v>2227</v>
      </c>
      <c r="B2191" s="4">
        <v>34</v>
      </c>
      <c r="C2191" t="s">
        <v>11</v>
      </c>
      <c r="D2191" t="s">
        <v>39</v>
      </c>
      <c r="E2191" t="s">
        <v>13</v>
      </c>
      <c r="F2191" t="s">
        <v>14</v>
      </c>
      <c r="G2191" s="4">
        <v>7</v>
      </c>
      <c r="H2191" s="1">
        <v>95975</v>
      </c>
      <c r="I2191" s="3" t="s">
        <v>21</v>
      </c>
      <c r="J2191" s="4">
        <v>3</v>
      </c>
    </row>
    <row r="2192" spans="1:10" x14ac:dyDescent="0.35">
      <c r="A2192" s="2" t="s">
        <v>2228</v>
      </c>
      <c r="B2192" s="4">
        <v>38</v>
      </c>
      <c r="C2192" t="s">
        <v>11</v>
      </c>
      <c r="D2192" t="s">
        <v>41</v>
      </c>
      <c r="E2192" t="s">
        <v>27</v>
      </c>
      <c r="F2192" t="s">
        <v>14</v>
      </c>
      <c r="G2192" s="4">
        <v>7</v>
      </c>
      <c r="H2192" s="1">
        <v>88955</v>
      </c>
      <c r="I2192" s="3" t="s">
        <v>21</v>
      </c>
      <c r="J2192" s="4">
        <v>3</v>
      </c>
    </row>
    <row r="2193" spans="1:10" x14ac:dyDescent="0.35">
      <c r="A2193" s="2" t="s">
        <v>2229</v>
      </c>
      <c r="B2193" s="4">
        <v>13</v>
      </c>
      <c r="C2193" t="s">
        <v>11</v>
      </c>
      <c r="D2193" t="s">
        <v>26</v>
      </c>
      <c r="E2193" t="s">
        <v>24</v>
      </c>
      <c r="F2193" t="s">
        <v>30</v>
      </c>
      <c r="G2193" s="4">
        <v>15</v>
      </c>
      <c r="H2193" s="1">
        <v>15652</v>
      </c>
      <c r="I2193" s="3" t="s">
        <v>15</v>
      </c>
      <c r="J2193" s="4">
        <v>4</v>
      </c>
    </row>
    <row r="2194" spans="1:10" x14ac:dyDescent="0.35">
      <c r="A2194" s="2" t="s">
        <v>2230</v>
      </c>
      <c r="B2194" s="4">
        <v>25</v>
      </c>
      <c r="C2194" t="s">
        <v>11</v>
      </c>
      <c r="D2194" t="s">
        <v>36</v>
      </c>
      <c r="E2194" t="s">
        <v>27</v>
      </c>
      <c r="F2194" t="s">
        <v>14</v>
      </c>
      <c r="G2194" s="4">
        <v>12</v>
      </c>
      <c r="H2194" s="1">
        <v>25398</v>
      </c>
      <c r="I2194" s="3" t="s">
        <v>15</v>
      </c>
      <c r="J2194" s="4">
        <v>2</v>
      </c>
    </row>
    <row r="2195" spans="1:10" x14ac:dyDescent="0.35">
      <c r="A2195" s="2" t="s">
        <v>2231</v>
      </c>
      <c r="B2195" s="4">
        <v>20</v>
      </c>
      <c r="C2195" t="s">
        <v>11</v>
      </c>
      <c r="D2195" t="s">
        <v>12</v>
      </c>
      <c r="E2195" t="s">
        <v>29</v>
      </c>
      <c r="F2195" t="s">
        <v>20</v>
      </c>
      <c r="G2195" s="4">
        <v>7</v>
      </c>
      <c r="H2195" s="1">
        <v>98955</v>
      </c>
      <c r="I2195" s="3" t="s">
        <v>21</v>
      </c>
      <c r="J2195" s="4">
        <v>2</v>
      </c>
    </row>
    <row r="2196" spans="1:10" x14ac:dyDescent="0.35">
      <c r="A2196" s="2" t="s">
        <v>2232</v>
      </c>
      <c r="B2196" s="4">
        <v>73</v>
      </c>
      <c r="C2196" t="s">
        <v>17</v>
      </c>
      <c r="D2196" t="s">
        <v>26</v>
      </c>
      <c r="E2196" t="s">
        <v>34</v>
      </c>
      <c r="F2196" t="s">
        <v>14</v>
      </c>
      <c r="G2196" s="4">
        <v>7</v>
      </c>
      <c r="H2196" s="1">
        <v>45489</v>
      </c>
      <c r="I2196" s="3" t="s">
        <v>21</v>
      </c>
      <c r="J2196" s="4">
        <v>1</v>
      </c>
    </row>
    <row r="2197" spans="1:10" x14ac:dyDescent="0.35">
      <c r="A2197" s="2" t="s">
        <v>2233</v>
      </c>
      <c r="B2197" s="4">
        <v>20</v>
      </c>
      <c r="C2197" t="s">
        <v>11</v>
      </c>
      <c r="D2197" t="s">
        <v>41</v>
      </c>
      <c r="E2197" t="s">
        <v>37</v>
      </c>
      <c r="F2197" t="s">
        <v>14</v>
      </c>
      <c r="G2197" s="4">
        <v>12</v>
      </c>
      <c r="H2197" s="1">
        <v>74429</v>
      </c>
      <c r="I2197" s="3" t="s">
        <v>21</v>
      </c>
      <c r="J2197" s="4">
        <v>3</v>
      </c>
    </row>
    <row r="2198" spans="1:10" x14ac:dyDescent="0.35">
      <c r="A2198" s="2" t="s">
        <v>2234</v>
      </c>
      <c r="B2198" s="4">
        <v>35</v>
      </c>
      <c r="C2198" t="s">
        <v>11</v>
      </c>
      <c r="D2198" t="s">
        <v>12</v>
      </c>
      <c r="E2198" t="s">
        <v>27</v>
      </c>
      <c r="F2198" t="s">
        <v>30</v>
      </c>
      <c r="G2198" s="4">
        <v>7</v>
      </c>
      <c r="H2198" s="1">
        <v>17299</v>
      </c>
      <c r="I2198" s="3" t="s">
        <v>21</v>
      </c>
      <c r="J2198" s="4">
        <v>5</v>
      </c>
    </row>
    <row r="2199" spans="1:10" x14ac:dyDescent="0.35">
      <c r="A2199" s="2" t="s">
        <v>2235</v>
      </c>
      <c r="B2199" s="4">
        <v>44</v>
      </c>
      <c r="C2199" t="s">
        <v>17</v>
      </c>
      <c r="D2199" t="s">
        <v>26</v>
      </c>
      <c r="E2199" t="s">
        <v>37</v>
      </c>
      <c r="F2199" t="s">
        <v>14</v>
      </c>
      <c r="G2199" s="4">
        <v>8</v>
      </c>
      <c r="H2199" s="1">
        <v>8863</v>
      </c>
      <c r="I2199" s="3" t="s">
        <v>15</v>
      </c>
      <c r="J2199" s="4">
        <v>4</v>
      </c>
    </row>
    <row r="2200" spans="1:10" x14ac:dyDescent="0.35">
      <c r="A2200" s="2" t="s">
        <v>2236</v>
      </c>
      <c r="B2200" s="4">
        <v>69</v>
      </c>
      <c r="C2200" t="s">
        <v>17</v>
      </c>
      <c r="D2200" t="s">
        <v>33</v>
      </c>
      <c r="E2200" t="s">
        <v>42</v>
      </c>
      <c r="F2200" t="s">
        <v>30</v>
      </c>
      <c r="G2200" s="4">
        <v>5</v>
      </c>
      <c r="H2200" s="1">
        <v>98589</v>
      </c>
      <c r="I2200" s="3" t="s">
        <v>15</v>
      </c>
      <c r="J2200" s="4">
        <v>1</v>
      </c>
    </row>
    <row r="2201" spans="1:10" x14ac:dyDescent="0.35">
      <c r="A2201" s="2" t="s">
        <v>2237</v>
      </c>
      <c r="B2201" s="4">
        <v>53</v>
      </c>
      <c r="C2201" t="s">
        <v>11</v>
      </c>
      <c r="D2201" t="s">
        <v>12</v>
      </c>
      <c r="E2201" t="s">
        <v>42</v>
      </c>
      <c r="F2201" t="s">
        <v>20</v>
      </c>
      <c r="G2201" s="4">
        <v>6</v>
      </c>
      <c r="H2201" s="1">
        <v>84056</v>
      </c>
      <c r="I2201" s="3" t="s">
        <v>21</v>
      </c>
      <c r="J2201" s="4">
        <v>4</v>
      </c>
    </row>
    <row r="2202" spans="1:10" x14ac:dyDescent="0.35">
      <c r="A2202" s="2" t="s">
        <v>2238</v>
      </c>
      <c r="B2202" s="4">
        <v>6</v>
      </c>
      <c r="C2202" t="s">
        <v>17</v>
      </c>
      <c r="D2202" t="s">
        <v>49</v>
      </c>
      <c r="E2202" t="s">
        <v>13</v>
      </c>
      <c r="F2202" t="s">
        <v>14</v>
      </c>
      <c r="G2202" s="4">
        <v>7</v>
      </c>
      <c r="H2202" s="1">
        <v>9563</v>
      </c>
      <c r="I2202" s="3" t="s">
        <v>21</v>
      </c>
      <c r="J2202" s="4">
        <v>5</v>
      </c>
    </row>
    <row r="2203" spans="1:10" x14ac:dyDescent="0.35">
      <c r="A2203" s="2" t="s">
        <v>2239</v>
      </c>
      <c r="B2203" s="4">
        <v>26</v>
      </c>
      <c r="C2203" t="s">
        <v>11</v>
      </c>
      <c r="D2203" t="s">
        <v>26</v>
      </c>
      <c r="E2203" t="s">
        <v>19</v>
      </c>
      <c r="F2203" t="s">
        <v>30</v>
      </c>
      <c r="G2203" s="4">
        <v>4</v>
      </c>
      <c r="H2203" s="1">
        <v>8646</v>
      </c>
      <c r="I2203" s="3" t="s">
        <v>15</v>
      </c>
      <c r="J2203" s="4">
        <v>1</v>
      </c>
    </row>
    <row r="2204" spans="1:10" x14ac:dyDescent="0.35">
      <c r="A2204" s="2" t="s">
        <v>2240</v>
      </c>
      <c r="B2204" s="4">
        <v>89</v>
      </c>
      <c r="C2204" t="s">
        <v>11</v>
      </c>
      <c r="D2204" t="s">
        <v>18</v>
      </c>
      <c r="E2204" t="s">
        <v>37</v>
      </c>
      <c r="F2204" t="s">
        <v>30</v>
      </c>
      <c r="G2204" s="4">
        <v>3</v>
      </c>
      <c r="H2204" s="1">
        <v>54182</v>
      </c>
      <c r="I2204" s="3" t="s">
        <v>21</v>
      </c>
      <c r="J2204" s="4">
        <v>1</v>
      </c>
    </row>
    <row r="2205" spans="1:10" x14ac:dyDescent="0.35">
      <c r="A2205" s="2" t="s">
        <v>2241</v>
      </c>
      <c r="B2205" s="4">
        <v>43</v>
      </c>
      <c r="C2205" t="s">
        <v>11</v>
      </c>
      <c r="D2205" t="s">
        <v>39</v>
      </c>
      <c r="E2205" t="s">
        <v>19</v>
      </c>
      <c r="F2205" t="s">
        <v>14</v>
      </c>
      <c r="G2205" s="4">
        <v>12</v>
      </c>
      <c r="H2205" s="1">
        <v>66313</v>
      </c>
      <c r="I2205" s="3" t="s">
        <v>15</v>
      </c>
      <c r="J2205" s="4">
        <v>5</v>
      </c>
    </row>
    <row r="2206" spans="1:10" x14ac:dyDescent="0.35">
      <c r="A2206" s="2" t="s">
        <v>2242</v>
      </c>
      <c r="B2206" s="4">
        <v>55</v>
      </c>
      <c r="C2206" t="s">
        <v>17</v>
      </c>
      <c r="D2206" t="s">
        <v>26</v>
      </c>
      <c r="E2206" t="s">
        <v>53</v>
      </c>
      <c r="F2206" t="s">
        <v>20</v>
      </c>
      <c r="G2206" s="4">
        <v>9</v>
      </c>
      <c r="H2206" s="1">
        <v>61655</v>
      </c>
      <c r="I2206" s="3" t="s">
        <v>15</v>
      </c>
      <c r="J2206" s="4">
        <v>2</v>
      </c>
    </row>
    <row r="2207" spans="1:10" x14ac:dyDescent="0.35">
      <c r="A2207" s="2" t="s">
        <v>2243</v>
      </c>
      <c r="B2207" s="4">
        <v>75</v>
      </c>
      <c r="C2207" t="s">
        <v>17</v>
      </c>
      <c r="D2207" t="s">
        <v>28</v>
      </c>
      <c r="E2207" t="s">
        <v>19</v>
      </c>
      <c r="F2207" t="s">
        <v>14</v>
      </c>
      <c r="G2207" s="4">
        <v>14</v>
      </c>
      <c r="H2207" s="1">
        <v>78491</v>
      </c>
      <c r="I2207" s="3" t="s">
        <v>15</v>
      </c>
      <c r="J2207" s="4">
        <v>5</v>
      </c>
    </row>
    <row r="2208" spans="1:10" x14ac:dyDescent="0.35">
      <c r="A2208" s="2" t="s">
        <v>2244</v>
      </c>
      <c r="B2208" s="4">
        <v>32</v>
      </c>
      <c r="C2208" t="s">
        <v>11</v>
      </c>
      <c r="D2208" t="s">
        <v>12</v>
      </c>
      <c r="E2208" t="s">
        <v>19</v>
      </c>
      <c r="F2208" t="s">
        <v>14</v>
      </c>
      <c r="G2208" s="4">
        <v>4</v>
      </c>
      <c r="H2208" s="1">
        <v>92954</v>
      </c>
      <c r="I2208" s="3" t="s">
        <v>21</v>
      </c>
      <c r="J2208" s="4">
        <v>3</v>
      </c>
    </row>
    <row r="2209" spans="1:10" x14ac:dyDescent="0.35">
      <c r="A2209" s="2" t="s">
        <v>2245</v>
      </c>
      <c r="B2209" s="4">
        <v>10</v>
      </c>
      <c r="C2209" t="s">
        <v>17</v>
      </c>
      <c r="D2209" t="s">
        <v>49</v>
      </c>
      <c r="E2209" t="s">
        <v>37</v>
      </c>
      <c r="F2209" t="s">
        <v>20</v>
      </c>
      <c r="G2209" s="4">
        <v>15</v>
      </c>
      <c r="H2209" s="1">
        <v>62608</v>
      </c>
      <c r="I2209" s="3" t="s">
        <v>21</v>
      </c>
      <c r="J2209" s="4">
        <v>1</v>
      </c>
    </row>
    <row r="2210" spans="1:10" x14ac:dyDescent="0.35">
      <c r="A2210" s="2" t="s">
        <v>2246</v>
      </c>
      <c r="B2210" s="4">
        <v>70</v>
      </c>
      <c r="C2210" t="s">
        <v>11</v>
      </c>
      <c r="D2210" t="s">
        <v>18</v>
      </c>
      <c r="E2210" t="s">
        <v>29</v>
      </c>
      <c r="F2210" t="s">
        <v>14</v>
      </c>
      <c r="G2210" s="4">
        <v>8</v>
      </c>
      <c r="H2210" s="1">
        <v>8434</v>
      </c>
      <c r="I2210" s="3" t="s">
        <v>15</v>
      </c>
      <c r="J2210" s="4">
        <v>2</v>
      </c>
    </row>
    <row r="2211" spans="1:10" x14ac:dyDescent="0.35">
      <c r="A2211" s="2" t="s">
        <v>2247</v>
      </c>
      <c r="B2211" s="4">
        <v>26</v>
      </c>
      <c r="C2211" t="s">
        <v>17</v>
      </c>
      <c r="D2211" t="s">
        <v>39</v>
      </c>
      <c r="E2211" t="s">
        <v>42</v>
      </c>
      <c r="F2211" t="s">
        <v>14</v>
      </c>
      <c r="G2211" s="4">
        <v>9</v>
      </c>
      <c r="H2211" s="1">
        <v>31770</v>
      </c>
      <c r="I2211" s="3" t="s">
        <v>15</v>
      </c>
      <c r="J2211" s="4">
        <v>4</v>
      </c>
    </row>
    <row r="2212" spans="1:10" x14ac:dyDescent="0.35">
      <c r="A2212" s="2" t="s">
        <v>2248</v>
      </c>
      <c r="B2212" s="4">
        <v>42</v>
      </c>
      <c r="C2212" t="s">
        <v>11</v>
      </c>
      <c r="D2212" t="s">
        <v>33</v>
      </c>
      <c r="E2212" t="s">
        <v>24</v>
      </c>
      <c r="F2212" t="s">
        <v>20</v>
      </c>
      <c r="G2212" s="4">
        <v>4</v>
      </c>
      <c r="H2212" s="1">
        <v>67895</v>
      </c>
      <c r="I2212" s="3" t="s">
        <v>21</v>
      </c>
      <c r="J2212" s="4">
        <v>4</v>
      </c>
    </row>
    <row r="2213" spans="1:10" x14ac:dyDescent="0.35">
      <c r="A2213" s="2" t="s">
        <v>2249</v>
      </c>
      <c r="B2213" s="4">
        <v>6</v>
      </c>
      <c r="C2213" t="s">
        <v>17</v>
      </c>
      <c r="D2213" t="s">
        <v>23</v>
      </c>
      <c r="E2213" t="s">
        <v>27</v>
      </c>
      <c r="F2213" t="s">
        <v>20</v>
      </c>
      <c r="G2213" s="4">
        <v>11</v>
      </c>
      <c r="H2213" s="1">
        <v>86301</v>
      </c>
      <c r="I2213" s="3" t="s">
        <v>15</v>
      </c>
      <c r="J2213" s="4">
        <v>4</v>
      </c>
    </row>
    <row r="2214" spans="1:10" x14ac:dyDescent="0.35">
      <c r="A2214" s="2" t="s">
        <v>2250</v>
      </c>
      <c r="B2214" s="4">
        <v>29</v>
      </c>
      <c r="C2214" t="s">
        <v>17</v>
      </c>
      <c r="D2214" t="s">
        <v>36</v>
      </c>
      <c r="E2214" t="s">
        <v>27</v>
      </c>
      <c r="F2214" t="s">
        <v>20</v>
      </c>
      <c r="G2214" s="4">
        <v>10</v>
      </c>
      <c r="H2214" s="1">
        <v>75493</v>
      </c>
      <c r="I2214" s="3" t="s">
        <v>15</v>
      </c>
      <c r="J2214" s="4">
        <v>1</v>
      </c>
    </row>
    <row r="2215" spans="1:10" x14ac:dyDescent="0.35">
      <c r="A2215" s="2" t="s">
        <v>2251</v>
      </c>
      <c r="B2215" s="4">
        <v>75</v>
      </c>
      <c r="C2215" t="s">
        <v>11</v>
      </c>
      <c r="D2215" t="s">
        <v>28</v>
      </c>
      <c r="E2215" t="s">
        <v>37</v>
      </c>
      <c r="F2215" t="s">
        <v>30</v>
      </c>
      <c r="G2215" s="4">
        <v>3</v>
      </c>
      <c r="H2215" s="1">
        <v>86964</v>
      </c>
      <c r="I2215" s="3" t="s">
        <v>15</v>
      </c>
      <c r="J2215" s="4">
        <v>3</v>
      </c>
    </row>
    <row r="2216" spans="1:10" x14ac:dyDescent="0.35">
      <c r="A2216" s="2" t="s">
        <v>2252</v>
      </c>
      <c r="B2216" s="4">
        <v>82</v>
      </c>
      <c r="C2216" t="s">
        <v>17</v>
      </c>
      <c r="D2216" t="s">
        <v>49</v>
      </c>
      <c r="E2216" t="s">
        <v>53</v>
      </c>
      <c r="F2216" t="s">
        <v>14</v>
      </c>
      <c r="G2216" s="4">
        <v>1</v>
      </c>
      <c r="H2216" s="1">
        <v>28846</v>
      </c>
      <c r="I2216" s="3" t="s">
        <v>15</v>
      </c>
      <c r="J2216" s="4">
        <v>5</v>
      </c>
    </row>
    <row r="2217" spans="1:10" x14ac:dyDescent="0.35">
      <c r="A2217" s="2" t="s">
        <v>2253</v>
      </c>
      <c r="B2217" s="4">
        <v>26</v>
      </c>
      <c r="C2217" t="s">
        <v>11</v>
      </c>
      <c r="D2217" t="s">
        <v>23</v>
      </c>
      <c r="E2217" t="s">
        <v>37</v>
      </c>
      <c r="F2217" t="s">
        <v>14</v>
      </c>
      <c r="G2217" s="4">
        <v>11</v>
      </c>
      <c r="H2217" s="1">
        <v>62545</v>
      </c>
      <c r="I2217" s="3" t="s">
        <v>21</v>
      </c>
      <c r="J2217" s="4">
        <v>2</v>
      </c>
    </row>
    <row r="2218" spans="1:10" x14ac:dyDescent="0.35">
      <c r="A2218" s="2" t="s">
        <v>2254</v>
      </c>
      <c r="B2218" s="4">
        <v>7</v>
      </c>
      <c r="C2218" t="s">
        <v>17</v>
      </c>
      <c r="D2218" t="s">
        <v>26</v>
      </c>
      <c r="E2218" t="s">
        <v>34</v>
      </c>
      <c r="F2218" t="s">
        <v>20</v>
      </c>
      <c r="G2218" s="4">
        <v>12</v>
      </c>
      <c r="H2218" s="1">
        <v>83770</v>
      </c>
      <c r="I2218" s="3" t="s">
        <v>15</v>
      </c>
      <c r="J2218" s="4">
        <v>1</v>
      </c>
    </row>
    <row r="2219" spans="1:10" x14ac:dyDescent="0.35">
      <c r="A2219" s="2" t="s">
        <v>2255</v>
      </c>
      <c r="B2219" s="4">
        <v>17</v>
      </c>
      <c r="C2219" t="s">
        <v>17</v>
      </c>
      <c r="D2219" t="s">
        <v>49</v>
      </c>
      <c r="E2219" t="s">
        <v>65</v>
      </c>
      <c r="F2219" t="s">
        <v>14</v>
      </c>
      <c r="G2219" s="4">
        <v>14</v>
      </c>
      <c r="H2219" s="1">
        <v>35891</v>
      </c>
      <c r="I2219" s="3" t="s">
        <v>21</v>
      </c>
      <c r="J2219" s="4">
        <v>2</v>
      </c>
    </row>
    <row r="2220" spans="1:10" x14ac:dyDescent="0.35">
      <c r="A2220" s="2" t="s">
        <v>2256</v>
      </c>
      <c r="B2220" s="4">
        <v>19</v>
      </c>
      <c r="C2220" t="s">
        <v>17</v>
      </c>
      <c r="D2220" t="s">
        <v>49</v>
      </c>
      <c r="E2220" t="s">
        <v>42</v>
      </c>
      <c r="F2220" t="s">
        <v>30</v>
      </c>
      <c r="G2220" s="4">
        <v>13</v>
      </c>
      <c r="H2220" s="1">
        <v>30374</v>
      </c>
      <c r="I2220" s="3" t="s">
        <v>15</v>
      </c>
      <c r="J2220" s="4">
        <v>1</v>
      </c>
    </row>
    <row r="2221" spans="1:10" x14ac:dyDescent="0.35">
      <c r="A2221" s="2" t="s">
        <v>2257</v>
      </c>
      <c r="B2221" s="4">
        <v>25</v>
      </c>
      <c r="C2221" t="s">
        <v>17</v>
      </c>
      <c r="D2221" t="s">
        <v>26</v>
      </c>
      <c r="E2221" t="s">
        <v>53</v>
      </c>
      <c r="F2221" t="s">
        <v>30</v>
      </c>
      <c r="G2221" s="4">
        <v>10</v>
      </c>
      <c r="H2221" s="1">
        <v>52264</v>
      </c>
      <c r="I2221" s="3" t="s">
        <v>15</v>
      </c>
      <c r="J2221" s="4">
        <v>3</v>
      </c>
    </row>
    <row r="2222" spans="1:10" x14ac:dyDescent="0.35">
      <c r="A2222" s="2" t="s">
        <v>2258</v>
      </c>
      <c r="B2222" s="4">
        <v>66</v>
      </c>
      <c r="C2222" t="s">
        <v>17</v>
      </c>
      <c r="D2222" t="s">
        <v>18</v>
      </c>
      <c r="E2222" t="s">
        <v>19</v>
      </c>
      <c r="F2222" t="s">
        <v>30</v>
      </c>
      <c r="G2222" s="4">
        <v>5</v>
      </c>
      <c r="H2222" s="1">
        <v>6899</v>
      </c>
      <c r="I2222" s="3" t="s">
        <v>21</v>
      </c>
      <c r="J2222" s="4">
        <v>2</v>
      </c>
    </row>
    <row r="2223" spans="1:10" x14ac:dyDescent="0.35">
      <c r="A2223" s="2" t="s">
        <v>2259</v>
      </c>
      <c r="B2223" s="4">
        <v>23</v>
      </c>
      <c r="C2223" t="s">
        <v>11</v>
      </c>
      <c r="D2223" t="s">
        <v>41</v>
      </c>
      <c r="E2223" t="s">
        <v>29</v>
      </c>
      <c r="F2223" t="s">
        <v>14</v>
      </c>
      <c r="G2223" s="4">
        <v>9</v>
      </c>
      <c r="H2223" s="1">
        <v>83131</v>
      </c>
      <c r="I2223" s="3" t="s">
        <v>15</v>
      </c>
      <c r="J2223" s="4">
        <v>4</v>
      </c>
    </row>
    <row r="2224" spans="1:10" x14ac:dyDescent="0.35">
      <c r="A2224" s="2" t="s">
        <v>2260</v>
      </c>
      <c r="B2224" s="4">
        <v>64</v>
      </c>
      <c r="C2224" t="s">
        <v>11</v>
      </c>
      <c r="D2224" t="s">
        <v>36</v>
      </c>
      <c r="E2224" t="s">
        <v>19</v>
      </c>
      <c r="F2224" t="s">
        <v>30</v>
      </c>
      <c r="G2224" s="4">
        <v>9</v>
      </c>
      <c r="H2224" s="1">
        <v>36419</v>
      </c>
      <c r="I2224" s="3" t="s">
        <v>15</v>
      </c>
      <c r="J2224" s="4">
        <v>3</v>
      </c>
    </row>
    <row r="2225" spans="1:10" x14ac:dyDescent="0.35">
      <c r="A2225" s="2" t="s">
        <v>2261</v>
      </c>
      <c r="B2225" s="4">
        <v>59</v>
      </c>
      <c r="C2225" t="s">
        <v>17</v>
      </c>
      <c r="D2225" t="s">
        <v>12</v>
      </c>
      <c r="E2225" t="s">
        <v>29</v>
      </c>
      <c r="F2225" t="s">
        <v>30</v>
      </c>
      <c r="G2225" s="4">
        <v>9</v>
      </c>
      <c r="H2225" s="1">
        <v>31308</v>
      </c>
      <c r="I2225" s="3" t="s">
        <v>15</v>
      </c>
      <c r="J2225" s="4">
        <v>4</v>
      </c>
    </row>
    <row r="2226" spans="1:10" x14ac:dyDescent="0.35">
      <c r="A2226" s="2" t="s">
        <v>2262</v>
      </c>
      <c r="B2226" s="4">
        <v>14</v>
      </c>
      <c r="C2226" t="s">
        <v>11</v>
      </c>
      <c r="D2226" t="s">
        <v>33</v>
      </c>
      <c r="E2226" t="s">
        <v>37</v>
      </c>
      <c r="F2226" t="s">
        <v>14</v>
      </c>
      <c r="G2226" s="4">
        <v>11</v>
      </c>
      <c r="H2226" s="1">
        <v>31209</v>
      </c>
      <c r="I2226" s="3" t="s">
        <v>15</v>
      </c>
      <c r="J2226" s="4">
        <v>4</v>
      </c>
    </row>
    <row r="2227" spans="1:10" x14ac:dyDescent="0.35">
      <c r="A2227" s="2" t="s">
        <v>2263</v>
      </c>
      <c r="B2227" s="4">
        <v>40</v>
      </c>
      <c r="C2227" t="s">
        <v>17</v>
      </c>
      <c r="D2227" t="s">
        <v>12</v>
      </c>
      <c r="E2227" t="s">
        <v>24</v>
      </c>
      <c r="F2227" t="s">
        <v>30</v>
      </c>
      <c r="G2227" s="4">
        <v>13</v>
      </c>
      <c r="H2227" s="1">
        <v>6523</v>
      </c>
      <c r="I2227" s="3" t="s">
        <v>15</v>
      </c>
      <c r="J2227" s="4">
        <v>4</v>
      </c>
    </row>
    <row r="2228" spans="1:10" x14ac:dyDescent="0.35">
      <c r="A2228" s="2" t="s">
        <v>2264</v>
      </c>
      <c r="B2228" s="4">
        <v>49</v>
      </c>
      <c r="C2228" t="s">
        <v>11</v>
      </c>
      <c r="D2228" t="s">
        <v>36</v>
      </c>
      <c r="E2228" t="s">
        <v>42</v>
      </c>
      <c r="F2228" t="s">
        <v>20</v>
      </c>
      <c r="G2228" s="4">
        <v>8</v>
      </c>
      <c r="H2228" s="1">
        <v>15609</v>
      </c>
      <c r="I2228" s="3" t="s">
        <v>21</v>
      </c>
      <c r="J2228" s="4">
        <v>2</v>
      </c>
    </row>
    <row r="2229" spans="1:10" x14ac:dyDescent="0.35">
      <c r="A2229" s="2" t="s">
        <v>2265</v>
      </c>
      <c r="B2229" s="4">
        <v>6</v>
      </c>
      <c r="C2229" t="s">
        <v>11</v>
      </c>
      <c r="D2229" t="s">
        <v>33</v>
      </c>
      <c r="E2229" t="s">
        <v>24</v>
      </c>
      <c r="F2229" t="s">
        <v>30</v>
      </c>
      <c r="G2229" s="4">
        <v>6</v>
      </c>
      <c r="H2229" s="1">
        <v>44333</v>
      </c>
      <c r="I2229" s="3" t="s">
        <v>21</v>
      </c>
      <c r="J2229" s="4">
        <v>1</v>
      </c>
    </row>
    <row r="2230" spans="1:10" x14ac:dyDescent="0.35">
      <c r="A2230" s="2" t="s">
        <v>2266</v>
      </c>
      <c r="B2230" s="4">
        <v>43</v>
      </c>
      <c r="C2230" t="s">
        <v>11</v>
      </c>
      <c r="D2230" t="s">
        <v>18</v>
      </c>
      <c r="E2230" t="s">
        <v>53</v>
      </c>
      <c r="F2230" t="s">
        <v>14</v>
      </c>
      <c r="G2230" s="4">
        <v>8</v>
      </c>
      <c r="H2230" s="1">
        <v>54691</v>
      </c>
      <c r="I2230" s="3" t="s">
        <v>15</v>
      </c>
      <c r="J2230" s="4">
        <v>2</v>
      </c>
    </row>
    <row r="2231" spans="1:10" x14ac:dyDescent="0.35">
      <c r="A2231" s="2" t="s">
        <v>2267</v>
      </c>
      <c r="B2231" s="4">
        <v>19</v>
      </c>
      <c r="C2231" t="s">
        <v>11</v>
      </c>
      <c r="D2231" t="s">
        <v>18</v>
      </c>
      <c r="E2231" t="s">
        <v>65</v>
      </c>
      <c r="F2231" t="s">
        <v>30</v>
      </c>
      <c r="G2231" s="4">
        <v>15</v>
      </c>
      <c r="H2231" s="1">
        <v>69879</v>
      </c>
      <c r="I2231" s="3" t="s">
        <v>15</v>
      </c>
      <c r="J2231" s="4">
        <v>3</v>
      </c>
    </row>
    <row r="2232" spans="1:10" x14ac:dyDescent="0.35">
      <c r="A2232" s="2" t="s">
        <v>2268</v>
      </c>
      <c r="B2232" s="4">
        <v>53</v>
      </c>
      <c r="C2232" t="s">
        <v>17</v>
      </c>
      <c r="D2232" t="s">
        <v>41</v>
      </c>
      <c r="E2232" t="s">
        <v>42</v>
      </c>
      <c r="F2232" t="s">
        <v>30</v>
      </c>
      <c r="G2232" s="4">
        <v>9</v>
      </c>
      <c r="H2232" s="1">
        <v>78366</v>
      </c>
      <c r="I2232" s="3" t="s">
        <v>15</v>
      </c>
      <c r="J2232" s="4">
        <v>3</v>
      </c>
    </row>
    <row r="2233" spans="1:10" x14ac:dyDescent="0.35">
      <c r="A2233" s="2" t="s">
        <v>2269</v>
      </c>
      <c r="B2233" s="4">
        <v>22</v>
      </c>
      <c r="C2233" t="s">
        <v>17</v>
      </c>
      <c r="D2233" t="s">
        <v>33</v>
      </c>
      <c r="E2233" t="s">
        <v>24</v>
      </c>
      <c r="F2233" t="s">
        <v>30</v>
      </c>
      <c r="G2233" s="4">
        <v>8</v>
      </c>
      <c r="H2233" s="1">
        <v>37162</v>
      </c>
      <c r="I2233" s="3" t="s">
        <v>15</v>
      </c>
      <c r="J2233" s="4">
        <v>1</v>
      </c>
    </row>
    <row r="2234" spans="1:10" x14ac:dyDescent="0.35">
      <c r="A2234" s="2" t="s">
        <v>2270</v>
      </c>
      <c r="B2234" s="4">
        <v>75</v>
      </c>
      <c r="C2234" t="s">
        <v>17</v>
      </c>
      <c r="D2234" t="s">
        <v>23</v>
      </c>
      <c r="E2234" t="s">
        <v>29</v>
      </c>
      <c r="F2234" t="s">
        <v>30</v>
      </c>
      <c r="G2234" s="4">
        <v>9</v>
      </c>
      <c r="H2234" s="1">
        <v>72120</v>
      </c>
      <c r="I2234" s="3" t="s">
        <v>15</v>
      </c>
      <c r="J2234" s="4">
        <v>2</v>
      </c>
    </row>
    <row r="2235" spans="1:10" x14ac:dyDescent="0.35">
      <c r="A2235" s="2" t="s">
        <v>2271</v>
      </c>
      <c r="B2235" s="4">
        <v>16</v>
      </c>
      <c r="C2235" t="s">
        <v>17</v>
      </c>
      <c r="D2235" t="s">
        <v>26</v>
      </c>
      <c r="E2235" t="s">
        <v>34</v>
      </c>
      <c r="F2235" t="s">
        <v>20</v>
      </c>
      <c r="G2235" s="4">
        <v>13</v>
      </c>
      <c r="H2235" s="1">
        <v>67390</v>
      </c>
      <c r="I2235" s="3" t="s">
        <v>15</v>
      </c>
      <c r="J2235" s="4">
        <v>1</v>
      </c>
    </row>
    <row r="2236" spans="1:10" x14ac:dyDescent="0.35">
      <c r="A2236" s="2" t="s">
        <v>2272</v>
      </c>
      <c r="B2236" s="4">
        <v>63</v>
      </c>
      <c r="C2236" t="s">
        <v>11</v>
      </c>
      <c r="D2236" t="s">
        <v>49</v>
      </c>
      <c r="E2236" t="s">
        <v>53</v>
      </c>
      <c r="F2236" t="s">
        <v>30</v>
      </c>
      <c r="G2236" s="4">
        <v>10</v>
      </c>
      <c r="H2236" s="1">
        <v>20892</v>
      </c>
      <c r="I2236" s="3" t="s">
        <v>15</v>
      </c>
      <c r="J2236" s="4">
        <v>2</v>
      </c>
    </row>
    <row r="2237" spans="1:10" x14ac:dyDescent="0.35">
      <c r="A2237" s="2" t="s">
        <v>2273</v>
      </c>
      <c r="B2237" s="4">
        <v>11</v>
      </c>
      <c r="C2237" t="s">
        <v>17</v>
      </c>
      <c r="D2237" t="s">
        <v>41</v>
      </c>
      <c r="E2237" t="s">
        <v>29</v>
      </c>
      <c r="F2237" t="s">
        <v>20</v>
      </c>
      <c r="G2237" s="4">
        <v>12</v>
      </c>
      <c r="H2237" s="1">
        <v>8313</v>
      </c>
      <c r="I2237" s="3" t="s">
        <v>21</v>
      </c>
      <c r="J2237" s="4">
        <v>3</v>
      </c>
    </row>
    <row r="2238" spans="1:10" x14ac:dyDescent="0.35">
      <c r="A2238" s="2" t="s">
        <v>2274</v>
      </c>
      <c r="B2238" s="4">
        <v>63</v>
      </c>
      <c r="C2238" t="s">
        <v>11</v>
      </c>
      <c r="D2238" t="s">
        <v>41</v>
      </c>
      <c r="E2238" t="s">
        <v>37</v>
      </c>
      <c r="F2238" t="s">
        <v>30</v>
      </c>
      <c r="G2238" s="4">
        <v>2</v>
      </c>
      <c r="H2238" s="1">
        <v>98981</v>
      </c>
      <c r="I2238" s="3" t="s">
        <v>15</v>
      </c>
      <c r="J2238" s="4">
        <v>5</v>
      </c>
    </row>
    <row r="2239" spans="1:10" x14ac:dyDescent="0.35">
      <c r="A2239" s="2" t="s">
        <v>2275</v>
      </c>
      <c r="B2239" s="4">
        <v>42</v>
      </c>
      <c r="C2239" t="s">
        <v>17</v>
      </c>
      <c r="D2239" t="s">
        <v>36</v>
      </c>
      <c r="E2239" t="s">
        <v>29</v>
      </c>
      <c r="F2239" t="s">
        <v>14</v>
      </c>
      <c r="G2239" s="4">
        <v>14</v>
      </c>
      <c r="H2239" s="1">
        <v>60832</v>
      </c>
      <c r="I2239" s="3" t="s">
        <v>21</v>
      </c>
      <c r="J2239" s="4">
        <v>3</v>
      </c>
    </row>
    <row r="2240" spans="1:10" x14ac:dyDescent="0.35">
      <c r="A2240" s="2" t="s">
        <v>2276</v>
      </c>
      <c r="B2240" s="4">
        <v>45</v>
      </c>
      <c r="C2240" t="s">
        <v>11</v>
      </c>
      <c r="D2240" t="s">
        <v>18</v>
      </c>
      <c r="E2240" t="s">
        <v>34</v>
      </c>
      <c r="F2240" t="s">
        <v>30</v>
      </c>
      <c r="G2240" s="4">
        <v>13</v>
      </c>
      <c r="H2240" s="1">
        <v>61448</v>
      </c>
      <c r="I2240" s="3" t="s">
        <v>15</v>
      </c>
      <c r="J2240" s="4">
        <v>2</v>
      </c>
    </row>
    <row r="2241" spans="1:10" x14ac:dyDescent="0.35">
      <c r="A2241" s="2" t="s">
        <v>2277</v>
      </c>
      <c r="B2241" s="4">
        <v>67</v>
      </c>
      <c r="C2241" t="s">
        <v>11</v>
      </c>
      <c r="D2241" t="s">
        <v>39</v>
      </c>
      <c r="E2241" t="s">
        <v>13</v>
      </c>
      <c r="F2241" t="s">
        <v>14</v>
      </c>
      <c r="G2241" s="4">
        <v>3</v>
      </c>
      <c r="H2241" s="1">
        <v>83255</v>
      </c>
      <c r="I2241" s="3" t="s">
        <v>21</v>
      </c>
      <c r="J2241" s="4">
        <v>3</v>
      </c>
    </row>
    <row r="2242" spans="1:10" x14ac:dyDescent="0.35">
      <c r="A2242" s="2" t="s">
        <v>2278</v>
      </c>
      <c r="B2242" s="4">
        <v>83</v>
      </c>
      <c r="C2242" t="s">
        <v>17</v>
      </c>
      <c r="D2242" t="s">
        <v>28</v>
      </c>
      <c r="E2242" t="s">
        <v>19</v>
      </c>
      <c r="F2242" t="s">
        <v>30</v>
      </c>
      <c r="G2242" s="4">
        <v>1</v>
      </c>
      <c r="H2242" s="1">
        <v>24581</v>
      </c>
      <c r="I2242" s="3" t="s">
        <v>21</v>
      </c>
      <c r="J2242" s="4">
        <v>2</v>
      </c>
    </row>
    <row r="2243" spans="1:10" x14ac:dyDescent="0.35">
      <c r="A2243" s="2" t="s">
        <v>2279</v>
      </c>
      <c r="B2243" s="4">
        <v>51</v>
      </c>
      <c r="C2243" t="s">
        <v>11</v>
      </c>
      <c r="D2243" t="s">
        <v>18</v>
      </c>
      <c r="E2243" t="s">
        <v>37</v>
      </c>
      <c r="F2243" t="s">
        <v>30</v>
      </c>
      <c r="G2243" s="4">
        <v>3</v>
      </c>
      <c r="H2243" s="1">
        <v>21083</v>
      </c>
      <c r="I2243" s="3" t="s">
        <v>15</v>
      </c>
      <c r="J2243" s="4">
        <v>1</v>
      </c>
    </row>
    <row r="2244" spans="1:10" x14ac:dyDescent="0.35">
      <c r="A2244" s="2" t="s">
        <v>2280</v>
      </c>
      <c r="B2244" s="4">
        <v>58</v>
      </c>
      <c r="C2244" t="s">
        <v>17</v>
      </c>
      <c r="D2244" t="s">
        <v>26</v>
      </c>
      <c r="E2244" t="s">
        <v>42</v>
      </c>
      <c r="F2244" t="s">
        <v>14</v>
      </c>
      <c r="G2244" s="4">
        <v>1</v>
      </c>
      <c r="H2244" s="1">
        <v>11989</v>
      </c>
      <c r="I2244" s="3" t="s">
        <v>21</v>
      </c>
      <c r="J2244" s="4">
        <v>2</v>
      </c>
    </row>
    <row r="2245" spans="1:10" x14ac:dyDescent="0.35">
      <c r="A2245" s="2" t="s">
        <v>2281</v>
      </c>
      <c r="B2245" s="4">
        <v>43</v>
      </c>
      <c r="C2245" t="s">
        <v>17</v>
      </c>
      <c r="D2245" t="s">
        <v>36</v>
      </c>
      <c r="E2245" t="s">
        <v>24</v>
      </c>
      <c r="F2245" t="s">
        <v>14</v>
      </c>
      <c r="G2245" s="4">
        <v>8</v>
      </c>
      <c r="H2245" s="1">
        <v>62633</v>
      </c>
      <c r="I2245" s="3" t="s">
        <v>15</v>
      </c>
      <c r="J2245" s="4">
        <v>4</v>
      </c>
    </row>
    <row r="2246" spans="1:10" x14ac:dyDescent="0.35">
      <c r="A2246" s="2" t="s">
        <v>2282</v>
      </c>
      <c r="B2246" s="4">
        <v>17</v>
      </c>
      <c r="C2246" t="s">
        <v>11</v>
      </c>
      <c r="D2246" t="s">
        <v>41</v>
      </c>
      <c r="E2246" t="s">
        <v>19</v>
      </c>
      <c r="F2246" t="s">
        <v>14</v>
      </c>
      <c r="G2246" s="4">
        <v>9</v>
      </c>
      <c r="H2246" s="1">
        <v>60758</v>
      </c>
      <c r="I2246" s="3" t="s">
        <v>21</v>
      </c>
      <c r="J2246" s="4">
        <v>1</v>
      </c>
    </row>
    <row r="2247" spans="1:10" x14ac:dyDescent="0.35">
      <c r="A2247" s="2" t="s">
        <v>2283</v>
      </c>
      <c r="B2247" s="4">
        <v>70</v>
      </c>
      <c r="C2247" t="s">
        <v>11</v>
      </c>
      <c r="D2247" t="s">
        <v>12</v>
      </c>
      <c r="E2247" t="s">
        <v>65</v>
      </c>
      <c r="F2247" t="s">
        <v>20</v>
      </c>
      <c r="G2247" s="4">
        <v>2</v>
      </c>
      <c r="H2247" s="1">
        <v>43866</v>
      </c>
      <c r="I2247" s="3" t="s">
        <v>21</v>
      </c>
      <c r="J2247" s="4">
        <v>3</v>
      </c>
    </row>
    <row r="2248" spans="1:10" x14ac:dyDescent="0.35">
      <c r="A2248" s="2" t="s">
        <v>2284</v>
      </c>
      <c r="B2248" s="4">
        <v>40</v>
      </c>
      <c r="C2248" t="s">
        <v>17</v>
      </c>
      <c r="D2248" t="s">
        <v>39</v>
      </c>
      <c r="E2248" t="s">
        <v>29</v>
      </c>
      <c r="F2248" t="s">
        <v>20</v>
      </c>
      <c r="G2248" s="4">
        <v>2</v>
      </c>
      <c r="H2248" s="1">
        <v>17307</v>
      </c>
      <c r="I2248" s="3" t="s">
        <v>15</v>
      </c>
      <c r="J2248" s="4">
        <v>1</v>
      </c>
    </row>
    <row r="2249" spans="1:10" x14ac:dyDescent="0.35">
      <c r="A2249" s="2" t="s">
        <v>2285</v>
      </c>
      <c r="B2249" s="4">
        <v>1</v>
      </c>
      <c r="C2249" t="s">
        <v>17</v>
      </c>
      <c r="D2249" t="s">
        <v>26</v>
      </c>
      <c r="E2249" t="s">
        <v>19</v>
      </c>
      <c r="F2249" t="s">
        <v>30</v>
      </c>
      <c r="G2249" s="4">
        <v>4</v>
      </c>
      <c r="H2249" s="1">
        <v>47985</v>
      </c>
      <c r="I2249" s="3" t="s">
        <v>21</v>
      </c>
      <c r="J2249" s="4">
        <v>4</v>
      </c>
    </row>
    <row r="2250" spans="1:10" x14ac:dyDescent="0.35">
      <c r="A2250" s="2" t="s">
        <v>2286</v>
      </c>
      <c r="B2250" s="4">
        <v>72</v>
      </c>
      <c r="C2250" t="s">
        <v>11</v>
      </c>
      <c r="D2250" t="s">
        <v>23</v>
      </c>
      <c r="E2250" t="s">
        <v>42</v>
      </c>
      <c r="F2250" t="s">
        <v>14</v>
      </c>
      <c r="G2250" s="4">
        <v>14</v>
      </c>
      <c r="H2250" s="1">
        <v>52230</v>
      </c>
      <c r="I2250" s="3" t="s">
        <v>21</v>
      </c>
      <c r="J2250" s="4">
        <v>4</v>
      </c>
    </row>
    <row r="2251" spans="1:10" x14ac:dyDescent="0.35">
      <c r="A2251" s="2" t="s">
        <v>2287</v>
      </c>
      <c r="B2251" s="4">
        <v>6</v>
      </c>
      <c r="C2251" t="s">
        <v>11</v>
      </c>
      <c r="D2251" t="s">
        <v>41</v>
      </c>
      <c r="E2251" t="s">
        <v>27</v>
      </c>
      <c r="F2251" t="s">
        <v>20</v>
      </c>
      <c r="G2251" s="4">
        <v>3</v>
      </c>
      <c r="H2251" s="1">
        <v>8101</v>
      </c>
      <c r="I2251" s="3" t="s">
        <v>21</v>
      </c>
      <c r="J2251" s="4">
        <v>1</v>
      </c>
    </row>
    <row r="2252" spans="1:10" x14ac:dyDescent="0.35">
      <c r="A2252" s="2" t="s">
        <v>2288</v>
      </c>
      <c r="B2252" s="4">
        <v>90</v>
      </c>
      <c r="C2252" t="s">
        <v>17</v>
      </c>
      <c r="D2252" t="s">
        <v>33</v>
      </c>
      <c r="E2252" t="s">
        <v>13</v>
      </c>
      <c r="F2252" t="s">
        <v>14</v>
      </c>
      <c r="G2252" s="4">
        <v>13</v>
      </c>
      <c r="H2252" s="1">
        <v>17824</v>
      </c>
      <c r="I2252" s="3" t="s">
        <v>21</v>
      </c>
      <c r="J2252" s="4">
        <v>2</v>
      </c>
    </row>
    <row r="2253" spans="1:10" x14ac:dyDescent="0.35">
      <c r="A2253" s="2" t="s">
        <v>2289</v>
      </c>
      <c r="B2253" s="4">
        <v>85</v>
      </c>
      <c r="C2253" t="s">
        <v>17</v>
      </c>
      <c r="D2253" t="s">
        <v>33</v>
      </c>
      <c r="E2253" t="s">
        <v>29</v>
      </c>
      <c r="F2253" t="s">
        <v>30</v>
      </c>
      <c r="G2253" s="4">
        <v>4</v>
      </c>
      <c r="H2253" s="1">
        <v>99068</v>
      </c>
      <c r="I2253" s="3" t="s">
        <v>15</v>
      </c>
      <c r="J2253" s="4">
        <v>2</v>
      </c>
    </row>
    <row r="2254" spans="1:10" x14ac:dyDescent="0.35">
      <c r="A2254" s="2" t="s">
        <v>2290</v>
      </c>
      <c r="B2254" s="4">
        <v>33</v>
      </c>
      <c r="C2254" t="s">
        <v>11</v>
      </c>
      <c r="D2254" t="s">
        <v>23</v>
      </c>
      <c r="E2254" t="s">
        <v>24</v>
      </c>
      <c r="F2254" t="s">
        <v>20</v>
      </c>
      <c r="G2254" s="4">
        <v>2</v>
      </c>
      <c r="H2254" s="1">
        <v>44262</v>
      </c>
      <c r="I2254" s="3" t="s">
        <v>21</v>
      </c>
      <c r="J2254" s="4">
        <v>2</v>
      </c>
    </row>
    <row r="2255" spans="1:10" x14ac:dyDescent="0.35">
      <c r="A2255" s="2" t="s">
        <v>2291</v>
      </c>
      <c r="B2255" s="4">
        <v>41</v>
      </c>
      <c r="C2255" t="s">
        <v>17</v>
      </c>
      <c r="D2255" t="s">
        <v>26</v>
      </c>
      <c r="E2255" t="s">
        <v>29</v>
      </c>
      <c r="F2255" t="s">
        <v>14</v>
      </c>
      <c r="G2255" s="4">
        <v>14</v>
      </c>
      <c r="H2255" s="1">
        <v>42792</v>
      </c>
      <c r="I2255" s="3" t="s">
        <v>21</v>
      </c>
      <c r="J2255" s="4">
        <v>1</v>
      </c>
    </row>
    <row r="2256" spans="1:10" x14ac:dyDescent="0.35">
      <c r="A2256" s="2" t="s">
        <v>2292</v>
      </c>
      <c r="B2256" s="4">
        <v>50</v>
      </c>
      <c r="C2256" t="s">
        <v>11</v>
      </c>
      <c r="D2256" t="s">
        <v>18</v>
      </c>
      <c r="E2256" t="s">
        <v>34</v>
      </c>
      <c r="F2256" t="s">
        <v>30</v>
      </c>
      <c r="G2256" s="4">
        <v>4</v>
      </c>
      <c r="H2256" s="1">
        <v>95222</v>
      </c>
      <c r="I2256" s="3" t="s">
        <v>21</v>
      </c>
      <c r="J2256" s="4">
        <v>1</v>
      </c>
    </row>
    <row r="2257" spans="1:10" x14ac:dyDescent="0.35">
      <c r="A2257" s="2" t="s">
        <v>2293</v>
      </c>
      <c r="B2257" s="4">
        <v>79</v>
      </c>
      <c r="C2257" t="s">
        <v>17</v>
      </c>
      <c r="D2257" t="s">
        <v>26</v>
      </c>
      <c r="E2257" t="s">
        <v>29</v>
      </c>
      <c r="F2257" t="s">
        <v>14</v>
      </c>
      <c r="G2257" s="4">
        <v>15</v>
      </c>
      <c r="H2257" s="1">
        <v>60584</v>
      </c>
      <c r="I2257" s="3" t="s">
        <v>21</v>
      </c>
      <c r="J2257" s="4">
        <v>3</v>
      </c>
    </row>
    <row r="2258" spans="1:10" x14ac:dyDescent="0.35">
      <c r="A2258" s="2" t="s">
        <v>2294</v>
      </c>
      <c r="B2258" s="4">
        <v>89</v>
      </c>
      <c r="C2258" t="s">
        <v>17</v>
      </c>
      <c r="D2258" t="s">
        <v>12</v>
      </c>
      <c r="E2258" t="s">
        <v>37</v>
      </c>
      <c r="F2258" t="s">
        <v>14</v>
      </c>
      <c r="G2258" s="4">
        <v>4</v>
      </c>
      <c r="H2258" s="1">
        <v>19215</v>
      </c>
      <c r="I2258" s="3" t="s">
        <v>15</v>
      </c>
      <c r="J2258" s="4">
        <v>1</v>
      </c>
    </row>
    <row r="2259" spans="1:10" x14ac:dyDescent="0.35">
      <c r="A2259" s="2" t="s">
        <v>2295</v>
      </c>
      <c r="B2259" s="4">
        <v>55</v>
      </c>
      <c r="C2259" t="s">
        <v>11</v>
      </c>
      <c r="D2259" t="s">
        <v>18</v>
      </c>
      <c r="E2259" t="s">
        <v>13</v>
      </c>
      <c r="F2259" t="s">
        <v>14</v>
      </c>
      <c r="G2259" s="4">
        <v>4</v>
      </c>
      <c r="H2259" s="1">
        <v>65771</v>
      </c>
      <c r="I2259" s="3" t="s">
        <v>15</v>
      </c>
      <c r="J2259" s="4">
        <v>3</v>
      </c>
    </row>
    <row r="2260" spans="1:10" x14ac:dyDescent="0.35">
      <c r="A2260" s="2" t="s">
        <v>2296</v>
      </c>
      <c r="B2260" s="4">
        <v>62</v>
      </c>
      <c r="C2260" t="s">
        <v>11</v>
      </c>
      <c r="D2260" t="s">
        <v>33</v>
      </c>
      <c r="E2260" t="s">
        <v>34</v>
      </c>
      <c r="F2260" t="s">
        <v>20</v>
      </c>
      <c r="G2260" s="4">
        <v>10</v>
      </c>
      <c r="H2260" s="1">
        <v>81807</v>
      </c>
      <c r="I2260" s="3" t="s">
        <v>15</v>
      </c>
      <c r="J2260" s="4">
        <v>2</v>
      </c>
    </row>
    <row r="2261" spans="1:10" x14ac:dyDescent="0.35">
      <c r="A2261" s="2" t="s">
        <v>2297</v>
      </c>
      <c r="B2261" s="4">
        <v>90</v>
      </c>
      <c r="C2261" t="s">
        <v>17</v>
      </c>
      <c r="D2261" t="s">
        <v>41</v>
      </c>
      <c r="E2261" t="s">
        <v>53</v>
      </c>
      <c r="F2261" t="s">
        <v>14</v>
      </c>
      <c r="G2261" s="4">
        <v>5</v>
      </c>
      <c r="H2261" s="1">
        <v>97418</v>
      </c>
      <c r="I2261" s="3" t="s">
        <v>15</v>
      </c>
      <c r="J2261" s="4">
        <v>2</v>
      </c>
    </row>
    <row r="2262" spans="1:10" x14ac:dyDescent="0.35">
      <c r="A2262" s="2" t="s">
        <v>2298</v>
      </c>
      <c r="B2262" s="4">
        <v>6</v>
      </c>
      <c r="C2262" t="s">
        <v>17</v>
      </c>
      <c r="D2262" t="s">
        <v>33</v>
      </c>
      <c r="E2262" t="s">
        <v>19</v>
      </c>
      <c r="F2262" t="s">
        <v>30</v>
      </c>
      <c r="G2262" s="4">
        <v>1</v>
      </c>
      <c r="H2262" s="1">
        <v>44356</v>
      </c>
      <c r="I2262" s="3" t="s">
        <v>21</v>
      </c>
      <c r="J2262" s="4">
        <v>4</v>
      </c>
    </row>
    <row r="2263" spans="1:10" x14ac:dyDescent="0.35">
      <c r="A2263" s="2" t="s">
        <v>2299</v>
      </c>
      <c r="B2263" s="4">
        <v>53</v>
      </c>
      <c r="C2263" t="s">
        <v>11</v>
      </c>
      <c r="D2263" t="s">
        <v>28</v>
      </c>
      <c r="E2263" t="s">
        <v>37</v>
      </c>
      <c r="F2263" t="s">
        <v>14</v>
      </c>
      <c r="G2263" s="4">
        <v>7</v>
      </c>
      <c r="H2263" s="1">
        <v>50223</v>
      </c>
      <c r="I2263" s="3" t="s">
        <v>21</v>
      </c>
      <c r="J2263" s="4">
        <v>4</v>
      </c>
    </row>
    <row r="2264" spans="1:10" x14ac:dyDescent="0.35">
      <c r="A2264" s="2" t="s">
        <v>2300</v>
      </c>
      <c r="B2264" s="4">
        <v>58</v>
      </c>
      <c r="C2264" t="s">
        <v>11</v>
      </c>
      <c r="D2264" t="s">
        <v>28</v>
      </c>
      <c r="E2264" t="s">
        <v>29</v>
      </c>
      <c r="F2264" t="s">
        <v>30</v>
      </c>
      <c r="G2264" s="4">
        <v>7</v>
      </c>
      <c r="H2264" s="1">
        <v>98981</v>
      </c>
      <c r="I2264" s="3" t="s">
        <v>15</v>
      </c>
      <c r="J2264" s="4">
        <v>1</v>
      </c>
    </row>
    <row r="2265" spans="1:10" x14ac:dyDescent="0.35">
      <c r="A2265" s="2" t="s">
        <v>2301</v>
      </c>
      <c r="B2265" s="4">
        <v>82</v>
      </c>
      <c r="C2265" t="s">
        <v>11</v>
      </c>
      <c r="D2265" t="s">
        <v>26</v>
      </c>
      <c r="E2265" t="s">
        <v>19</v>
      </c>
      <c r="F2265" t="s">
        <v>20</v>
      </c>
      <c r="G2265" s="4">
        <v>10</v>
      </c>
      <c r="H2265" s="1">
        <v>84953</v>
      </c>
      <c r="I2265" s="3" t="s">
        <v>21</v>
      </c>
      <c r="J2265" s="4">
        <v>4</v>
      </c>
    </row>
    <row r="2266" spans="1:10" x14ac:dyDescent="0.35">
      <c r="A2266" s="2" t="s">
        <v>2302</v>
      </c>
      <c r="B2266" s="4">
        <v>74</v>
      </c>
      <c r="C2266" t="s">
        <v>11</v>
      </c>
      <c r="D2266" t="s">
        <v>39</v>
      </c>
      <c r="E2266" t="s">
        <v>37</v>
      </c>
      <c r="F2266" t="s">
        <v>20</v>
      </c>
      <c r="G2266" s="4">
        <v>12</v>
      </c>
      <c r="H2266" s="1">
        <v>37049</v>
      </c>
      <c r="I2266" s="3" t="s">
        <v>15</v>
      </c>
      <c r="J2266" s="4">
        <v>1</v>
      </c>
    </row>
    <row r="2267" spans="1:10" x14ac:dyDescent="0.35">
      <c r="A2267" s="2" t="s">
        <v>2303</v>
      </c>
      <c r="B2267" s="4">
        <v>90</v>
      </c>
      <c r="C2267" t="s">
        <v>11</v>
      </c>
      <c r="D2267" t="s">
        <v>49</v>
      </c>
      <c r="E2267" t="s">
        <v>34</v>
      </c>
      <c r="F2267" t="s">
        <v>14</v>
      </c>
      <c r="G2267" s="4">
        <v>7</v>
      </c>
      <c r="H2267" s="1">
        <v>76696</v>
      </c>
      <c r="I2267" s="3" t="s">
        <v>15</v>
      </c>
      <c r="J2267" s="4">
        <v>2</v>
      </c>
    </row>
    <row r="2268" spans="1:10" x14ac:dyDescent="0.35">
      <c r="A2268" s="2" t="s">
        <v>2304</v>
      </c>
      <c r="B2268" s="4">
        <v>48</v>
      </c>
      <c r="C2268" t="s">
        <v>17</v>
      </c>
      <c r="D2268" t="s">
        <v>26</v>
      </c>
      <c r="E2268" t="s">
        <v>19</v>
      </c>
      <c r="F2268" t="s">
        <v>20</v>
      </c>
      <c r="G2268" s="4">
        <v>4</v>
      </c>
      <c r="H2268" s="1">
        <v>57861</v>
      </c>
      <c r="I2268" s="3" t="s">
        <v>21</v>
      </c>
      <c r="J2268" s="4">
        <v>3</v>
      </c>
    </row>
    <row r="2269" spans="1:10" x14ac:dyDescent="0.35">
      <c r="A2269" s="2" t="s">
        <v>2305</v>
      </c>
      <c r="B2269" s="4">
        <v>78</v>
      </c>
      <c r="C2269" t="s">
        <v>17</v>
      </c>
      <c r="D2269" t="s">
        <v>23</v>
      </c>
      <c r="E2269" t="s">
        <v>34</v>
      </c>
      <c r="F2269" t="s">
        <v>30</v>
      </c>
      <c r="G2269" s="4">
        <v>8</v>
      </c>
      <c r="H2269" s="1">
        <v>58655</v>
      </c>
      <c r="I2269" s="3" t="s">
        <v>15</v>
      </c>
      <c r="J2269" s="4">
        <v>4</v>
      </c>
    </row>
    <row r="2270" spans="1:10" x14ac:dyDescent="0.35">
      <c r="A2270" s="2" t="s">
        <v>2306</v>
      </c>
      <c r="B2270" s="4">
        <v>62</v>
      </c>
      <c r="C2270" t="s">
        <v>11</v>
      </c>
      <c r="D2270" t="s">
        <v>26</v>
      </c>
      <c r="E2270" t="s">
        <v>42</v>
      </c>
      <c r="F2270" t="s">
        <v>30</v>
      </c>
      <c r="G2270" s="4">
        <v>8</v>
      </c>
      <c r="H2270" s="1">
        <v>57449</v>
      </c>
      <c r="I2270" s="3" t="s">
        <v>21</v>
      </c>
      <c r="J2270" s="4">
        <v>3</v>
      </c>
    </row>
    <row r="2271" spans="1:10" x14ac:dyDescent="0.35">
      <c r="A2271" s="2" t="s">
        <v>2307</v>
      </c>
      <c r="B2271" s="4">
        <v>25</v>
      </c>
      <c r="C2271" t="s">
        <v>11</v>
      </c>
      <c r="D2271" t="s">
        <v>39</v>
      </c>
      <c r="E2271" t="s">
        <v>29</v>
      </c>
      <c r="F2271" t="s">
        <v>14</v>
      </c>
      <c r="G2271" s="4">
        <v>2</v>
      </c>
      <c r="H2271" s="1">
        <v>27239</v>
      </c>
      <c r="I2271" s="3" t="s">
        <v>15</v>
      </c>
      <c r="J2271" s="4">
        <v>1</v>
      </c>
    </row>
    <row r="2272" spans="1:10" x14ac:dyDescent="0.35">
      <c r="A2272" s="2" t="s">
        <v>2308</v>
      </c>
      <c r="B2272" s="4">
        <v>11</v>
      </c>
      <c r="C2272" t="s">
        <v>17</v>
      </c>
      <c r="D2272" t="s">
        <v>39</v>
      </c>
      <c r="E2272" t="s">
        <v>24</v>
      </c>
      <c r="F2272" t="s">
        <v>30</v>
      </c>
      <c r="G2272" s="4">
        <v>7</v>
      </c>
      <c r="H2272" s="1">
        <v>6522</v>
      </c>
      <c r="I2272" s="3" t="s">
        <v>21</v>
      </c>
      <c r="J2272" s="4">
        <v>5</v>
      </c>
    </row>
    <row r="2273" spans="1:10" x14ac:dyDescent="0.35">
      <c r="A2273" s="2" t="s">
        <v>2309</v>
      </c>
      <c r="B2273" s="4">
        <v>11</v>
      </c>
      <c r="C2273" t="s">
        <v>11</v>
      </c>
      <c r="D2273" t="s">
        <v>49</v>
      </c>
      <c r="E2273" t="s">
        <v>24</v>
      </c>
      <c r="F2273" t="s">
        <v>14</v>
      </c>
      <c r="G2273" s="4">
        <v>12</v>
      </c>
      <c r="H2273" s="1">
        <v>81594</v>
      </c>
      <c r="I2273" s="3" t="s">
        <v>21</v>
      </c>
      <c r="J2273" s="4">
        <v>5</v>
      </c>
    </row>
    <row r="2274" spans="1:10" x14ac:dyDescent="0.35">
      <c r="A2274" s="2" t="s">
        <v>2310</v>
      </c>
      <c r="B2274" s="4">
        <v>43</v>
      </c>
      <c r="C2274" t="s">
        <v>17</v>
      </c>
      <c r="D2274" t="s">
        <v>12</v>
      </c>
      <c r="E2274" t="s">
        <v>37</v>
      </c>
      <c r="F2274" t="s">
        <v>14</v>
      </c>
      <c r="G2274" s="4">
        <v>11</v>
      </c>
      <c r="H2274" s="1">
        <v>5585</v>
      </c>
      <c r="I2274" s="3" t="s">
        <v>15</v>
      </c>
      <c r="J2274" s="4">
        <v>1</v>
      </c>
    </row>
    <row r="2275" spans="1:10" x14ac:dyDescent="0.35">
      <c r="A2275" s="2" t="s">
        <v>2311</v>
      </c>
      <c r="B2275" s="4">
        <v>57</v>
      </c>
      <c r="C2275" t="s">
        <v>17</v>
      </c>
      <c r="D2275" t="s">
        <v>36</v>
      </c>
      <c r="E2275" t="s">
        <v>27</v>
      </c>
      <c r="F2275" t="s">
        <v>30</v>
      </c>
      <c r="G2275" s="4">
        <v>7</v>
      </c>
      <c r="H2275" s="1">
        <v>95666</v>
      </c>
      <c r="I2275" s="3" t="s">
        <v>15</v>
      </c>
      <c r="J2275" s="4">
        <v>4</v>
      </c>
    </row>
    <row r="2276" spans="1:10" x14ac:dyDescent="0.35">
      <c r="A2276" s="2" t="s">
        <v>2312</v>
      </c>
      <c r="B2276" s="4">
        <v>24</v>
      </c>
      <c r="C2276" t="s">
        <v>11</v>
      </c>
      <c r="D2276" t="s">
        <v>41</v>
      </c>
      <c r="E2276" t="s">
        <v>29</v>
      </c>
      <c r="F2276" t="s">
        <v>14</v>
      </c>
      <c r="G2276" s="4">
        <v>6</v>
      </c>
      <c r="H2276" s="1">
        <v>65155</v>
      </c>
      <c r="I2276" s="3" t="s">
        <v>21</v>
      </c>
      <c r="J2276" s="4">
        <v>3</v>
      </c>
    </row>
    <row r="2277" spans="1:10" x14ac:dyDescent="0.35">
      <c r="A2277" s="2" t="s">
        <v>2313</v>
      </c>
      <c r="B2277" s="4">
        <v>73</v>
      </c>
      <c r="C2277" t="s">
        <v>17</v>
      </c>
      <c r="D2277" t="s">
        <v>36</v>
      </c>
      <c r="E2277" t="s">
        <v>65</v>
      </c>
      <c r="F2277" t="s">
        <v>14</v>
      </c>
      <c r="G2277" s="4">
        <v>12</v>
      </c>
      <c r="H2277" s="1">
        <v>35710</v>
      </c>
      <c r="I2277" s="3" t="s">
        <v>21</v>
      </c>
      <c r="J2277" s="4">
        <v>4</v>
      </c>
    </row>
    <row r="2278" spans="1:10" x14ac:dyDescent="0.35">
      <c r="A2278" s="2" t="s">
        <v>2314</v>
      </c>
      <c r="B2278" s="4">
        <v>28</v>
      </c>
      <c r="C2278" t="s">
        <v>17</v>
      </c>
      <c r="D2278" t="s">
        <v>49</v>
      </c>
      <c r="E2278" t="s">
        <v>24</v>
      </c>
      <c r="F2278" t="s">
        <v>20</v>
      </c>
      <c r="G2278" s="4">
        <v>5</v>
      </c>
      <c r="H2278" s="1">
        <v>71076</v>
      </c>
      <c r="I2278" s="3" t="s">
        <v>15</v>
      </c>
      <c r="J2278" s="4">
        <v>3</v>
      </c>
    </row>
    <row r="2279" spans="1:10" x14ac:dyDescent="0.35">
      <c r="A2279" s="2" t="s">
        <v>2315</v>
      </c>
      <c r="B2279" s="4">
        <v>70</v>
      </c>
      <c r="C2279" t="s">
        <v>11</v>
      </c>
      <c r="D2279" t="s">
        <v>23</v>
      </c>
      <c r="E2279" t="s">
        <v>37</v>
      </c>
      <c r="F2279" t="s">
        <v>20</v>
      </c>
      <c r="G2279" s="4">
        <v>9</v>
      </c>
      <c r="H2279" s="1">
        <v>7055</v>
      </c>
      <c r="I2279" s="3" t="s">
        <v>15</v>
      </c>
      <c r="J2279" s="4">
        <v>3</v>
      </c>
    </row>
    <row r="2280" spans="1:10" x14ac:dyDescent="0.35">
      <c r="A2280" s="2" t="s">
        <v>2316</v>
      </c>
      <c r="B2280" s="4">
        <v>60</v>
      </c>
      <c r="C2280" t="s">
        <v>17</v>
      </c>
      <c r="D2280" t="s">
        <v>26</v>
      </c>
      <c r="E2280" t="s">
        <v>42</v>
      </c>
      <c r="F2280" t="s">
        <v>20</v>
      </c>
      <c r="G2280" s="4">
        <v>3</v>
      </c>
      <c r="H2280" s="1">
        <v>50357</v>
      </c>
      <c r="I2280" s="3" t="s">
        <v>21</v>
      </c>
      <c r="J2280" s="4">
        <v>1</v>
      </c>
    </row>
    <row r="2281" spans="1:10" x14ac:dyDescent="0.35">
      <c r="A2281" s="2" t="s">
        <v>2317</v>
      </c>
      <c r="B2281" s="4">
        <v>3</v>
      </c>
      <c r="C2281" t="s">
        <v>17</v>
      </c>
      <c r="D2281" t="s">
        <v>39</v>
      </c>
      <c r="E2281" t="s">
        <v>42</v>
      </c>
      <c r="F2281" t="s">
        <v>14</v>
      </c>
      <c r="G2281" s="4">
        <v>12</v>
      </c>
      <c r="H2281" s="1">
        <v>54179</v>
      </c>
      <c r="I2281" s="3" t="s">
        <v>15</v>
      </c>
      <c r="J2281" s="4">
        <v>4</v>
      </c>
    </row>
    <row r="2282" spans="1:10" x14ac:dyDescent="0.35">
      <c r="A2282" s="2" t="s">
        <v>2318</v>
      </c>
      <c r="B2282" s="4">
        <v>55</v>
      </c>
      <c r="C2282" t="s">
        <v>11</v>
      </c>
      <c r="D2282" t="s">
        <v>33</v>
      </c>
      <c r="E2282" t="s">
        <v>65</v>
      </c>
      <c r="F2282" t="s">
        <v>30</v>
      </c>
      <c r="G2282" s="4">
        <v>1</v>
      </c>
      <c r="H2282" s="1">
        <v>42199</v>
      </c>
      <c r="I2282" s="3" t="s">
        <v>15</v>
      </c>
      <c r="J2282" s="4">
        <v>2</v>
      </c>
    </row>
    <row r="2283" spans="1:10" x14ac:dyDescent="0.35">
      <c r="A2283" s="2" t="s">
        <v>2319</v>
      </c>
      <c r="B2283" s="4">
        <v>20</v>
      </c>
      <c r="C2283" t="s">
        <v>17</v>
      </c>
      <c r="D2283" t="s">
        <v>33</v>
      </c>
      <c r="E2283" t="s">
        <v>19</v>
      </c>
      <c r="F2283" t="s">
        <v>30</v>
      </c>
      <c r="G2283" s="4">
        <v>8</v>
      </c>
      <c r="H2283" s="1">
        <v>62980</v>
      </c>
      <c r="I2283" s="3" t="s">
        <v>21</v>
      </c>
      <c r="J2283" s="4">
        <v>5</v>
      </c>
    </row>
    <row r="2284" spans="1:10" x14ac:dyDescent="0.35">
      <c r="A2284" s="2" t="s">
        <v>2320</v>
      </c>
      <c r="B2284" s="4">
        <v>3</v>
      </c>
      <c r="C2284" t="s">
        <v>11</v>
      </c>
      <c r="D2284" t="s">
        <v>36</v>
      </c>
      <c r="E2284" t="s">
        <v>37</v>
      </c>
      <c r="F2284" t="s">
        <v>30</v>
      </c>
      <c r="G2284" s="4">
        <v>10</v>
      </c>
      <c r="H2284" s="1">
        <v>26540</v>
      </c>
      <c r="I2284" s="3" t="s">
        <v>21</v>
      </c>
      <c r="J2284" s="4">
        <v>3</v>
      </c>
    </row>
    <row r="2285" spans="1:10" x14ac:dyDescent="0.35">
      <c r="A2285" s="2" t="s">
        <v>2321</v>
      </c>
      <c r="B2285" s="4">
        <v>54</v>
      </c>
      <c r="C2285" t="s">
        <v>11</v>
      </c>
      <c r="D2285" t="s">
        <v>33</v>
      </c>
      <c r="E2285" t="s">
        <v>19</v>
      </c>
      <c r="F2285" t="s">
        <v>14</v>
      </c>
      <c r="G2285" s="4">
        <v>14</v>
      </c>
      <c r="H2285" s="1">
        <v>38710</v>
      </c>
      <c r="I2285" s="3" t="s">
        <v>21</v>
      </c>
      <c r="J2285" s="4">
        <v>4</v>
      </c>
    </row>
    <row r="2286" spans="1:10" x14ac:dyDescent="0.35">
      <c r="A2286" s="2" t="s">
        <v>2322</v>
      </c>
      <c r="B2286" s="4">
        <v>20</v>
      </c>
      <c r="C2286" t="s">
        <v>11</v>
      </c>
      <c r="D2286" t="s">
        <v>49</v>
      </c>
      <c r="E2286" t="s">
        <v>42</v>
      </c>
      <c r="F2286" t="s">
        <v>14</v>
      </c>
      <c r="G2286" s="4">
        <v>15</v>
      </c>
      <c r="H2286" s="1">
        <v>50433</v>
      </c>
      <c r="I2286" s="3" t="s">
        <v>21</v>
      </c>
      <c r="J2286" s="4">
        <v>3</v>
      </c>
    </row>
    <row r="2287" spans="1:10" x14ac:dyDescent="0.35">
      <c r="A2287" s="2" t="s">
        <v>2323</v>
      </c>
      <c r="B2287" s="4">
        <v>35</v>
      </c>
      <c r="C2287" t="s">
        <v>11</v>
      </c>
      <c r="D2287" t="s">
        <v>41</v>
      </c>
      <c r="E2287" t="s">
        <v>24</v>
      </c>
      <c r="F2287" t="s">
        <v>30</v>
      </c>
      <c r="G2287" s="4">
        <v>13</v>
      </c>
      <c r="H2287" s="1">
        <v>53350</v>
      </c>
      <c r="I2287" s="3" t="s">
        <v>21</v>
      </c>
      <c r="J2287" s="4">
        <v>5</v>
      </c>
    </row>
    <row r="2288" spans="1:10" x14ac:dyDescent="0.35">
      <c r="A2288" s="2" t="s">
        <v>2324</v>
      </c>
      <c r="B2288" s="4">
        <v>38</v>
      </c>
      <c r="C2288" t="s">
        <v>17</v>
      </c>
      <c r="D2288" t="s">
        <v>33</v>
      </c>
      <c r="E2288" t="s">
        <v>13</v>
      </c>
      <c r="F2288" t="s">
        <v>30</v>
      </c>
      <c r="G2288" s="4">
        <v>10</v>
      </c>
      <c r="H2288" s="1">
        <v>73678</v>
      </c>
      <c r="I2288" s="3" t="s">
        <v>21</v>
      </c>
      <c r="J2288" s="4">
        <v>5</v>
      </c>
    </row>
    <row r="2289" spans="1:10" x14ac:dyDescent="0.35">
      <c r="A2289" s="2" t="s">
        <v>2325</v>
      </c>
      <c r="B2289" s="4">
        <v>1</v>
      </c>
      <c r="C2289" t="s">
        <v>11</v>
      </c>
      <c r="D2289" t="s">
        <v>49</v>
      </c>
      <c r="E2289" t="s">
        <v>19</v>
      </c>
      <c r="F2289" t="s">
        <v>20</v>
      </c>
      <c r="G2289" s="4">
        <v>8</v>
      </c>
      <c r="H2289" s="1">
        <v>16517</v>
      </c>
      <c r="I2289" s="3" t="s">
        <v>21</v>
      </c>
      <c r="J2289" s="4">
        <v>2</v>
      </c>
    </row>
    <row r="2290" spans="1:10" x14ac:dyDescent="0.35">
      <c r="A2290" s="2" t="s">
        <v>2326</v>
      </c>
      <c r="B2290" s="4">
        <v>5</v>
      </c>
      <c r="C2290" t="s">
        <v>17</v>
      </c>
      <c r="D2290" t="s">
        <v>26</v>
      </c>
      <c r="E2290" t="s">
        <v>24</v>
      </c>
      <c r="F2290" t="s">
        <v>20</v>
      </c>
      <c r="G2290" s="4">
        <v>6</v>
      </c>
      <c r="H2290" s="1">
        <v>62617</v>
      </c>
      <c r="I2290" s="3" t="s">
        <v>15</v>
      </c>
      <c r="J2290" s="4">
        <v>2</v>
      </c>
    </row>
    <row r="2291" spans="1:10" x14ac:dyDescent="0.35">
      <c r="A2291" s="2" t="s">
        <v>2327</v>
      </c>
      <c r="B2291" s="4">
        <v>73</v>
      </c>
      <c r="C2291" t="s">
        <v>17</v>
      </c>
      <c r="D2291" t="s">
        <v>12</v>
      </c>
      <c r="E2291" t="s">
        <v>65</v>
      </c>
      <c r="F2291" t="s">
        <v>14</v>
      </c>
      <c r="G2291" s="4">
        <v>5</v>
      </c>
      <c r="H2291" s="1">
        <v>7026</v>
      </c>
      <c r="I2291" s="3" t="s">
        <v>15</v>
      </c>
      <c r="J2291" s="4">
        <v>4</v>
      </c>
    </row>
    <row r="2292" spans="1:10" x14ac:dyDescent="0.35">
      <c r="A2292" s="2" t="s">
        <v>2328</v>
      </c>
      <c r="B2292" s="4">
        <v>17</v>
      </c>
      <c r="C2292" t="s">
        <v>11</v>
      </c>
      <c r="D2292" t="s">
        <v>26</v>
      </c>
      <c r="E2292" t="s">
        <v>24</v>
      </c>
      <c r="F2292" t="s">
        <v>20</v>
      </c>
      <c r="G2292" s="4">
        <v>9</v>
      </c>
      <c r="H2292" s="1">
        <v>53229</v>
      </c>
      <c r="I2292" s="3" t="s">
        <v>21</v>
      </c>
      <c r="J2292" s="4">
        <v>1</v>
      </c>
    </row>
    <row r="2293" spans="1:10" x14ac:dyDescent="0.35">
      <c r="A2293" s="2" t="s">
        <v>2329</v>
      </c>
      <c r="B2293" s="4">
        <v>30</v>
      </c>
      <c r="C2293" t="s">
        <v>17</v>
      </c>
      <c r="D2293" t="s">
        <v>23</v>
      </c>
      <c r="E2293" t="s">
        <v>42</v>
      </c>
      <c r="F2293" t="s">
        <v>20</v>
      </c>
      <c r="G2293" s="4">
        <v>12</v>
      </c>
      <c r="H2293" s="1">
        <v>58367</v>
      </c>
      <c r="I2293" s="3" t="s">
        <v>21</v>
      </c>
      <c r="J2293" s="4">
        <v>3</v>
      </c>
    </row>
    <row r="2294" spans="1:10" x14ac:dyDescent="0.35">
      <c r="A2294" s="2" t="s">
        <v>2330</v>
      </c>
      <c r="B2294" s="4">
        <v>12</v>
      </c>
      <c r="C2294" t="s">
        <v>11</v>
      </c>
      <c r="D2294" t="s">
        <v>49</v>
      </c>
      <c r="E2294" t="s">
        <v>27</v>
      </c>
      <c r="F2294" t="s">
        <v>20</v>
      </c>
      <c r="G2294" s="4">
        <v>6</v>
      </c>
      <c r="H2294" s="1">
        <v>70065</v>
      </c>
      <c r="I2294" s="3" t="s">
        <v>15</v>
      </c>
      <c r="J2294" s="4">
        <v>2</v>
      </c>
    </row>
    <row r="2295" spans="1:10" x14ac:dyDescent="0.35">
      <c r="A2295" s="2" t="s">
        <v>2331</v>
      </c>
      <c r="B2295" s="4">
        <v>67</v>
      </c>
      <c r="C2295" t="s">
        <v>17</v>
      </c>
      <c r="D2295" t="s">
        <v>33</v>
      </c>
      <c r="E2295" t="s">
        <v>42</v>
      </c>
      <c r="F2295" t="s">
        <v>14</v>
      </c>
      <c r="G2295" s="4">
        <v>15</v>
      </c>
      <c r="H2295" s="1">
        <v>46417</v>
      </c>
      <c r="I2295" s="3" t="s">
        <v>15</v>
      </c>
      <c r="J2295" s="4">
        <v>3</v>
      </c>
    </row>
    <row r="2296" spans="1:10" x14ac:dyDescent="0.35">
      <c r="A2296" s="2" t="s">
        <v>2332</v>
      </c>
      <c r="B2296" s="4">
        <v>33</v>
      </c>
      <c r="C2296" t="s">
        <v>11</v>
      </c>
      <c r="D2296" t="s">
        <v>49</v>
      </c>
      <c r="E2296" t="s">
        <v>53</v>
      </c>
      <c r="F2296" t="s">
        <v>30</v>
      </c>
      <c r="G2296" s="4">
        <v>13</v>
      </c>
      <c r="H2296" s="1">
        <v>31524</v>
      </c>
      <c r="I2296" s="3" t="s">
        <v>21</v>
      </c>
      <c r="J2296" s="4">
        <v>3</v>
      </c>
    </row>
    <row r="2297" spans="1:10" x14ac:dyDescent="0.35">
      <c r="A2297" s="2" t="s">
        <v>2333</v>
      </c>
      <c r="B2297" s="4">
        <v>63</v>
      </c>
      <c r="C2297" t="s">
        <v>17</v>
      </c>
      <c r="D2297" t="s">
        <v>26</v>
      </c>
      <c r="E2297" t="s">
        <v>42</v>
      </c>
      <c r="F2297" t="s">
        <v>14</v>
      </c>
      <c r="G2297" s="4">
        <v>9</v>
      </c>
      <c r="H2297" s="1">
        <v>67447</v>
      </c>
      <c r="I2297" s="3" t="s">
        <v>21</v>
      </c>
      <c r="J2297" s="4">
        <v>4</v>
      </c>
    </row>
    <row r="2298" spans="1:10" x14ac:dyDescent="0.35">
      <c r="A2298" s="2" t="s">
        <v>2334</v>
      </c>
      <c r="B2298" s="4">
        <v>51</v>
      </c>
      <c r="C2298" t="s">
        <v>11</v>
      </c>
      <c r="D2298" t="s">
        <v>33</v>
      </c>
      <c r="E2298" t="s">
        <v>24</v>
      </c>
      <c r="F2298" t="s">
        <v>14</v>
      </c>
      <c r="G2298" s="4">
        <v>11</v>
      </c>
      <c r="H2298" s="1">
        <v>75415</v>
      </c>
      <c r="I2298" s="3" t="s">
        <v>15</v>
      </c>
      <c r="J2298" s="4">
        <v>3</v>
      </c>
    </row>
    <row r="2299" spans="1:10" x14ac:dyDescent="0.35">
      <c r="A2299" s="2" t="s">
        <v>2335</v>
      </c>
      <c r="B2299" s="4">
        <v>67</v>
      </c>
      <c r="C2299" t="s">
        <v>11</v>
      </c>
      <c r="D2299" t="s">
        <v>39</v>
      </c>
      <c r="E2299" t="s">
        <v>42</v>
      </c>
      <c r="F2299" t="s">
        <v>14</v>
      </c>
      <c r="G2299" s="4">
        <v>3</v>
      </c>
      <c r="H2299" s="1">
        <v>59285</v>
      </c>
      <c r="I2299" s="3" t="s">
        <v>21</v>
      </c>
      <c r="J2299" s="4">
        <v>1</v>
      </c>
    </row>
    <row r="2300" spans="1:10" x14ac:dyDescent="0.35">
      <c r="A2300" s="2" t="s">
        <v>2336</v>
      </c>
      <c r="B2300" s="4">
        <v>46</v>
      </c>
      <c r="C2300" t="s">
        <v>11</v>
      </c>
      <c r="D2300" t="s">
        <v>33</v>
      </c>
      <c r="E2300" t="s">
        <v>37</v>
      </c>
      <c r="F2300" t="s">
        <v>30</v>
      </c>
      <c r="G2300" s="4">
        <v>11</v>
      </c>
      <c r="H2300" s="1">
        <v>10178</v>
      </c>
      <c r="I2300" s="3" t="s">
        <v>15</v>
      </c>
      <c r="J2300" s="4">
        <v>1</v>
      </c>
    </row>
    <row r="2301" spans="1:10" x14ac:dyDescent="0.35">
      <c r="A2301" s="2" t="s">
        <v>2337</v>
      </c>
      <c r="B2301" s="4">
        <v>7</v>
      </c>
      <c r="C2301" t="s">
        <v>11</v>
      </c>
      <c r="D2301" t="s">
        <v>39</v>
      </c>
      <c r="E2301" t="s">
        <v>53</v>
      </c>
      <c r="F2301" t="s">
        <v>14</v>
      </c>
      <c r="G2301" s="4">
        <v>5</v>
      </c>
      <c r="H2301" s="1">
        <v>35580</v>
      </c>
      <c r="I2301" s="3" t="s">
        <v>21</v>
      </c>
      <c r="J2301" s="4">
        <v>4</v>
      </c>
    </row>
    <row r="2302" spans="1:10" x14ac:dyDescent="0.35">
      <c r="A2302" s="2" t="s">
        <v>2338</v>
      </c>
      <c r="B2302" s="4">
        <v>55</v>
      </c>
      <c r="C2302" t="s">
        <v>17</v>
      </c>
      <c r="D2302" t="s">
        <v>39</v>
      </c>
      <c r="E2302" t="s">
        <v>65</v>
      </c>
      <c r="F2302" t="s">
        <v>30</v>
      </c>
      <c r="G2302" s="4">
        <v>11</v>
      </c>
      <c r="H2302" s="1">
        <v>79221</v>
      </c>
      <c r="I2302" s="3" t="s">
        <v>15</v>
      </c>
      <c r="J2302" s="4">
        <v>3</v>
      </c>
    </row>
    <row r="2303" spans="1:10" x14ac:dyDescent="0.35">
      <c r="A2303" s="2" t="s">
        <v>2339</v>
      </c>
      <c r="B2303" s="4">
        <v>42</v>
      </c>
      <c r="C2303" t="s">
        <v>17</v>
      </c>
      <c r="D2303" t="s">
        <v>41</v>
      </c>
      <c r="E2303" t="s">
        <v>19</v>
      </c>
      <c r="F2303" t="s">
        <v>14</v>
      </c>
      <c r="G2303" s="4">
        <v>4</v>
      </c>
      <c r="H2303" s="1">
        <v>78756</v>
      </c>
      <c r="I2303" s="3" t="s">
        <v>21</v>
      </c>
      <c r="J2303" s="4">
        <v>1</v>
      </c>
    </row>
    <row r="2304" spans="1:10" x14ac:dyDescent="0.35">
      <c r="A2304" s="2" t="s">
        <v>2340</v>
      </c>
      <c r="B2304" s="4">
        <v>13</v>
      </c>
      <c r="C2304" t="s">
        <v>17</v>
      </c>
      <c r="D2304" t="s">
        <v>41</v>
      </c>
      <c r="E2304" t="s">
        <v>34</v>
      </c>
      <c r="F2304" t="s">
        <v>14</v>
      </c>
      <c r="G2304" s="4">
        <v>10</v>
      </c>
      <c r="H2304" s="1">
        <v>66950</v>
      </c>
      <c r="I2304" s="3" t="s">
        <v>15</v>
      </c>
      <c r="J2304" s="4">
        <v>3</v>
      </c>
    </row>
    <row r="2305" spans="1:10" x14ac:dyDescent="0.35">
      <c r="A2305" s="2" t="s">
        <v>2341</v>
      </c>
      <c r="B2305" s="4">
        <v>53</v>
      </c>
      <c r="C2305" t="s">
        <v>17</v>
      </c>
      <c r="D2305" t="s">
        <v>28</v>
      </c>
      <c r="E2305" t="s">
        <v>27</v>
      </c>
      <c r="F2305" t="s">
        <v>20</v>
      </c>
      <c r="G2305" s="4">
        <v>9</v>
      </c>
      <c r="H2305" s="1">
        <v>94459</v>
      </c>
      <c r="I2305" s="3" t="s">
        <v>21</v>
      </c>
      <c r="J2305" s="4">
        <v>4</v>
      </c>
    </row>
    <row r="2306" spans="1:10" x14ac:dyDescent="0.35">
      <c r="A2306" s="2" t="s">
        <v>2342</v>
      </c>
      <c r="B2306" s="4">
        <v>5</v>
      </c>
      <c r="C2306" t="s">
        <v>17</v>
      </c>
      <c r="D2306" t="s">
        <v>49</v>
      </c>
      <c r="E2306" t="s">
        <v>19</v>
      </c>
      <c r="F2306" t="s">
        <v>14</v>
      </c>
      <c r="G2306" s="4">
        <v>12</v>
      </c>
      <c r="H2306" s="1">
        <v>96450</v>
      </c>
      <c r="I2306" s="3" t="s">
        <v>15</v>
      </c>
      <c r="J2306" s="4">
        <v>2</v>
      </c>
    </row>
    <row r="2307" spans="1:10" x14ac:dyDescent="0.35">
      <c r="A2307" s="2" t="s">
        <v>2343</v>
      </c>
      <c r="B2307" s="4">
        <v>55</v>
      </c>
      <c r="C2307" t="s">
        <v>17</v>
      </c>
      <c r="D2307" t="s">
        <v>28</v>
      </c>
      <c r="E2307" t="s">
        <v>65</v>
      </c>
      <c r="F2307" t="s">
        <v>14</v>
      </c>
      <c r="G2307" s="4">
        <v>5</v>
      </c>
      <c r="H2307" s="1">
        <v>34603</v>
      </c>
      <c r="I2307" s="3" t="s">
        <v>15</v>
      </c>
      <c r="J2307" s="4">
        <v>5</v>
      </c>
    </row>
    <row r="2308" spans="1:10" x14ac:dyDescent="0.35">
      <c r="A2308" s="2" t="s">
        <v>2344</v>
      </c>
      <c r="B2308" s="4">
        <v>47</v>
      </c>
      <c r="C2308" t="s">
        <v>11</v>
      </c>
      <c r="D2308" t="s">
        <v>26</v>
      </c>
      <c r="E2308" t="s">
        <v>42</v>
      </c>
      <c r="F2308" t="s">
        <v>14</v>
      </c>
      <c r="G2308" s="4">
        <v>10</v>
      </c>
      <c r="H2308" s="1">
        <v>24774</v>
      </c>
      <c r="I2308" s="3" t="s">
        <v>21</v>
      </c>
      <c r="J2308" s="4">
        <v>4</v>
      </c>
    </row>
    <row r="2309" spans="1:10" x14ac:dyDescent="0.35">
      <c r="A2309" s="2" t="s">
        <v>2345</v>
      </c>
      <c r="B2309" s="4">
        <v>1</v>
      </c>
      <c r="C2309" t="s">
        <v>17</v>
      </c>
      <c r="D2309" t="s">
        <v>28</v>
      </c>
      <c r="E2309" t="s">
        <v>13</v>
      </c>
      <c r="F2309" t="s">
        <v>14</v>
      </c>
      <c r="G2309" s="4">
        <v>7</v>
      </c>
      <c r="H2309" s="1">
        <v>34479</v>
      </c>
      <c r="I2309" s="3" t="s">
        <v>21</v>
      </c>
      <c r="J2309" s="4">
        <v>5</v>
      </c>
    </row>
    <row r="2310" spans="1:10" x14ac:dyDescent="0.35">
      <c r="A2310" s="2" t="s">
        <v>2346</v>
      </c>
      <c r="B2310" s="4">
        <v>71</v>
      </c>
      <c r="C2310" t="s">
        <v>11</v>
      </c>
      <c r="D2310" t="s">
        <v>12</v>
      </c>
      <c r="E2310" t="s">
        <v>42</v>
      </c>
      <c r="F2310" t="s">
        <v>30</v>
      </c>
      <c r="G2310" s="4">
        <v>3</v>
      </c>
      <c r="H2310" s="1">
        <v>5469</v>
      </c>
      <c r="I2310" s="3" t="s">
        <v>21</v>
      </c>
      <c r="J2310" s="4">
        <v>3</v>
      </c>
    </row>
    <row r="2311" spans="1:10" x14ac:dyDescent="0.35">
      <c r="A2311" s="2" t="s">
        <v>2347</v>
      </c>
      <c r="B2311" s="4">
        <v>68</v>
      </c>
      <c r="C2311" t="s">
        <v>17</v>
      </c>
      <c r="D2311" t="s">
        <v>49</v>
      </c>
      <c r="E2311" t="s">
        <v>42</v>
      </c>
      <c r="F2311" t="s">
        <v>20</v>
      </c>
      <c r="G2311" s="4">
        <v>7</v>
      </c>
      <c r="H2311" s="1">
        <v>40672</v>
      </c>
      <c r="I2311" s="3" t="s">
        <v>15</v>
      </c>
      <c r="J2311" s="4">
        <v>4</v>
      </c>
    </row>
    <row r="2312" spans="1:10" x14ac:dyDescent="0.35">
      <c r="A2312" s="2" t="s">
        <v>2348</v>
      </c>
      <c r="B2312" s="4">
        <v>74</v>
      </c>
      <c r="C2312" t="s">
        <v>17</v>
      </c>
      <c r="D2312" t="s">
        <v>12</v>
      </c>
      <c r="E2312" t="s">
        <v>27</v>
      </c>
      <c r="F2312" t="s">
        <v>20</v>
      </c>
      <c r="G2312" s="4">
        <v>4</v>
      </c>
      <c r="H2312" s="1">
        <v>92563</v>
      </c>
      <c r="I2312" s="3" t="s">
        <v>15</v>
      </c>
      <c r="J2312" s="4">
        <v>3</v>
      </c>
    </row>
    <row r="2313" spans="1:10" x14ac:dyDescent="0.35">
      <c r="A2313" s="2" t="s">
        <v>2349</v>
      </c>
      <c r="B2313" s="4">
        <v>12</v>
      </c>
      <c r="C2313" t="s">
        <v>17</v>
      </c>
      <c r="D2313" t="s">
        <v>18</v>
      </c>
      <c r="E2313" t="s">
        <v>34</v>
      </c>
      <c r="F2313" t="s">
        <v>30</v>
      </c>
      <c r="G2313" s="4">
        <v>11</v>
      </c>
      <c r="H2313" s="1">
        <v>52955</v>
      </c>
      <c r="I2313" s="3" t="s">
        <v>21</v>
      </c>
      <c r="J2313" s="4">
        <v>2</v>
      </c>
    </row>
    <row r="2314" spans="1:10" x14ac:dyDescent="0.35">
      <c r="A2314" s="2" t="s">
        <v>2350</v>
      </c>
      <c r="B2314" s="4">
        <v>10</v>
      </c>
      <c r="C2314" t="s">
        <v>17</v>
      </c>
      <c r="D2314" t="s">
        <v>23</v>
      </c>
      <c r="E2314" t="s">
        <v>13</v>
      </c>
      <c r="F2314" t="s">
        <v>30</v>
      </c>
      <c r="G2314" s="4">
        <v>8</v>
      </c>
      <c r="H2314" s="1">
        <v>13424</v>
      </c>
      <c r="I2314" s="3" t="s">
        <v>21</v>
      </c>
      <c r="J2314" s="4">
        <v>5</v>
      </c>
    </row>
    <row r="2315" spans="1:10" x14ac:dyDescent="0.35">
      <c r="A2315" s="2" t="s">
        <v>2351</v>
      </c>
      <c r="B2315" s="4">
        <v>75</v>
      </c>
      <c r="C2315" t="s">
        <v>11</v>
      </c>
      <c r="D2315" t="s">
        <v>23</v>
      </c>
      <c r="E2315" t="s">
        <v>24</v>
      </c>
      <c r="F2315" t="s">
        <v>14</v>
      </c>
      <c r="G2315" s="4">
        <v>2</v>
      </c>
      <c r="H2315" s="1">
        <v>79942</v>
      </c>
      <c r="I2315" s="3" t="s">
        <v>21</v>
      </c>
      <c r="J2315" s="4">
        <v>3</v>
      </c>
    </row>
    <row r="2316" spans="1:10" x14ac:dyDescent="0.35">
      <c r="A2316" s="2" t="s">
        <v>2352</v>
      </c>
      <c r="B2316" s="4">
        <v>57</v>
      </c>
      <c r="C2316" t="s">
        <v>11</v>
      </c>
      <c r="D2316" t="s">
        <v>36</v>
      </c>
      <c r="E2316" t="s">
        <v>27</v>
      </c>
      <c r="F2316" t="s">
        <v>30</v>
      </c>
      <c r="G2316" s="4">
        <v>3</v>
      </c>
      <c r="H2316" s="1">
        <v>51016</v>
      </c>
      <c r="I2316" s="3" t="s">
        <v>15</v>
      </c>
      <c r="J2316" s="4">
        <v>2</v>
      </c>
    </row>
    <row r="2317" spans="1:10" x14ac:dyDescent="0.35">
      <c r="A2317" s="2" t="s">
        <v>2353</v>
      </c>
      <c r="B2317" s="4">
        <v>12</v>
      </c>
      <c r="C2317" t="s">
        <v>11</v>
      </c>
      <c r="D2317" t="s">
        <v>33</v>
      </c>
      <c r="E2317" t="s">
        <v>65</v>
      </c>
      <c r="F2317" t="s">
        <v>14</v>
      </c>
      <c r="G2317" s="4">
        <v>3</v>
      </c>
      <c r="H2317" s="1">
        <v>11214</v>
      </c>
      <c r="I2317" s="3" t="s">
        <v>21</v>
      </c>
      <c r="J2317" s="4">
        <v>3</v>
      </c>
    </row>
    <row r="2318" spans="1:10" x14ac:dyDescent="0.35">
      <c r="A2318" s="2" t="s">
        <v>2354</v>
      </c>
      <c r="B2318" s="4">
        <v>45</v>
      </c>
      <c r="C2318" t="s">
        <v>11</v>
      </c>
      <c r="D2318" t="s">
        <v>18</v>
      </c>
      <c r="E2318" t="s">
        <v>37</v>
      </c>
      <c r="F2318" t="s">
        <v>14</v>
      </c>
      <c r="G2318" s="4">
        <v>12</v>
      </c>
      <c r="H2318" s="1">
        <v>58602</v>
      </c>
      <c r="I2318" s="3" t="s">
        <v>15</v>
      </c>
      <c r="J2318" s="4">
        <v>4</v>
      </c>
    </row>
    <row r="2319" spans="1:10" x14ac:dyDescent="0.35">
      <c r="A2319" s="2" t="s">
        <v>2355</v>
      </c>
      <c r="B2319" s="4">
        <v>42</v>
      </c>
      <c r="C2319" t="s">
        <v>17</v>
      </c>
      <c r="D2319" t="s">
        <v>12</v>
      </c>
      <c r="E2319" t="s">
        <v>13</v>
      </c>
      <c r="F2319" t="s">
        <v>14</v>
      </c>
      <c r="G2319" s="4">
        <v>9</v>
      </c>
      <c r="H2319" s="1">
        <v>75871</v>
      </c>
      <c r="I2319" s="3" t="s">
        <v>15</v>
      </c>
      <c r="J2319" s="4">
        <v>2</v>
      </c>
    </row>
    <row r="2320" spans="1:10" x14ac:dyDescent="0.35">
      <c r="A2320" s="2" t="s">
        <v>2356</v>
      </c>
      <c r="B2320" s="4">
        <v>61</v>
      </c>
      <c r="C2320" t="s">
        <v>17</v>
      </c>
      <c r="D2320" t="s">
        <v>33</v>
      </c>
      <c r="E2320" t="s">
        <v>42</v>
      </c>
      <c r="F2320" t="s">
        <v>20</v>
      </c>
      <c r="G2320" s="4">
        <v>3</v>
      </c>
      <c r="H2320" s="1">
        <v>77097</v>
      </c>
      <c r="I2320" s="3" t="s">
        <v>21</v>
      </c>
      <c r="J2320" s="4">
        <v>2</v>
      </c>
    </row>
    <row r="2321" spans="1:10" x14ac:dyDescent="0.35">
      <c r="A2321" s="2" t="s">
        <v>2357</v>
      </c>
      <c r="B2321" s="4">
        <v>13</v>
      </c>
      <c r="C2321" t="s">
        <v>11</v>
      </c>
      <c r="D2321" t="s">
        <v>49</v>
      </c>
      <c r="E2321" t="s">
        <v>29</v>
      </c>
      <c r="F2321" t="s">
        <v>20</v>
      </c>
      <c r="G2321" s="4">
        <v>9</v>
      </c>
      <c r="H2321" s="1">
        <v>61143</v>
      </c>
      <c r="I2321" s="3" t="s">
        <v>21</v>
      </c>
      <c r="J2321" s="4">
        <v>1</v>
      </c>
    </row>
    <row r="2322" spans="1:10" x14ac:dyDescent="0.35">
      <c r="A2322" s="2" t="s">
        <v>2358</v>
      </c>
      <c r="B2322" s="4">
        <v>89</v>
      </c>
      <c r="C2322" t="s">
        <v>17</v>
      </c>
      <c r="D2322" t="s">
        <v>28</v>
      </c>
      <c r="E2322" t="s">
        <v>34</v>
      </c>
      <c r="F2322" t="s">
        <v>14</v>
      </c>
      <c r="G2322" s="4">
        <v>11</v>
      </c>
      <c r="H2322" s="1">
        <v>81014</v>
      </c>
      <c r="I2322" s="3" t="s">
        <v>21</v>
      </c>
      <c r="J2322" s="4">
        <v>4</v>
      </c>
    </row>
    <row r="2323" spans="1:10" x14ac:dyDescent="0.35">
      <c r="A2323" s="2" t="s">
        <v>2359</v>
      </c>
      <c r="B2323" s="4">
        <v>82</v>
      </c>
      <c r="C2323" t="s">
        <v>11</v>
      </c>
      <c r="D2323" t="s">
        <v>33</v>
      </c>
      <c r="E2323" t="s">
        <v>37</v>
      </c>
      <c r="F2323" t="s">
        <v>30</v>
      </c>
      <c r="G2323" s="4">
        <v>4</v>
      </c>
      <c r="H2323" s="1">
        <v>92311</v>
      </c>
      <c r="I2323" s="3" t="s">
        <v>21</v>
      </c>
      <c r="J2323" s="4">
        <v>2</v>
      </c>
    </row>
    <row r="2324" spans="1:10" x14ac:dyDescent="0.35">
      <c r="A2324" s="2" t="s">
        <v>2360</v>
      </c>
      <c r="B2324" s="4">
        <v>90</v>
      </c>
      <c r="C2324" t="s">
        <v>11</v>
      </c>
      <c r="D2324" t="s">
        <v>36</v>
      </c>
      <c r="E2324" t="s">
        <v>24</v>
      </c>
      <c r="F2324" t="s">
        <v>20</v>
      </c>
      <c r="G2324" s="4">
        <v>5</v>
      </c>
      <c r="H2324" s="1">
        <v>94385</v>
      </c>
      <c r="I2324" s="3" t="s">
        <v>21</v>
      </c>
      <c r="J2324" s="4">
        <v>2</v>
      </c>
    </row>
    <row r="2325" spans="1:10" x14ac:dyDescent="0.35">
      <c r="A2325" s="2" t="s">
        <v>2361</v>
      </c>
      <c r="B2325" s="4">
        <v>7</v>
      </c>
      <c r="C2325" t="s">
        <v>11</v>
      </c>
      <c r="D2325" t="s">
        <v>18</v>
      </c>
      <c r="E2325" t="s">
        <v>65</v>
      </c>
      <c r="F2325" t="s">
        <v>30</v>
      </c>
      <c r="G2325" s="4">
        <v>4</v>
      </c>
      <c r="H2325" s="1">
        <v>29288</v>
      </c>
      <c r="I2325" s="3" t="s">
        <v>21</v>
      </c>
      <c r="J2325" s="4">
        <v>1</v>
      </c>
    </row>
    <row r="2326" spans="1:10" x14ac:dyDescent="0.35">
      <c r="A2326" s="2" t="s">
        <v>2362</v>
      </c>
      <c r="B2326" s="4">
        <v>44</v>
      </c>
      <c r="C2326" t="s">
        <v>17</v>
      </c>
      <c r="D2326" t="s">
        <v>39</v>
      </c>
      <c r="E2326" t="s">
        <v>65</v>
      </c>
      <c r="F2326" t="s">
        <v>14</v>
      </c>
      <c r="G2326" s="4">
        <v>13</v>
      </c>
      <c r="H2326" s="1">
        <v>58095</v>
      </c>
      <c r="I2326" s="3" t="s">
        <v>21</v>
      </c>
      <c r="J2326" s="4">
        <v>4</v>
      </c>
    </row>
    <row r="2327" spans="1:10" x14ac:dyDescent="0.35">
      <c r="A2327" s="2" t="s">
        <v>2363</v>
      </c>
      <c r="B2327" s="4">
        <v>67</v>
      </c>
      <c r="C2327" t="s">
        <v>17</v>
      </c>
      <c r="D2327" t="s">
        <v>12</v>
      </c>
      <c r="E2327" t="s">
        <v>53</v>
      </c>
      <c r="F2327" t="s">
        <v>20</v>
      </c>
      <c r="G2327" s="4">
        <v>13</v>
      </c>
      <c r="H2327" s="1">
        <v>14051</v>
      </c>
      <c r="I2327" s="3" t="s">
        <v>15</v>
      </c>
      <c r="J2327" s="4">
        <v>5</v>
      </c>
    </row>
    <row r="2328" spans="1:10" x14ac:dyDescent="0.35">
      <c r="A2328" s="2" t="s">
        <v>2364</v>
      </c>
      <c r="B2328" s="4">
        <v>23</v>
      </c>
      <c r="C2328" t="s">
        <v>17</v>
      </c>
      <c r="D2328" t="s">
        <v>49</v>
      </c>
      <c r="E2328" t="s">
        <v>13</v>
      </c>
      <c r="F2328" t="s">
        <v>20</v>
      </c>
      <c r="G2328" s="4">
        <v>12</v>
      </c>
      <c r="H2328" s="1">
        <v>77974</v>
      </c>
      <c r="I2328" s="3" t="s">
        <v>21</v>
      </c>
      <c r="J2328" s="4">
        <v>3</v>
      </c>
    </row>
    <row r="2329" spans="1:10" x14ac:dyDescent="0.35">
      <c r="A2329" s="2" t="s">
        <v>2365</v>
      </c>
      <c r="B2329" s="4">
        <v>79</v>
      </c>
      <c r="C2329" t="s">
        <v>17</v>
      </c>
      <c r="D2329" t="s">
        <v>23</v>
      </c>
      <c r="E2329" t="s">
        <v>29</v>
      </c>
      <c r="F2329" t="s">
        <v>14</v>
      </c>
      <c r="G2329" s="4">
        <v>6</v>
      </c>
      <c r="H2329" s="1">
        <v>10866</v>
      </c>
      <c r="I2329" s="3" t="s">
        <v>15</v>
      </c>
      <c r="J2329" s="4">
        <v>5</v>
      </c>
    </row>
    <row r="2330" spans="1:10" x14ac:dyDescent="0.35">
      <c r="A2330" s="2" t="s">
        <v>2366</v>
      </c>
      <c r="B2330" s="4">
        <v>51</v>
      </c>
      <c r="C2330" t="s">
        <v>17</v>
      </c>
      <c r="D2330" t="s">
        <v>39</v>
      </c>
      <c r="E2330" t="s">
        <v>27</v>
      </c>
      <c r="F2330" t="s">
        <v>20</v>
      </c>
      <c r="G2330" s="4">
        <v>2</v>
      </c>
      <c r="H2330" s="1">
        <v>50797</v>
      </c>
      <c r="I2330" s="3" t="s">
        <v>21</v>
      </c>
      <c r="J2330" s="4">
        <v>2</v>
      </c>
    </row>
    <row r="2331" spans="1:10" x14ac:dyDescent="0.35">
      <c r="A2331" s="2" t="s">
        <v>2367</v>
      </c>
      <c r="B2331" s="4">
        <v>55</v>
      </c>
      <c r="C2331" t="s">
        <v>11</v>
      </c>
      <c r="D2331" t="s">
        <v>41</v>
      </c>
      <c r="E2331" t="s">
        <v>19</v>
      </c>
      <c r="F2331" t="s">
        <v>20</v>
      </c>
      <c r="G2331" s="4">
        <v>1</v>
      </c>
      <c r="H2331" s="1">
        <v>61611</v>
      </c>
      <c r="I2331" s="3" t="s">
        <v>15</v>
      </c>
      <c r="J2331" s="4">
        <v>3</v>
      </c>
    </row>
    <row r="2332" spans="1:10" x14ac:dyDescent="0.35">
      <c r="A2332" s="2" t="s">
        <v>2368</v>
      </c>
      <c r="B2332" s="4">
        <v>38</v>
      </c>
      <c r="C2332" t="s">
        <v>11</v>
      </c>
      <c r="D2332" t="s">
        <v>36</v>
      </c>
      <c r="E2332" t="s">
        <v>65</v>
      </c>
      <c r="F2332" t="s">
        <v>14</v>
      </c>
      <c r="G2332" s="4">
        <v>2</v>
      </c>
      <c r="H2332" s="1">
        <v>71850</v>
      </c>
      <c r="I2332" s="3" t="s">
        <v>21</v>
      </c>
      <c r="J2332" s="4">
        <v>4</v>
      </c>
    </row>
    <row r="2333" spans="1:10" x14ac:dyDescent="0.35">
      <c r="A2333" s="2" t="s">
        <v>2369</v>
      </c>
      <c r="B2333" s="4">
        <v>72</v>
      </c>
      <c r="C2333" t="s">
        <v>17</v>
      </c>
      <c r="D2333" t="s">
        <v>41</v>
      </c>
      <c r="E2333" t="s">
        <v>65</v>
      </c>
      <c r="F2333" t="s">
        <v>30</v>
      </c>
      <c r="G2333" s="4">
        <v>5</v>
      </c>
      <c r="H2333" s="1">
        <v>6714</v>
      </c>
      <c r="I2333" s="3" t="s">
        <v>15</v>
      </c>
      <c r="J2333" s="4">
        <v>3</v>
      </c>
    </row>
    <row r="2334" spans="1:10" x14ac:dyDescent="0.35">
      <c r="A2334" s="2" t="s">
        <v>2370</v>
      </c>
      <c r="B2334" s="4">
        <v>10</v>
      </c>
      <c r="C2334" t="s">
        <v>11</v>
      </c>
      <c r="D2334" t="s">
        <v>49</v>
      </c>
      <c r="E2334" t="s">
        <v>19</v>
      </c>
      <c r="F2334" t="s">
        <v>14</v>
      </c>
      <c r="G2334" s="4">
        <v>8</v>
      </c>
      <c r="H2334" s="1">
        <v>36160</v>
      </c>
      <c r="I2334" s="3" t="s">
        <v>21</v>
      </c>
      <c r="J2334" s="4">
        <v>5</v>
      </c>
    </row>
    <row r="2335" spans="1:10" x14ac:dyDescent="0.35">
      <c r="A2335" s="2" t="s">
        <v>2371</v>
      </c>
      <c r="B2335" s="4">
        <v>57</v>
      </c>
      <c r="C2335" t="s">
        <v>17</v>
      </c>
      <c r="D2335" t="s">
        <v>26</v>
      </c>
      <c r="E2335" t="s">
        <v>53</v>
      </c>
      <c r="F2335" t="s">
        <v>14</v>
      </c>
      <c r="G2335" s="4">
        <v>2</v>
      </c>
      <c r="H2335" s="1">
        <v>45478</v>
      </c>
      <c r="I2335" s="3" t="s">
        <v>15</v>
      </c>
      <c r="J2335" s="4">
        <v>4</v>
      </c>
    </row>
    <row r="2336" spans="1:10" x14ac:dyDescent="0.35">
      <c r="A2336" s="2" t="s">
        <v>2372</v>
      </c>
      <c r="B2336" s="4">
        <v>44</v>
      </c>
      <c r="C2336" t="s">
        <v>11</v>
      </c>
      <c r="D2336" t="s">
        <v>49</v>
      </c>
      <c r="E2336" t="s">
        <v>42</v>
      </c>
      <c r="F2336" t="s">
        <v>20</v>
      </c>
      <c r="G2336" s="4">
        <v>14</v>
      </c>
      <c r="H2336" s="1">
        <v>66220</v>
      </c>
      <c r="I2336" s="3" t="s">
        <v>15</v>
      </c>
      <c r="J2336" s="4">
        <v>2</v>
      </c>
    </row>
    <row r="2337" spans="1:10" x14ac:dyDescent="0.35">
      <c r="A2337" s="2" t="s">
        <v>2373</v>
      </c>
      <c r="B2337" s="4">
        <v>38</v>
      </c>
      <c r="C2337" t="s">
        <v>11</v>
      </c>
      <c r="D2337" t="s">
        <v>41</v>
      </c>
      <c r="E2337" t="s">
        <v>53</v>
      </c>
      <c r="F2337" t="s">
        <v>14</v>
      </c>
      <c r="G2337" s="4">
        <v>4</v>
      </c>
      <c r="H2337" s="1">
        <v>97124</v>
      </c>
      <c r="I2337" s="3" t="s">
        <v>15</v>
      </c>
      <c r="J2337" s="4">
        <v>2</v>
      </c>
    </row>
    <row r="2338" spans="1:10" x14ac:dyDescent="0.35">
      <c r="A2338" s="2" t="s">
        <v>2374</v>
      </c>
      <c r="B2338" s="4">
        <v>84</v>
      </c>
      <c r="C2338" t="s">
        <v>11</v>
      </c>
      <c r="D2338" t="s">
        <v>36</v>
      </c>
      <c r="E2338" t="s">
        <v>42</v>
      </c>
      <c r="F2338" t="s">
        <v>20</v>
      </c>
      <c r="G2338" s="4">
        <v>5</v>
      </c>
      <c r="H2338" s="1">
        <v>56807</v>
      </c>
      <c r="I2338" s="3" t="s">
        <v>15</v>
      </c>
      <c r="J2338" s="4">
        <v>1</v>
      </c>
    </row>
    <row r="2339" spans="1:10" x14ac:dyDescent="0.35">
      <c r="A2339" s="2" t="s">
        <v>2375</v>
      </c>
      <c r="B2339" s="4">
        <v>16</v>
      </c>
      <c r="C2339" t="s">
        <v>11</v>
      </c>
      <c r="D2339" t="s">
        <v>23</v>
      </c>
      <c r="E2339" t="s">
        <v>19</v>
      </c>
      <c r="F2339" t="s">
        <v>14</v>
      </c>
      <c r="G2339" s="4">
        <v>4</v>
      </c>
      <c r="H2339" s="1">
        <v>98317</v>
      </c>
      <c r="I2339" s="3" t="s">
        <v>21</v>
      </c>
      <c r="J2339" s="4">
        <v>1</v>
      </c>
    </row>
    <row r="2340" spans="1:10" x14ac:dyDescent="0.35">
      <c r="A2340" s="2" t="s">
        <v>2376</v>
      </c>
      <c r="B2340" s="4">
        <v>10</v>
      </c>
      <c r="C2340" t="s">
        <v>11</v>
      </c>
      <c r="D2340" t="s">
        <v>18</v>
      </c>
      <c r="E2340" t="s">
        <v>34</v>
      </c>
      <c r="F2340" t="s">
        <v>14</v>
      </c>
      <c r="G2340" s="4">
        <v>13</v>
      </c>
      <c r="H2340" s="1">
        <v>51215</v>
      </c>
      <c r="I2340" s="3" t="s">
        <v>21</v>
      </c>
      <c r="J2340" s="4">
        <v>3</v>
      </c>
    </row>
    <row r="2341" spans="1:10" x14ac:dyDescent="0.35">
      <c r="A2341" s="2" t="s">
        <v>2377</v>
      </c>
      <c r="B2341" s="4">
        <v>20</v>
      </c>
      <c r="C2341" t="s">
        <v>17</v>
      </c>
      <c r="D2341" t="s">
        <v>28</v>
      </c>
      <c r="E2341" t="s">
        <v>42</v>
      </c>
      <c r="F2341" t="s">
        <v>30</v>
      </c>
      <c r="G2341" s="4">
        <v>10</v>
      </c>
      <c r="H2341" s="1">
        <v>29576</v>
      </c>
      <c r="I2341" s="3" t="s">
        <v>15</v>
      </c>
      <c r="J2341" s="4">
        <v>5</v>
      </c>
    </row>
    <row r="2342" spans="1:10" x14ac:dyDescent="0.35">
      <c r="A2342" s="2" t="s">
        <v>2378</v>
      </c>
      <c r="B2342" s="4">
        <v>48</v>
      </c>
      <c r="C2342" t="s">
        <v>17</v>
      </c>
      <c r="D2342" t="s">
        <v>28</v>
      </c>
      <c r="E2342" t="s">
        <v>24</v>
      </c>
      <c r="F2342" t="s">
        <v>14</v>
      </c>
      <c r="G2342" s="4">
        <v>5</v>
      </c>
      <c r="H2342" s="1">
        <v>12937</v>
      </c>
      <c r="I2342" s="3" t="s">
        <v>21</v>
      </c>
      <c r="J2342" s="4">
        <v>4</v>
      </c>
    </row>
    <row r="2343" spans="1:10" x14ac:dyDescent="0.35">
      <c r="A2343" s="2" t="s">
        <v>2379</v>
      </c>
      <c r="B2343" s="4">
        <v>71</v>
      </c>
      <c r="C2343" t="s">
        <v>17</v>
      </c>
      <c r="D2343" t="s">
        <v>41</v>
      </c>
      <c r="E2343" t="s">
        <v>24</v>
      </c>
      <c r="F2343" t="s">
        <v>20</v>
      </c>
      <c r="G2343" s="4">
        <v>3</v>
      </c>
      <c r="H2343" s="1">
        <v>17131</v>
      </c>
      <c r="I2343" s="3" t="s">
        <v>21</v>
      </c>
      <c r="J2343" s="4">
        <v>1</v>
      </c>
    </row>
    <row r="2344" spans="1:10" x14ac:dyDescent="0.35">
      <c r="A2344" s="2" t="s">
        <v>2380</v>
      </c>
      <c r="B2344" s="4">
        <v>67</v>
      </c>
      <c r="C2344" t="s">
        <v>17</v>
      </c>
      <c r="D2344" t="s">
        <v>33</v>
      </c>
      <c r="E2344" t="s">
        <v>42</v>
      </c>
      <c r="F2344" t="s">
        <v>14</v>
      </c>
      <c r="G2344" s="4">
        <v>8</v>
      </c>
      <c r="H2344" s="1">
        <v>85638</v>
      </c>
      <c r="I2344" s="3" t="s">
        <v>15</v>
      </c>
      <c r="J2344" s="4">
        <v>4</v>
      </c>
    </row>
    <row r="2345" spans="1:10" x14ac:dyDescent="0.35">
      <c r="A2345" s="2" t="s">
        <v>2381</v>
      </c>
      <c r="B2345" s="4">
        <v>9</v>
      </c>
      <c r="C2345" t="s">
        <v>17</v>
      </c>
      <c r="D2345" t="s">
        <v>12</v>
      </c>
      <c r="E2345" t="s">
        <v>24</v>
      </c>
      <c r="F2345" t="s">
        <v>14</v>
      </c>
      <c r="G2345" s="4">
        <v>1</v>
      </c>
      <c r="H2345" s="1">
        <v>9336</v>
      </c>
      <c r="I2345" s="3" t="s">
        <v>21</v>
      </c>
      <c r="J2345" s="4">
        <v>3</v>
      </c>
    </row>
    <row r="2346" spans="1:10" x14ac:dyDescent="0.35">
      <c r="A2346" s="2" t="s">
        <v>2382</v>
      </c>
      <c r="B2346" s="4">
        <v>19</v>
      </c>
      <c r="C2346" t="s">
        <v>17</v>
      </c>
      <c r="D2346" t="s">
        <v>23</v>
      </c>
      <c r="E2346" t="s">
        <v>53</v>
      </c>
      <c r="F2346" t="s">
        <v>30</v>
      </c>
      <c r="G2346" s="4">
        <v>7</v>
      </c>
      <c r="H2346" s="1">
        <v>73462</v>
      </c>
      <c r="I2346" s="3" t="s">
        <v>15</v>
      </c>
      <c r="J2346" s="4">
        <v>3</v>
      </c>
    </row>
    <row r="2347" spans="1:10" x14ac:dyDescent="0.35">
      <c r="A2347" s="2" t="s">
        <v>2383</v>
      </c>
      <c r="B2347" s="4">
        <v>48</v>
      </c>
      <c r="C2347" t="s">
        <v>17</v>
      </c>
      <c r="D2347" t="s">
        <v>12</v>
      </c>
      <c r="E2347" t="s">
        <v>24</v>
      </c>
      <c r="F2347" t="s">
        <v>20</v>
      </c>
      <c r="G2347" s="4">
        <v>3</v>
      </c>
      <c r="H2347" s="1">
        <v>92410</v>
      </c>
      <c r="I2347" s="3" t="s">
        <v>15</v>
      </c>
      <c r="J2347" s="4">
        <v>3</v>
      </c>
    </row>
    <row r="2348" spans="1:10" x14ac:dyDescent="0.35">
      <c r="A2348" s="2" t="s">
        <v>2384</v>
      </c>
      <c r="B2348" s="4">
        <v>88</v>
      </c>
      <c r="C2348" t="s">
        <v>11</v>
      </c>
      <c r="D2348" t="s">
        <v>26</v>
      </c>
      <c r="E2348" t="s">
        <v>24</v>
      </c>
      <c r="F2348" t="s">
        <v>20</v>
      </c>
      <c r="G2348" s="4">
        <v>4</v>
      </c>
      <c r="H2348" s="1">
        <v>36694</v>
      </c>
      <c r="I2348" s="3" t="s">
        <v>15</v>
      </c>
      <c r="J2348" s="4">
        <v>4</v>
      </c>
    </row>
    <row r="2349" spans="1:10" x14ac:dyDescent="0.35">
      <c r="A2349" s="2" t="s">
        <v>2385</v>
      </c>
      <c r="B2349" s="4">
        <v>85</v>
      </c>
      <c r="C2349" t="s">
        <v>11</v>
      </c>
      <c r="D2349" t="s">
        <v>28</v>
      </c>
      <c r="E2349" t="s">
        <v>13</v>
      </c>
      <c r="F2349" t="s">
        <v>14</v>
      </c>
      <c r="G2349" s="4">
        <v>12</v>
      </c>
      <c r="H2349" s="1">
        <v>46968</v>
      </c>
      <c r="I2349" s="3" t="s">
        <v>15</v>
      </c>
      <c r="J2349" s="4">
        <v>1</v>
      </c>
    </row>
    <row r="2350" spans="1:10" x14ac:dyDescent="0.35">
      <c r="A2350" s="2" t="s">
        <v>2386</v>
      </c>
      <c r="B2350" s="4">
        <v>36</v>
      </c>
      <c r="C2350" t="s">
        <v>17</v>
      </c>
      <c r="D2350" t="s">
        <v>26</v>
      </c>
      <c r="E2350" t="s">
        <v>19</v>
      </c>
      <c r="F2350" t="s">
        <v>30</v>
      </c>
      <c r="G2350" s="4">
        <v>6</v>
      </c>
      <c r="H2350" s="1">
        <v>43619</v>
      </c>
      <c r="I2350" s="3" t="s">
        <v>21</v>
      </c>
      <c r="J2350" s="4">
        <v>5</v>
      </c>
    </row>
    <row r="2351" spans="1:10" x14ac:dyDescent="0.35">
      <c r="A2351" s="2" t="s">
        <v>2387</v>
      </c>
      <c r="B2351" s="4">
        <v>1</v>
      </c>
      <c r="C2351" t="s">
        <v>11</v>
      </c>
      <c r="D2351" t="s">
        <v>33</v>
      </c>
      <c r="E2351" t="s">
        <v>42</v>
      </c>
      <c r="F2351" t="s">
        <v>14</v>
      </c>
      <c r="G2351" s="4">
        <v>7</v>
      </c>
      <c r="H2351" s="1">
        <v>59050</v>
      </c>
      <c r="I2351" s="3" t="s">
        <v>21</v>
      </c>
      <c r="J2351" s="4">
        <v>2</v>
      </c>
    </row>
    <row r="2352" spans="1:10" x14ac:dyDescent="0.35">
      <c r="A2352" s="2" t="s">
        <v>2388</v>
      </c>
      <c r="B2352" s="4">
        <v>32</v>
      </c>
      <c r="C2352" t="s">
        <v>17</v>
      </c>
      <c r="D2352" t="s">
        <v>12</v>
      </c>
      <c r="E2352" t="s">
        <v>42</v>
      </c>
      <c r="F2352" t="s">
        <v>20</v>
      </c>
      <c r="G2352" s="4">
        <v>4</v>
      </c>
      <c r="H2352" s="1">
        <v>92834</v>
      </c>
      <c r="I2352" s="3" t="s">
        <v>21</v>
      </c>
      <c r="J2352" s="4">
        <v>4</v>
      </c>
    </row>
    <row r="2353" spans="1:10" x14ac:dyDescent="0.35">
      <c r="A2353" s="2" t="s">
        <v>2389</v>
      </c>
      <c r="B2353" s="4">
        <v>64</v>
      </c>
      <c r="C2353" t="s">
        <v>11</v>
      </c>
      <c r="D2353" t="s">
        <v>26</v>
      </c>
      <c r="E2353" t="s">
        <v>29</v>
      </c>
      <c r="F2353" t="s">
        <v>14</v>
      </c>
      <c r="G2353" s="4">
        <v>3</v>
      </c>
      <c r="H2353" s="1">
        <v>6423</v>
      </c>
      <c r="I2353" s="3" t="s">
        <v>21</v>
      </c>
      <c r="J2353" s="4">
        <v>4</v>
      </c>
    </row>
    <row r="2354" spans="1:10" x14ac:dyDescent="0.35">
      <c r="A2354" s="2" t="s">
        <v>2390</v>
      </c>
      <c r="B2354" s="4">
        <v>1</v>
      </c>
      <c r="C2354" t="s">
        <v>17</v>
      </c>
      <c r="D2354" t="s">
        <v>49</v>
      </c>
      <c r="E2354" t="s">
        <v>13</v>
      </c>
      <c r="F2354" t="s">
        <v>14</v>
      </c>
      <c r="G2354" s="4">
        <v>1</v>
      </c>
      <c r="H2354" s="1">
        <v>47500</v>
      </c>
      <c r="I2354" s="3" t="s">
        <v>15</v>
      </c>
      <c r="J2354" s="4">
        <v>1</v>
      </c>
    </row>
    <row r="2355" spans="1:10" x14ac:dyDescent="0.35">
      <c r="A2355" s="2" t="s">
        <v>2391</v>
      </c>
      <c r="B2355" s="4">
        <v>87</v>
      </c>
      <c r="C2355" t="s">
        <v>17</v>
      </c>
      <c r="D2355" t="s">
        <v>49</v>
      </c>
      <c r="E2355" t="s">
        <v>27</v>
      </c>
      <c r="F2355" t="s">
        <v>14</v>
      </c>
      <c r="G2355" s="4">
        <v>14</v>
      </c>
      <c r="H2355" s="1">
        <v>98480</v>
      </c>
      <c r="I2355" s="3" t="s">
        <v>21</v>
      </c>
      <c r="J2355" s="4">
        <v>3</v>
      </c>
    </row>
    <row r="2356" spans="1:10" x14ac:dyDescent="0.35">
      <c r="A2356" s="2" t="s">
        <v>2392</v>
      </c>
      <c r="B2356" s="4">
        <v>78</v>
      </c>
      <c r="C2356" t="s">
        <v>17</v>
      </c>
      <c r="D2356" t="s">
        <v>39</v>
      </c>
      <c r="E2356" t="s">
        <v>29</v>
      </c>
      <c r="F2356" t="s">
        <v>30</v>
      </c>
      <c r="G2356" s="4">
        <v>7</v>
      </c>
      <c r="H2356" s="1">
        <v>67803</v>
      </c>
      <c r="I2356" s="3" t="s">
        <v>15</v>
      </c>
      <c r="J2356" s="4">
        <v>4</v>
      </c>
    </row>
    <row r="2357" spans="1:10" x14ac:dyDescent="0.35">
      <c r="A2357" s="2" t="s">
        <v>2393</v>
      </c>
      <c r="B2357" s="4">
        <v>26</v>
      </c>
      <c r="C2357" t="s">
        <v>11</v>
      </c>
      <c r="D2357" t="s">
        <v>12</v>
      </c>
      <c r="E2357" t="s">
        <v>53</v>
      </c>
      <c r="F2357" t="s">
        <v>30</v>
      </c>
      <c r="G2357" s="4">
        <v>7</v>
      </c>
      <c r="H2357" s="1">
        <v>74411</v>
      </c>
      <c r="I2357" s="3" t="s">
        <v>15</v>
      </c>
      <c r="J2357" s="4">
        <v>3</v>
      </c>
    </row>
    <row r="2358" spans="1:10" x14ac:dyDescent="0.35">
      <c r="A2358" s="2" t="s">
        <v>2394</v>
      </c>
      <c r="B2358" s="4">
        <v>83</v>
      </c>
      <c r="C2358" t="s">
        <v>17</v>
      </c>
      <c r="D2358" t="s">
        <v>33</v>
      </c>
      <c r="E2358" t="s">
        <v>42</v>
      </c>
      <c r="F2358" t="s">
        <v>20</v>
      </c>
      <c r="G2358" s="4">
        <v>3</v>
      </c>
      <c r="H2358" s="1">
        <v>18012</v>
      </c>
      <c r="I2358" s="3" t="s">
        <v>21</v>
      </c>
      <c r="J2358" s="4">
        <v>2</v>
      </c>
    </row>
    <row r="2359" spans="1:10" x14ac:dyDescent="0.35">
      <c r="A2359" s="2" t="s">
        <v>2395</v>
      </c>
      <c r="B2359" s="4">
        <v>47</v>
      </c>
      <c r="C2359" t="s">
        <v>17</v>
      </c>
      <c r="D2359" t="s">
        <v>18</v>
      </c>
      <c r="E2359" t="s">
        <v>34</v>
      </c>
      <c r="F2359" t="s">
        <v>14</v>
      </c>
      <c r="G2359" s="4">
        <v>5</v>
      </c>
      <c r="H2359" s="1">
        <v>54526</v>
      </c>
      <c r="I2359" s="3" t="s">
        <v>15</v>
      </c>
      <c r="J2359" s="4">
        <v>1</v>
      </c>
    </row>
    <row r="2360" spans="1:10" x14ac:dyDescent="0.35">
      <c r="A2360" s="2" t="s">
        <v>2396</v>
      </c>
      <c r="B2360" s="4">
        <v>34</v>
      </c>
      <c r="C2360" t="s">
        <v>11</v>
      </c>
      <c r="D2360" t="s">
        <v>39</v>
      </c>
      <c r="E2360" t="s">
        <v>29</v>
      </c>
      <c r="F2360" t="s">
        <v>30</v>
      </c>
      <c r="G2360" s="4">
        <v>15</v>
      </c>
      <c r="H2360" s="1">
        <v>60291</v>
      </c>
      <c r="I2360" s="3" t="s">
        <v>15</v>
      </c>
      <c r="J2360" s="4">
        <v>5</v>
      </c>
    </row>
    <row r="2361" spans="1:10" x14ac:dyDescent="0.35">
      <c r="A2361" s="2" t="s">
        <v>2397</v>
      </c>
      <c r="B2361" s="4">
        <v>25</v>
      </c>
      <c r="C2361" t="s">
        <v>11</v>
      </c>
      <c r="D2361" t="s">
        <v>49</v>
      </c>
      <c r="E2361" t="s">
        <v>37</v>
      </c>
      <c r="F2361" t="s">
        <v>14</v>
      </c>
      <c r="G2361" s="4">
        <v>8</v>
      </c>
      <c r="H2361" s="1">
        <v>19474</v>
      </c>
      <c r="I2361" s="3" t="s">
        <v>15</v>
      </c>
      <c r="J2361" s="4">
        <v>1</v>
      </c>
    </row>
    <row r="2362" spans="1:10" x14ac:dyDescent="0.35">
      <c r="A2362" s="2" t="s">
        <v>2398</v>
      </c>
      <c r="B2362" s="4">
        <v>56</v>
      </c>
      <c r="C2362" t="s">
        <v>11</v>
      </c>
      <c r="D2362" t="s">
        <v>41</v>
      </c>
      <c r="E2362" t="s">
        <v>65</v>
      </c>
      <c r="F2362" t="s">
        <v>30</v>
      </c>
      <c r="G2362" s="4">
        <v>11</v>
      </c>
      <c r="H2362" s="1">
        <v>63029</v>
      </c>
      <c r="I2362" s="3" t="s">
        <v>21</v>
      </c>
      <c r="J2362" s="4">
        <v>1</v>
      </c>
    </row>
    <row r="2363" spans="1:10" x14ac:dyDescent="0.35">
      <c r="A2363" s="2" t="s">
        <v>2399</v>
      </c>
      <c r="B2363" s="4">
        <v>17</v>
      </c>
      <c r="C2363" t="s">
        <v>11</v>
      </c>
      <c r="D2363" t="s">
        <v>39</v>
      </c>
      <c r="E2363" t="s">
        <v>53</v>
      </c>
      <c r="F2363" t="s">
        <v>14</v>
      </c>
      <c r="G2363" s="4">
        <v>2</v>
      </c>
      <c r="H2363" s="1">
        <v>19840</v>
      </c>
      <c r="I2363" s="3" t="s">
        <v>21</v>
      </c>
      <c r="J2363" s="4">
        <v>1</v>
      </c>
    </row>
    <row r="2364" spans="1:10" x14ac:dyDescent="0.35">
      <c r="A2364" s="2" t="s">
        <v>2400</v>
      </c>
      <c r="B2364" s="4">
        <v>61</v>
      </c>
      <c r="C2364" t="s">
        <v>11</v>
      </c>
      <c r="D2364" t="s">
        <v>39</v>
      </c>
      <c r="E2364" t="s">
        <v>65</v>
      </c>
      <c r="F2364" t="s">
        <v>30</v>
      </c>
      <c r="G2364" s="4">
        <v>12</v>
      </c>
      <c r="H2364" s="1">
        <v>99028</v>
      </c>
      <c r="I2364" s="3" t="s">
        <v>21</v>
      </c>
      <c r="J2364" s="4">
        <v>5</v>
      </c>
    </row>
    <row r="2365" spans="1:10" x14ac:dyDescent="0.35">
      <c r="A2365" s="2" t="s">
        <v>2401</v>
      </c>
      <c r="B2365" s="4">
        <v>70</v>
      </c>
      <c r="C2365" t="s">
        <v>11</v>
      </c>
      <c r="D2365" t="s">
        <v>41</v>
      </c>
      <c r="E2365" t="s">
        <v>65</v>
      </c>
      <c r="F2365" t="s">
        <v>30</v>
      </c>
      <c r="G2365" s="4">
        <v>6</v>
      </c>
      <c r="H2365" s="1">
        <v>73974</v>
      </c>
      <c r="I2365" s="3" t="s">
        <v>21</v>
      </c>
      <c r="J2365" s="4">
        <v>1</v>
      </c>
    </row>
    <row r="2366" spans="1:10" x14ac:dyDescent="0.35">
      <c r="A2366" s="2" t="s">
        <v>2402</v>
      </c>
      <c r="B2366" s="4">
        <v>29</v>
      </c>
      <c r="C2366" t="s">
        <v>11</v>
      </c>
      <c r="D2366" t="s">
        <v>18</v>
      </c>
      <c r="E2366" t="s">
        <v>34</v>
      </c>
      <c r="F2366" t="s">
        <v>20</v>
      </c>
      <c r="G2366" s="4">
        <v>8</v>
      </c>
      <c r="H2366" s="1">
        <v>83762</v>
      </c>
      <c r="I2366" s="3" t="s">
        <v>15</v>
      </c>
      <c r="J2366" s="4">
        <v>5</v>
      </c>
    </row>
    <row r="2367" spans="1:10" x14ac:dyDescent="0.35">
      <c r="A2367" s="2" t="s">
        <v>2403</v>
      </c>
      <c r="B2367" s="4">
        <v>43</v>
      </c>
      <c r="C2367" t="s">
        <v>11</v>
      </c>
      <c r="D2367" t="s">
        <v>18</v>
      </c>
      <c r="E2367" t="s">
        <v>42</v>
      </c>
      <c r="F2367" t="s">
        <v>20</v>
      </c>
      <c r="G2367" s="4">
        <v>5</v>
      </c>
      <c r="H2367" s="1">
        <v>50509</v>
      </c>
      <c r="I2367" s="3" t="s">
        <v>21</v>
      </c>
      <c r="J2367" s="4">
        <v>3</v>
      </c>
    </row>
    <row r="2368" spans="1:10" x14ac:dyDescent="0.35">
      <c r="A2368" s="2" t="s">
        <v>2404</v>
      </c>
      <c r="B2368" s="4">
        <v>26</v>
      </c>
      <c r="C2368" t="s">
        <v>11</v>
      </c>
      <c r="D2368" t="s">
        <v>23</v>
      </c>
      <c r="E2368" t="s">
        <v>34</v>
      </c>
      <c r="F2368" t="s">
        <v>14</v>
      </c>
      <c r="G2368" s="4">
        <v>14</v>
      </c>
      <c r="H2368" s="1">
        <v>85150</v>
      </c>
      <c r="I2368" s="3" t="s">
        <v>15</v>
      </c>
      <c r="J2368" s="4">
        <v>3</v>
      </c>
    </row>
    <row r="2369" spans="1:10" x14ac:dyDescent="0.35">
      <c r="A2369" s="2" t="s">
        <v>2405</v>
      </c>
      <c r="B2369" s="4">
        <v>27</v>
      </c>
      <c r="C2369" t="s">
        <v>11</v>
      </c>
      <c r="D2369" t="s">
        <v>33</v>
      </c>
      <c r="E2369" t="s">
        <v>13</v>
      </c>
      <c r="F2369" t="s">
        <v>20</v>
      </c>
      <c r="G2369" s="4">
        <v>1</v>
      </c>
      <c r="H2369" s="1">
        <v>55878</v>
      </c>
      <c r="I2369" s="3" t="s">
        <v>21</v>
      </c>
      <c r="J2369" s="4">
        <v>1</v>
      </c>
    </row>
    <row r="2370" spans="1:10" x14ac:dyDescent="0.35">
      <c r="A2370" s="2" t="s">
        <v>2406</v>
      </c>
      <c r="B2370" s="4">
        <v>45</v>
      </c>
      <c r="C2370" t="s">
        <v>17</v>
      </c>
      <c r="D2370" t="s">
        <v>23</v>
      </c>
      <c r="E2370" t="s">
        <v>27</v>
      </c>
      <c r="F2370" t="s">
        <v>14</v>
      </c>
      <c r="G2370" s="4">
        <v>2</v>
      </c>
      <c r="H2370" s="1">
        <v>10634</v>
      </c>
      <c r="I2370" s="3" t="s">
        <v>15</v>
      </c>
      <c r="J2370" s="4">
        <v>5</v>
      </c>
    </row>
    <row r="2371" spans="1:10" x14ac:dyDescent="0.35">
      <c r="A2371" s="2" t="s">
        <v>2407</v>
      </c>
      <c r="B2371" s="4">
        <v>61</v>
      </c>
      <c r="C2371" t="s">
        <v>17</v>
      </c>
      <c r="D2371" t="s">
        <v>23</v>
      </c>
      <c r="E2371" t="s">
        <v>42</v>
      </c>
      <c r="F2371" t="s">
        <v>30</v>
      </c>
      <c r="G2371" s="4">
        <v>9</v>
      </c>
      <c r="H2371" s="1">
        <v>46798</v>
      </c>
      <c r="I2371" s="3" t="s">
        <v>21</v>
      </c>
      <c r="J2371" s="4">
        <v>3</v>
      </c>
    </row>
    <row r="2372" spans="1:10" x14ac:dyDescent="0.35">
      <c r="A2372" s="2" t="s">
        <v>2408</v>
      </c>
      <c r="B2372" s="4">
        <v>69</v>
      </c>
      <c r="C2372" t="s">
        <v>11</v>
      </c>
      <c r="D2372" t="s">
        <v>41</v>
      </c>
      <c r="E2372" t="s">
        <v>65</v>
      </c>
      <c r="F2372" t="s">
        <v>30</v>
      </c>
      <c r="G2372" s="4">
        <v>9</v>
      </c>
      <c r="H2372" s="1">
        <v>66815</v>
      </c>
      <c r="I2372" s="3" t="s">
        <v>15</v>
      </c>
      <c r="J2372" s="4">
        <v>2</v>
      </c>
    </row>
    <row r="2373" spans="1:10" x14ac:dyDescent="0.35">
      <c r="A2373" s="2" t="s">
        <v>2409</v>
      </c>
      <c r="B2373" s="4">
        <v>47</v>
      </c>
      <c r="C2373" t="s">
        <v>11</v>
      </c>
      <c r="D2373" t="s">
        <v>26</v>
      </c>
      <c r="E2373" t="s">
        <v>13</v>
      </c>
      <c r="F2373" t="s">
        <v>30</v>
      </c>
      <c r="G2373" s="4">
        <v>9</v>
      </c>
      <c r="H2373" s="1">
        <v>34681</v>
      </c>
      <c r="I2373" s="3" t="s">
        <v>15</v>
      </c>
      <c r="J2373" s="4">
        <v>3</v>
      </c>
    </row>
    <row r="2374" spans="1:10" x14ac:dyDescent="0.35">
      <c r="A2374" s="2" t="s">
        <v>2410</v>
      </c>
      <c r="B2374" s="4">
        <v>53</v>
      </c>
      <c r="C2374" t="s">
        <v>17</v>
      </c>
      <c r="D2374" t="s">
        <v>41</v>
      </c>
      <c r="E2374" t="s">
        <v>13</v>
      </c>
      <c r="F2374" t="s">
        <v>30</v>
      </c>
      <c r="G2374" s="4">
        <v>13</v>
      </c>
      <c r="H2374" s="1">
        <v>27541</v>
      </c>
      <c r="I2374" s="3" t="s">
        <v>21</v>
      </c>
      <c r="J2374" s="4">
        <v>2</v>
      </c>
    </row>
    <row r="2375" spans="1:10" x14ac:dyDescent="0.35">
      <c r="A2375" s="2" t="s">
        <v>2411</v>
      </c>
      <c r="B2375" s="4">
        <v>57</v>
      </c>
      <c r="C2375" t="s">
        <v>17</v>
      </c>
      <c r="D2375" t="s">
        <v>28</v>
      </c>
      <c r="E2375" t="s">
        <v>65</v>
      </c>
      <c r="F2375" t="s">
        <v>20</v>
      </c>
      <c r="G2375" s="4">
        <v>3</v>
      </c>
      <c r="H2375" s="1">
        <v>42537</v>
      </c>
      <c r="I2375" s="3" t="s">
        <v>15</v>
      </c>
      <c r="J2375" s="4">
        <v>4</v>
      </c>
    </row>
    <row r="2376" spans="1:10" x14ac:dyDescent="0.35">
      <c r="A2376" s="2" t="s">
        <v>2412</v>
      </c>
      <c r="B2376" s="4">
        <v>53</v>
      </c>
      <c r="C2376" t="s">
        <v>17</v>
      </c>
      <c r="D2376" t="s">
        <v>39</v>
      </c>
      <c r="E2376" t="s">
        <v>24</v>
      </c>
      <c r="F2376" t="s">
        <v>30</v>
      </c>
      <c r="G2376" s="4">
        <v>8</v>
      </c>
      <c r="H2376" s="1">
        <v>48158</v>
      </c>
      <c r="I2376" s="3" t="s">
        <v>15</v>
      </c>
      <c r="J2376" s="4">
        <v>3</v>
      </c>
    </row>
    <row r="2377" spans="1:10" x14ac:dyDescent="0.35">
      <c r="A2377" s="2" t="s">
        <v>2413</v>
      </c>
      <c r="B2377" s="4">
        <v>89</v>
      </c>
      <c r="C2377" t="s">
        <v>11</v>
      </c>
      <c r="D2377" t="s">
        <v>49</v>
      </c>
      <c r="E2377" t="s">
        <v>34</v>
      </c>
      <c r="F2377" t="s">
        <v>30</v>
      </c>
      <c r="G2377" s="4">
        <v>6</v>
      </c>
      <c r="H2377" s="1">
        <v>58136</v>
      </c>
      <c r="I2377" s="3" t="s">
        <v>15</v>
      </c>
      <c r="J2377" s="4">
        <v>3</v>
      </c>
    </row>
    <row r="2378" spans="1:10" x14ac:dyDescent="0.35">
      <c r="A2378" s="2" t="s">
        <v>2414</v>
      </c>
      <c r="B2378" s="4">
        <v>21</v>
      </c>
      <c r="C2378" t="s">
        <v>11</v>
      </c>
      <c r="D2378" t="s">
        <v>39</v>
      </c>
      <c r="E2378" t="s">
        <v>53</v>
      </c>
      <c r="F2378" t="s">
        <v>20</v>
      </c>
      <c r="G2378" s="4">
        <v>15</v>
      </c>
      <c r="H2378" s="1">
        <v>21533</v>
      </c>
      <c r="I2378" s="3" t="s">
        <v>21</v>
      </c>
      <c r="J2378" s="4">
        <v>1</v>
      </c>
    </row>
    <row r="2379" spans="1:10" x14ac:dyDescent="0.35">
      <c r="A2379" s="2" t="s">
        <v>2415</v>
      </c>
      <c r="B2379" s="4">
        <v>72</v>
      </c>
      <c r="C2379" t="s">
        <v>11</v>
      </c>
      <c r="D2379" t="s">
        <v>39</v>
      </c>
      <c r="E2379" t="s">
        <v>24</v>
      </c>
      <c r="F2379" t="s">
        <v>14</v>
      </c>
      <c r="G2379" s="4">
        <v>14</v>
      </c>
      <c r="H2379" s="1">
        <v>39658</v>
      </c>
      <c r="I2379" s="3" t="s">
        <v>21</v>
      </c>
      <c r="J2379" s="4">
        <v>2</v>
      </c>
    </row>
    <row r="2380" spans="1:10" x14ac:dyDescent="0.35">
      <c r="A2380" s="2" t="s">
        <v>2416</v>
      </c>
      <c r="B2380" s="4">
        <v>52</v>
      </c>
      <c r="C2380" t="s">
        <v>11</v>
      </c>
      <c r="D2380" t="s">
        <v>41</v>
      </c>
      <c r="E2380" t="s">
        <v>13</v>
      </c>
      <c r="F2380" t="s">
        <v>30</v>
      </c>
      <c r="G2380" s="4">
        <v>9</v>
      </c>
      <c r="H2380" s="1">
        <v>42347</v>
      </c>
      <c r="I2380" s="3" t="s">
        <v>15</v>
      </c>
      <c r="J2380" s="4">
        <v>5</v>
      </c>
    </row>
    <row r="2381" spans="1:10" x14ac:dyDescent="0.35">
      <c r="A2381" s="2" t="s">
        <v>2417</v>
      </c>
      <c r="B2381" s="4">
        <v>32</v>
      </c>
      <c r="C2381" t="s">
        <v>17</v>
      </c>
      <c r="D2381" t="s">
        <v>23</v>
      </c>
      <c r="E2381" t="s">
        <v>24</v>
      </c>
      <c r="F2381" t="s">
        <v>30</v>
      </c>
      <c r="G2381" s="4">
        <v>7</v>
      </c>
      <c r="H2381" s="1">
        <v>9257</v>
      </c>
      <c r="I2381" s="3" t="s">
        <v>21</v>
      </c>
      <c r="J2381" s="4">
        <v>2</v>
      </c>
    </row>
    <row r="2382" spans="1:10" x14ac:dyDescent="0.35">
      <c r="A2382" s="2" t="s">
        <v>2418</v>
      </c>
      <c r="B2382" s="4">
        <v>11</v>
      </c>
      <c r="C2382" t="s">
        <v>11</v>
      </c>
      <c r="D2382" t="s">
        <v>28</v>
      </c>
      <c r="E2382" t="s">
        <v>24</v>
      </c>
      <c r="F2382" t="s">
        <v>30</v>
      </c>
      <c r="G2382" s="4">
        <v>2</v>
      </c>
      <c r="H2382" s="1">
        <v>5732</v>
      </c>
      <c r="I2382" s="3" t="s">
        <v>15</v>
      </c>
      <c r="J2382" s="4">
        <v>1</v>
      </c>
    </row>
    <row r="2383" spans="1:10" x14ac:dyDescent="0.35">
      <c r="A2383" s="2" t="s">
        <v>2419</v>
      </c>
      <c r="B2383" s="4">
        <v>28</v>
      </c>
      <c r="C2383" t="s">
        <v>11</v>
      </c>
      <c r="D2383" t="s">
        <v>23</v>
      </c>
      <c r="E2383" t="s">
        <v>27</v>
      </c>
      <c r="F2383" t="s">
        <v>14</v>
      </c>
      <c r="G2383" s="4">
        <v>11</v>
      </c>
      <c r="H2383" s="1">
        <v>82598</v>
      </c>
      <c r="I2383" s="3" t="s">
        <v>15</v>
      </c>
      <c r="J2383" s="4">
        <v>3</v>
      </c>
    </row>
    <row r="2384" spans="1:10" x14ac:dyDescent="0.35">
      <c r="A2384" s="2" t="s">
        <v>2420</v>
      </c>
      <c r="B2384" s="4">
        <v>26</v>
      </c>
      <c r="C2384" t="s">
        <v>11</v>
      </c>
      <c r="D2384" t="s">
        <v>26</v>
      </c>
      <c r="E2384" t="s">
        <v>53</v>
      </c>
      <c r="F2384" t="s">
        <v>14</v>
      </c>
      <c r="G2384" s="4">
        <v>5</v>
      </c>
      <c r="H2384" s="1">
        <v>60885</v>
      </c>
      <c r="I2384" s="3" t="s">
        <v>15</v>
      </c>
      <c r="J2384" s="4">
        <v>2</v>
      </c>
    </row>
    <row r="2385" spans="1:10" x14ac:dyDescent="0.35">
      <c r="A2385" s="2" t="s">
        <v>2421</v>
      </c>
      <c r="B2385" s="4">
        <v>13</v>
      </c>
      <c r="C2385" t="s">
        <v>17</v>
      </c>
      <c r="D2385" t="s">
        <v>18</v>
      </c>
      <c r="E2385" t="s">
        <v>19</v>
      </c>
      <c r="F2385" t="s">
        <v>14</v>
      </c>
      <c r="G2385" s="4">
        <v>15</v>
      </c>
      <c r="H2385" s="1">
        <v>28039</v>
      </c>
      <c r="I2385" s="3" t="s">
        <v>21</v>
      </c>
      <c r="J2385" s="4">
        <v>2</v>
      </c>
    </row>
    <row r="2386" spans="1:10" x14ac:dyDescent="0.35">
      <c r="A2386" s="2" t="s">
        <v>2422</v>
      </c>
      <c r="B2386" s="4">
        <v>38</v>
      </c>
      <c r="C2386" t="s">
        <v>11</v>
      </c>
      <c r="D2386" t="s">
        <v>12</v>
      </c>
      <c r="E2386" t="s">
        <v>19</v>
      </c>
      <c r="F2386" t="s">
        <v>14</v>
      </c>
      <c r="G2386" s="4">
        <v>14</v>
      </c>
      <c r="H2386" s="1">
        <v>72321</v>
      </c>
      <c r="I2386" s="3" t="s">
        <v>15</v>
      </c>
      <c r="J2386" s="4">
        <v>5</v>
      </c>
    </row>
    <row r="2387" spans="1:10" x14ac:dyDescent="0.35">
      <c r="A2387" s="2" t="s">
        <v>2423</v>
      </c>
      <c r="B2387" s="4">
        <v>30</v>
      </c>
      <c r="C2387" t="s">
        <v>11</v>
      </c>
      <c r="D2387" t="s">
        <v>26</v>
      </c>
      <c r="E2387" t="s">
        <v>65</v>
      </c>
      <c r="F2387" t="s">
        <v>30</v>
      </c>
      <c r="G2387" s="4">
        <v>4</v>
      </c>
      <c r="H2387" s="1">
        <v>90590</v>
      </c>
      <c r="I2387" s="3" t="s">
        <v>15</v>
      </c>
      <c r="J2387" s="4">
        <v>2</v>
      </c>
    </row>
    <row r="2388" spans="1:10" x14ac:dyDescent="0.35">
      <c r="A2388" s="2" t="s">
        <v>2424</v>
      </c>
      <c r="B2388" s="4">
        <v>35</v>
      </c>
      <c r="C2388" t="s">
        <v>17</v>
      </c>
      <c r="D2388" t="s">
        <v>28</v>
      </c>
      <c r="E2388" t="s">
        <v>37</v>
      </c>
      <c r="F2388" t="s">
        <v>30</v>
      </c>
      <c r="G2388" s="4">
        <v>13</v>
      </c>
      <c r="H2388" s="1">
        <v>82146</v>
      </c>
      <c r="I2388" s="3" t="s">
        <v>21</v>
      </c>
      <c r="J2388" s="4">
        <v>1</v>
      </c>
    </row>
    <row r="2389" spans="1:10" x14ac:dyDescent="0.35">
      <c r="A2389" s="2" t="s">
        <v>2425</v>
      </c>
      <c r="B2389" s="4">
        <v>48</v>
      </c>
      <c r="C2389" t="s">
        <v>11</v>
      </c>
      <c r="D2389" t="s">
        <v>49</v>
      </c>
      <c r="E2389" t="s">
        <v>53</v>
      </c>
      <c r="F2389" t="s">
        <v>20</v>
      </c>
      <c r="G2389" s="4">
        <v>3</v>
      </c>
      <c r="H2389" s="1">
        <v>21763</v>
      </c>
      <c r="I2389" s="3" t="s">
        <v>15</v>
      </c>
      <c r="J2389" s="4">
        <v>1</v>
      </c>
    </row>
    <row r="2390" spans="1:10" x14ac:dyDescent="0.35">
      <c r="A2390" s="2" t="s">
        <v>2426</v>
      </c>
      <c r="B2390" s="4">
        <v>7</v>
      </c>
      <c r="C2390" t="s">
        <v>11</v>
      </c>
      <c r="D2390" t="s">
        <v>39</v>
      </c>
      <c r="E2390" t="s">
        <v>13</v>
      </c>
      <c r="F2390" t="s">
        <v>14</v>
      </c>
      <c r="G2390" s="4">
        <v>4</v>
      </c>
      <c r="H2390" s="1">
        <v>23560</v>
      </c>
      <c r="I2390" s="3" t="s">
        <v>15</v>
      </c>
      <c r="J2390" s="4">
        <v>4</v>
      </c>
    </row>
    <row r="2391" spans="1:10" x14ac:dyDescent="0.35">
      <c r="A2391" s="2" t="s">
        <v>2427</v>
      </c>
      <c r="B2391" s="4">
        <v>53</v>
      </c>
      <c r="C2391" t="s">
        <v>17</v>
      </c>
      <c r="D2391" t="s">
        <v>18</v>
      </c>
      <c r="E2391" t="s">
        <v>27</v>
      </c>
      <c r="F2391" t="s">
        <v>14</v>
      </c>
      <c r="G2391" s="4">
        <v>4</v>
      </c>
      <c r="H2391" s="1">
        <v>73101</v>
      </c>
      <c r="I2391" s="3" t="s">
        <v>21</v>
      </c>
      <c r="J2391" s="4">
        <v>4</v>
      </c>
    </row>
    <row r="2392" spans="1:10" x14ac:dyDescent="0.35">
      <c r="A2392" s="2" t="s">
        <v>2428</v>
      </c>
      <c r="B2392" s="4">
        <v>27</v>
      </c>
      <c r="C2392" t="s">
        <v>17</v>
      </c>
      <c r="D2392" t="s">
        <v>39</v>
      </c>
      <c r="E2392" t="s">
        <v>24</v>
      </c>
      <c r="F2392" t="s">
        <v>30</v>
      </c>
      <c r="G2392" s="4">
        <v>5</v>
      </c>
      <c r="H2392" s="1">
        <v>11430</v>
      </c>
      <c r="I2392" s="3" t="s">
        <v>21</v>
      </c>
      <c r="J2392" s="4">
        <v>3</v>
      </c>
    </row>
    <row r="2393" spans="1:10" x14ac:dyDescent="0.35">
      <c r="A2393" s="2" t="s">
        <v>2429</v>
      </c>
      <c r="B2393" s="4">
        <v>50</v>
      </c>
      <c r="C2393" t="s">
        <v>17</v>
      </c>
      <c r="D2393" t="s">
        <v>23</v>
      </c>
      <c r="E2393" t="s">
        <v>27</v>
      </c>
      <c r="F2393" t="s">
        <v>20</v>
      </c>
      <c r="G2393" s="4">
        <v>3</v>
      </c>
      <c r="H2393" s="1">
        <v>79021</v>
      </c>
      <c r="I2393" s="3" t="s">
        <v>15</v>
      </c>
      <c r="J2393" s="4">
        <v>2</v>
      </c>
    </row>
    <row r="2394" spans="1:10" x14ac:dyDescent="0.35">
      <c r="A2394" s="2" t="s">
        <v>2430</v>
      </c>
      <c r="B2394" s="4">
        <v>66</v>
      </c>
      <c r="C2394" t="s">
        <v>11</v>
      </c>
      <c r="D2394" t="s">
        <v>18</v>
      </c>
      <c r="E2394" t="s">
        <v>65</v>
      </c>
      <c r="F2394" t="s">
        <v>20</v>
      </c>
      <c r="G2394" s="4">
        <v>13</v>
      </c>
      <c r="H2394" s="1">
        <v>91109</v>
      </c>
      <c r="I2394" s="3" t="s">
        <v>15</v>
      </c>
      <c r="J2394" s="4">
        <v>5</v>
      </c>
    </row>
    <row r="2395" spans="1:10" x14ac:dyDescent="0.35">
      <c r="A2395" s="2" t="s">
        <v>2431</v>
      </c>
      <c r="B2395" s="4">
        <v>80</v>
      </c>
      <c r="C2395" t="s">
        <v>11</v>
      </c>
      <c r="D2395" t="s">
        <v>28</v>
      </c>
      <c r="E2395" t="s">
        <v>65</v>
      </c>
      <c r="F2395" t="s">
        <v>20</v>
      </c>
      <c r="G2395" s="4">
        <v>5</v>
      </c>
      <c r="H2395" s="1">
        <v>97475</v>
      </c>
      <c r="I2395" s="3" t="s">
        <v>15</v>
      </c>
      <c r="J2395" s="4">
        <v>2</v>
      </c>
    </row>
    <row r="2396" spans="1:10" x14ac:dyDescent="0.35">
      <c r="A2396" s="2" t="s">
        <v>2432</v>
      </c>
      <c r="B2396" s="4">
        <v>75</v>
      </c>
      <c r="C2396" t="s">
        <v>17</v>
      </c>
      <c r="D2396" t="s">
        <v>36</v>
      </c>
      <c r="E2396" t="s">
        <v>24</v>
      </c>
      <c r="F2396" t="s">
        <v>30</v>
      </c>
      <c r="G2396" s="4">
        <v>9</v>
      </c>
      <c r="H2396" s="1">
        <v>80722</v>
      </c>
      <c r="I2396" s="3" t="s">
        <v>21</v>
      </c>
      <c r="J2396" s="4">
        <v>5</v>
      </c>
    </row>
    <row r="2397" spans="1:10" x14ac:dyDescent="0.35">
      <c r="A2397" s="2" t="s">
        <v>2433</v>
      </c>
      <c r="B2397" s="4">
        <v>4</v>
      </c>
      <c r="C2397" t="s">
        <v>17</v>
      </c>
      <c r="D2397" t="s">
        <v>41</v>
      </c>
      <c r="E2397" t="s">
        <v>53</v>
      </c>
      <c r="F2397" t="s">
        <v>14</v>
      </c>
      <c r="G2397" s="4">
        <v>14</v>
      </c>
      <c r="H2397" s="1">
        <v>45832</v>
      </c>
      <c r="I2397" s="3" t="s">
        <v>15</v>
      </c>
      <c r="J2397" s="4">
        <v>2</v>
      </c>
    </row>
    <row r="2398" spans="1:10" x14ac:dyDescent="0.35">
      <c r="A2398" s="2" t="s">
        <v>2434</v>
      </c>
      <c r="B2398" s="4">
        <v>24</v>
      </c>
      <c r="C2398" t="s">
        <v>17</v>
      </c>
      <c r="D2398" t="s">
        <v>26</v>
      </c>
      <c r="E2398" t="s">
        <v>29</v>
      </c>
      <c r="F2398" t="s">
        <v>20</v>
      </c>
      <c r="G2398" s="4">
        <v>7</v>
      </c>
      <c r="H2398" s="1">
        <v>84466</v>
      </c>
      <c r="I2398" s="3" t="s">
        <v>21</v>
      </c>
      <c r="J2398" s="4">
        <v>4</v>
      </c>
    </row>
    <row r="2399" spans="1:10" x14ac:dyDescent="0.35">
      <c r="A2399" s="2" t="s">
        <v>2435</v>
      </c>
      <c r="B2399" s="4">
        <v>37</v>
      </c>
      <c r="C2399" t="s">
        <v>11</v>
      </c>
      <c r="D2399" t="s">
        <v>23</v>
      </c>
      <c r="E2399" t="s">
        <v>13</v>
      </c>
      <c r="F2399" t="s">
        <v>20</v>
      </c>
      <c r="G2399" s="4">
        <v>13</v>
      </c>
      <c r="H2399" s="1">
        <v>10402</v>
      </c>
      <c r="I2399" s="3" t="s">
        <v>15</v>
      </c>
      <c r="J2399" s="4">
        <v>1</v>
      </c>
    </row>
    <row r="2400" spans="1:10" x14ac:dyDescent="0.35">
      <c r="A2400" s="2" t="s">
        <v>2436</v>
      </c>
      <c r="B2400" s="4">
        <v>1</v>
      </c>
      <c r="C2400" t="s">
        <v>11</v>
      </c>
      <c r="D2400" t="s">
        <v>33</v>
      </c>
      <c r="E2400" t="s">
        <v>42</v>
      </c>
      <c r="F2400" t="s">
        <v>20</v>
      </c>
      <c r="G2400" s="4">
        <v>11</v>
      </c>
      <c r="H2400" s="1">
        <v>81682</v>
      </c>
      <c r="I2400" s="3" t="s">
        <v>15</v>
      </c>
      <c r="J2400" s="4">
        <v>4</v>
      </c>
    </row>
    <row r="2401" spans="1:10" x14ac:dyDescent="0.35">
      <c r="A2401" s="2" t="s">
        <v>2437</v>
      </c>
      <c r="B2401" s="4">
        <v>58</v>
      </c>
      <c r="C2401" t="s">
        <v>17</v>
      </c>
      <c r="D2401" t="s">
        <v>12</v>
      </c>
      <c r="E2401" t="s">
        <v>34</v>
      </c>
      <c r="F2401" t="s">
        <v>20</v>
      </c>
      <c r="G2401" s="4">
        <v>3</v>
      </c>
      <c r="H2401" s="1">
        <v>36612</v>
      </c>
      <c r="I2401" s="3" t="s">
        <v>21</v>
      </c>
      <c r="J2401" s="4">
        <v>3</v>
      </c>
    </row>
    <row r="2402" spans="1:10" x14ac:dyDescent="0.35">
      <c r="A2402" s="2" t="s">
        <v>2438</v>
      </c>
      <c r="B2402" s="4">
        <v>28</v>
      </c>
      <c r="C2402" t="s">
        <v>17</v>
      </c>
      <c r="D2402" t="s">
        <v>41</v>
      </c>
      <c r="E2402" t="s">
        <v>34</v>
      </c>
      <c r="F2402" t="s">
        <v>30</v>
      </c>
      <c r="G2402" s="4">
        <v>10</v>
      </c>
      <c r="H2402" s="1">
        <v>94077</v>
      </c>
      <c r="I2402" s="3" t="s">
        <v>21</v>
      </c>
      <c r="J2402" s="4">
        <v>3</v>
      </c>
    </row>
    <row r="2403" spans="1:10" x14ac:dyDescent="0.35">
      <c r="A2403" s="2" t="s">
        <v>2439</v>
      </c>
      <c r="B2403" s="4">
        <v>15</v>
      </c>
      <c r="C2403" t="s">
        <v>17</v>
      </c>
      <c r="D2403" t="s">
        <v>39</v>
      </c>
      <c r="E2403" t="s">
        <v>19</v>
      </c>
      <c r="F2403" t="s">
        <v>30</v>
      </c>
      <c r="G2403" s="4">
        <v>11</v>
      </c>
      <c r="H2403" s="1">
        <v>8137</v>
      </c>
      <c r="I2403" s="3" t="s">
        <v>21</v>
      </c>
      <c r="J2403" s="4">
        <v>3</v>
      </c>
    </row>
    <row r="2404" spans="1:10" x14ac:dyDescent="0.35">
      <c r="A2404" s="2" t="s">
        <v>2440</v>
      </c>
      <c r="B2404" s="4">
        <v>12</v>
      </c>
      <c r="C2404" t="s">
        <v>11</v>
      </c>
      <c r="D2404" t="s">
        <v>36</v>
      </c>
      <c r="E2404" t="s">
        <v>53</v>
      </c>
      <c r="F2404" t="s">
        <v>20</v>
      </c>
      <c r="G2404" s="4">
        <v>10</v>
      </c>
      <c r="H2404" s="1">
        <v>26443</v>
      </c>
      <c r="I2404" s="3" t="s">
        <v>15</v>
      </c>
      <c r="J2404" s="4">
        <v>5</v>
      </c>
    </row>
    <row r="2405" spans="1:10" x14ac:dyDescent="0.35">
      <c r="A2405" s="2" t="s">
        <v>2441</v>
      </c>
      <c r="B2405" s="4">
        <v>11</v>
      </c>
      <c r="C2405" t="s">
        <v>11</v>
      </c>
      <c r="D2405" t="s">
        <v>12</v>
      </c>
      <c r="E2405" t="s">
        <v>24</v>
      </c>
      <c r="F2405" t="s">
        <v>14</v>
      </c>
      <c r="G2405" s="4">
        <v>9</v>
      </c>
      <c r="H2405" s="1">
        <v>76797</v>
      </c>
      <c r="I2405" s="3" t="s">
        <v>15</v>
      </c>
      <c r="J2405" s="4">
        <v>2</v>
      </c>
    </row>
    <row r="2406" spans="1:10" x14ac:dyDescent="0.35">
      <c r="A2406" s="2" t="s">
        <v>2442</v>
      </c>
      <c r="B2406" s="4">
        <v>22</v>
      </c>
      <c r="C2406" t="s">
        <v>11</v>
      </c>
      <c r="D2406" t="s">
        <v>33</v>
      </c>
      <c r="E2406" t="s">
        <v>65</v>
      </c>
      <c r="F2406" t="s">
        <v>14</v>
      </c>
      <c r="G2406" s="4">
        <v>6</v>
      </c>
      <c r="H2406" s="1">
        <v>65099</v>
      </c>
      <c r="I2406" s="3" t="s">
        <v>15</v>
      </c>
      <c r="J2406" s="4">
        <v>4</v>
      </c>
    </row>
    <row r="2407" spans="1:10" x14ac:dyDescent="0.35">
      <c r="A2407" s="2" t="s">
        <v>2443</v>
      </c>
      <c r="B2407" s="4">
        <v>62</v>
      </c>
      <c r="C2407" t="s">
        <v>11</v>
      </c>
      <c r="D2407" t="s">
        <v>12</v>
      </c>
      <c r="E2407" t="s">
        <v>27</v>
      </c>
      <c r="F2407" t="s">
        <v>14</v>
      </c>
      <c r="G2407" s="4">
        <v>13</v>
      </c>
      <c r="H2407" s="1">
        <v>51971</v>
      </c>
      <c r="I2407" s="3" t="s">
        <v>21</v>
      </c>
      <c r="J2407" s="4">
        <v>3</v>
      </c>
    </row>
    <row r="2408" spans="1:10" x14ac:dyDescent="0.35">
      <c r="A2408" s="2" t="s">
        <v>2444</v>
      </c>
      <c r="B2408" s="4">
        <v>8</v>
      </c>
      <c r="C2408" t="s">
        <v>17</v>
      </c>
      <c r="D2408" t="s">
        <v>23</v>
      </c>
      <c r="E2408" t="s">
        <v>65</v>
      </c>
      <c r="F2408" t="s">
        <v>30</v>
      </c>
      <c r="G2408" s="4">
        <v>3</v>
      </c>
      <c r="H2408" s="1">
        <v>70996</v>
      </c>
      <c r="I2408" s="3" t="s">
        <v>15</v>
      </c>
      <c r="J2408" s="4">
        <v>1</v>
      </c>
    </row>
    <row r="2409" spans="1:10" x14ac:dyDescent="0.35">
      <c r="A2409" s="2" t="s">
        <v>2445</v>
      </c>
      <c r="B2409" s="4">
        <v>5</v>
      </c>
      <c r="C2409" t="s">
        <v>11</v>
      </c>
      <c r="D2409" t="s">
        <v>12</v>
      </c>
      <c r="E2409" t="s">
        <v>29</v>
      </c>
      <c r="F2409" t="s">
        <v>20</v>
      </c>
      <c r="G2409" s="4">
        <v>5</v>
      </c>
      <c r="H2409" s="1">
        <v>45554</v>
      </c>
      <c r="I2409" s="3" t="s">
        <v>15</v>
      </c>
      <c r="J2409" s="4">
        <v>1</v>
      </c>
    </row>
    <row r="2410" spans="1:10" x14ac:dyDescent="0.35">
      <c r="A2410" s="2" t="s">
        <v>2446</v>
      </c>
      <c r="B2410" s="4">
        <v>72</v>
      </c>
      <c r="C2410" t="s">
        <v>11</v>
      </c>
      <c r="D2410" t="s">
        <v>26</v>
      </c>
      <c r="E2410" t="s">
        <v>65</v>
      </c>
      <c r="F2410" t="s">
        <v>14</v>
      </c>
      <c r="G2410" s="4">
        <v>8</v>
      </c>
      <c r="H2410" s="1">
        <v>38692</v>
      </c>
      <c r="I2410" s="3" t="s">
        <v>21</v>
      </c>
      <c r="J2410" s="4">
        <v>1</v>
      </c>
    </row>
    <row r="2411" spans="1:10" x14ac:dyDescent="0.35">
      <c r="A2411" s="2" t="s">
        <v>2447</v>
      </c>
      <c r="B2411" s="4">
        <v>59</v>
      </c>
      <c r="C2411" t="s">
        <v>11</v>
      </c>
      <c r="D2411" t="s">
        <v>26</v>
      </c>
      <c r="E2411" t="s">
        <v>29</v>
      </c>
      <c r="F2411" t="s">
        <v>14</v>
      </c>
      <c r="G2411" s="4">
        <v>2</v>
      </c>
      <c r="H2411" s="1">
        <v>97176</v>
      </c>
      <c r="I2411" s="3" t="s">
        <v>21</v>
      </c>
      <c r="J2411" s="4">
        <v>1</v>
      </c>
    </row>
    <row r="2412" spans="1:10" x14ac:dyDescent="0.35">
      <c r="A2412" s="2" t="s">
        <v>2448</v>
      </c>
      <c r="B2412" s="4">
        <v>2</v>
      </c>
      <c r="C2412" t="s">
        <v>11</v>
      </c>
      <c r="D2412" t="s">
        <v>33</v>
      </c>
      <c r="E2412" t="s">
        <v>65</v>
      </c>
      <c r="F2412" t="s">
        <v>14</v>
      </c>
      <c r="G2412" s="4">
        <v>4</v>
      </c>
      <c r="H2412" s="1">
        <v>76679</v>
      </c>
      <c r="I2412" s="3" t="s">
        <v>21</v>
      </c>
      <c r="J2412" s="4">
        <v>1</v>
      </c>
    </row>
    <row r="2413" spans="1:10" x14ac:dyDescent="0.35">
      <c r="A2413" s="2" t="s">
        <v>2449</v>
      </c>
      <c r="B2413" s="4">
        <v>78</v>
      </c>
      <c r="C2413" t="s">
        <v>11</v>
      </c>
      <c r="D2413" t="s">
        <v>18</v>
      </c>
      <c r="E2413" t="s">
        <v>24</v>
      </c>
      <c r="F2413" t="s">
        <v>20</v>
      </c>
      <c r="G2413" s="4">
        <v>8</v>
      </c>
      <c r="H2413" s="1">
        <v>60426</v>
      </c>
      <c r="I2413" s="3" t="s">
        <v>15</v>
      </c>
      <c r="J2413" s="4">
        <v>2</v>
      </c>
    </row>
    <row r="2414" spans="1:10" x14ac:dyDescent="0.35">
      <c r="A2414" s="2" t="s">
        <v>2450</v>
      </c>
      <c r="B2414" s="4">
        <v>67</v>
      </c>
      <c r="C2414" t="s">
        <v>17</v>
      </c>
      <c r="D2414" t="s">
        <v>23</v>
      </c>
      <c r="E2414" t="s">
        <v>65</v>
      </c>
      <c r="F2414" t="s">
        <v>20</v>
      </c>
      <c r="G2414" s="4">
        <v>7</v>
      </c>
      <c r="H2414" s="1">
        <v>51970</v>
      </c>
      <c r="I2414" s="3" t="s">
        <v>21</v>
      </c>
      <c r="J2414" s="4">
        <v>5</v>
      </c>
    </row>
    <row r="2415" spans="1:10" x14ac:dyDescent="0.35">
      <c r="A2415" s="2" t="s">
        <v>2451</v>
      </c>
      <c r="B2415" s="4">
        <v>84</v>
      </c>
      <c r="C2415" t="s">
        <v>17</v>
      </c>
      <c r="D2415" t="s">
        <v>12</v>
      </c>
      <c r="E2415" t="s">
        <v>27</v>
      </c>
      <c r="F2415" t="s">
        <v>30</v>
      </c>
      <c r="G2415" s="4">
        <v>11</v>
      </c>
      <c r="H2415" s="1">
        <v>99595</v>
      </c>
      <c r="I2415" s="3" t="s">
        <v>21</v>
      </c>
      <c r="J2415" s="4">
        <v>2</v>
      </c>
    </row>
    <row r="2416" spans="1:10" x14ac:dyDescent="0.35">
      <c r="A2416" s="2" t="s">
        <v>2452</v>
      </c>
      <c r="B2416" s="4">
        <v>89</v>
      </c>
      <c r="C2416" t="s">
        <v>17</v>
      </c>
      <c r="D2416" t="s">
        <v>18</v>
      </c>
      <c r="E2416" t="s">
        <v>53</v>
      </c>
      <c r="F2416" t="s">
        <v>30</v>
      </c>
      <c r="G2416" s="4">
        <v>9</v>
      </c>
      <c r="H2416" s="1">
        <v>78610</v>
      </c>
      <c r="I2416" s="3" t="s">
        <v>15</v>
      </c>
      <c r="J2416" s="4">
        <v>2</v>
      </c>
    </row>
    <row r="2417" spans="1:10" x14ac:dyDescent="0.35">
      <c r="A2417" s="2" t="s">
        <v>2453</v>
      </c>
      <c r="B2417" s="4">
        <v>64</v>
      </c>
      <c r="C2417" t="s">
        <v>17</v>
      </c>
      <c r="D2417" t="s">
        <v>23</v>
      </c>
      <c r="E2417" t="s">
        <v>37</v>
      </c>
      <c r="F2417" t="s">
        <v>30</v>
      </c>
      <c r="G2417" s="4">
        <v>3</v>
      </c>
      <c r="H2417" s="1">
        <v>5565</v>
      </c>
      <c r="I2417" s="3" t="s">
        <v>15</v>
      </c>
      <c r="J2417" s="4">
        <v>1</v>
      </c>
    </row>
    <row r="2418" spans="1:10" x14ac:dyDescent="0.35">
      <c r="A2418" s="2" t="s">
        <v>2454</v>
      </c>
      <c r="B2418" s="4">
        <v>33</v>
      </c>
      <c r="C2418" t="s">
        <v>11</v>
      </c>
      <c r="D2418" t="s">
        <v>18</v>
      </c>
      <c r="E2418" t="s">
        <v>37</v>
      </c>
      <c r="F2418" t="s">
        <v>30</v>
      </c>
      <c r="G2418" s="4">
        <v>8</v>
      </c>
      <c r="H2418" s="1">
        <v>97959</v>
      </c>
      <c r="I2418" s="3" t="s">
        <v>15</v>
      </c>
      <c r="J2418" s="4">
        <v>4</v>
      </c>
    </row>
    <row r="2419" spans="1:10" x14ac:dyDescent="0.35">
      <c r="A2419" s="2" t="s">
        <v>2455</v>
      </c>
      <c r="B2419" s="4">
        <v>17</v>
      </c>
      <c r="C2419" t="s">
        <v>17</v>
      </c>
      <c r="D2419" t="s">
        <v>26</v>
      </c>
      <c r="E2419" t="s">
        <v>19</v>
      </c>
      <c r="F2419" t="s">
        <v>14</v>
      </c>
      <c r="G2419" s="4">
        <v>3</v>
      </c>
      <c r="H2419" s="1">
        <v>14688</v>
      </c>
      <c r="I2419" s="3" t="s">
        <v>21</v>
      </c>
      <c r="J2419" s="4">
        <v>3</v>
      </c>
    </row>
    <row r="2420" spans="1:10" x14ac:dyDescent="0.35">
      <c r="A2420" s="2" t="s">
        <v>2456</v>
      </c>
      <c r="B2420" s="4">
        <v>49</v>
      </c>
      <c r="C2420" t="s">
        <v>17</v>
      </c>
      <c r="D2420" t="s">
        <v>18</v>
      </c>
      <c r="E2420" t="s">
        <v>24</v>
      </c>
      <c r="F2420" t="s">
        <v>14</v>
      </c>
      <c r="G2420" s="4">
        <v>6</v>
      </c>
      <c r="H2420" s="1">
        <v>55355</v>
      </c>
      <c r="I2420" s="3" t="s">
        <v>21</v>
      </c>
      <c r="J2420" s="4">
        <v>3</v>
      </c>
    </row>
    <row r="2421" spans="1:10" x14ac:dyDescent="0.35">
      <c r="A2421" s="2" t="s">
        <v>2457</v>
      </c>
      <c r="B2421" s="4">
        <v>18</v>
      </c>
      <c r="C2421" t="s">
        <v>17</v>
      </c>
      <c r="D2421" t="s">
        <v>36</v>
      </c>
      <c r="E2421" t="s">
        <v>27</v>
      </c>
      <c r="F2421" t="s">
        <v>14</v>
      </c>
      <c r="G2421" s="4">
        <v>6</v>
      </c>
      <c r="H2421" s="1">
        <v>94542</v>
      </c>
      <c r="I2421" s="3" t="s">
        <v>21</v>
      </c>
      <c r="J2421" s="4">
        <v>3</v>
      </c>
    </row>
    <row r="2422" spans="1:10" x14ac:dyDescent="0.35">
      <c r="A2422" s="2" t="s">
        <v>2458</v>
      </c>
      <c r="B2422" s="4">
        <v>8</v>
      </c>
      <c r="C2422" t="s">
        <v>17</v>
      </c>
      <c r="D2422" t="s">
        <v>18</v>
      </c>
      <c r="E2422" t="s">
        <v>53</v>
      </c>
      <c r="F2422" t="s">
        <v>30</v>
      </c>
      <c r="G2422" s="4">
        <v>5</v>
      </c>
      <c r="H2422" s="1">
        <v>21970</v>
      </c>
      <c r="I2422" s="3" t="s">
        <v>15</v>
      </c>
      <c r="J2422" s="4">
        <v>2</v>
      </c>
    </row>
    <row r="2423" spans="1:10" x14ac:dyDescent="0.35">
      <c r="A2423" s="2" t="s">
        <v>2459</v>
      </c>
      <c r="B2423" s="4">
        <v>9</v>
      </c>
      <c r="C2423" t="s">
        <v>11</v>
      </c>
      <c r="D2423" t="s">
        <v>23</v>
      </c>
      <c r="E2423" t="s">
        <v>53</v>
      </c>
      <c r="F2423" t="s">
        <v>20</v>
      </c>
      <c r="G2423" s="4">
        <v>5</v>
      </c>
      <c r="H2423" s="1">
        <v>48310</v>
      </c>
      <c r="I2423" s="3" t="s">
        <v>21</v>
      </c>
      <c r="J2423" s="4">
        <v>4</v>
      </c>
    </row>
    <row r="2424" spans="1:10" x14ac:dyDescent="0.35">
      <c r="A2424" s="2" t="s">
        <v>2460</v>
      </c>
      <c r="B2424" s="4">
        <v>4</v>
      </c>
      <c r="C2424" t="s">
        <v>17</v>
      </c>
      <c r="D2424" t="s">
        <v>12</v>
      </c>
      <c r="E2424" t="s">
        <v>34</v>
      </c>
      <c r="F2424" t="s">
        <v>14</v>
      </c>
      <c r="G2424" s="4">
        <v>4</v>
      </c>
      <c r="H2424" s="1">
        <v>57956</v>
      </c>
      <c r="I2424" s="3" t="s">
        <v>15</v>
      </c>
      <c r="J2424" s="4">
        <v>5</v>
      </c>
    </row>
    <row r="2425" spans="1:10" x14ac:dyDescent="0.35">
      <c r="A2425" s="2" t="s">
        <v>2461</v>
      </c>
      <c r="B2425" s="4">
        <v>7</v>
      </c>
      <c r="C2425" t="s">
        <v>17</v>
      </c>
      <c r="D2425" t="s">
        <v>33</v>
      </c>
      <c r="E2425" t="s">
        <v>29</v>
      </c>
      <c r="F2425" t="s">
        <v>30</v>
      </c>
      <c r="G2425" s="4">
        <v>14</v>
      </c>
      <c r="H2425" s="1">
        <v>15164</v>
      </c>
      <c r="I2425" s="3" t="s">
        <v>15</v>
      </c>
      <c r="J2425" s="4">
        <v>2</v>
      </c>
    </row>
    <row r="2426" spans="1:10" x14ac:dyDescent="0.35">
      <c r="A2426" s="2" t="s">
        <v>2462</v>
      </c>
      <c r="B2426" s="4">
        <v>82</v>
      </c>
      <c r="C2426" t="s">
        <v>17</v>
      </c>
      <c r="D2426" t="s">
        <v>39</v>
      </c>
      <c r="E2426" t="s">
        <v>27</v>
      </c>
      <c r="F2426" t="s">
        <v>20</v>
      </c>
      <c r="G2426" s="4">
        <v>12</v>
      </c>
      <c r="H2426" s="1">
        <v>61479</v>
      </c>
      <c r="I2426" s="3" t="s">
        <v>15</v>
      </c>
      <c r="J2426" s="4">
        <v>5</v>
      </c>
    </row>
    <row r="2427" spans="1:10" x14ac:dyDescent="0.35">
      <c r="A2427" s="2" t="s">
        <v>2463</v>
      </c>
      <c r="B2427" s="4">
        <v>51</v>
      </c>
      <c r="C2427" t="s">
        <v>11</v>
      </c>
      <c r="D2427" t="s">
        <v>12</v>
      </c>
      <c r="E2427" t="s">
        <v>24</v>
      </c>
      <c r="F2427" t="s">
        <v>14</v>
      </c>
      <c r="G2427" s="4">
        <v>2</v>
      </c>
      <c r="H2427" s="1">
        <v>55352</v>
      </c>
      <c r="I2427" s="3" t="s">
        <v>21</v>
      </c>
      <c r="J2427" s="4">
        <v>3</v>
      </c>
    </row>
    <row r="2428" spans="1:10" x14ac:dyDescent="0.35">
      <c r="A2428" s="2" t="s">
        <v>2464</v>
      </c>
      <c r="B2428" s="4">
        <v>73</v>
      </c>
      <c r="C2428" t="s">
        <v>11</v>
      </c>
      <c r="D2428" t="s">
        <v>41</v>
      </c>
      <c r="E2428" t="s">
        <v>53</v>
      </c>
      <c r="F2428" t="s">
        <v>14</v>
      </c>
      <c r="G2428" s="4">
        <v>5</v>
      </c>
      <c r="H2428" s="1">
        <v>5504</v>
      </c>
      <c r="I2428" s="3" t="s">
        <v>15</v>
      </c>
      <c r="J2428" s="4">
        <v>2</v>
      </c>
    </row>
    <row r="2429" spans="1:10" x14ac:dyDescent="0.35">
      <c r="A2429" s="2" t="s">
        <v>2465</v>
      </c>
      <c r="B2429" s="4">
        <v>3</v>
      </c>
      <c r="C2429" t="s">
        <v>17</v>
      </c>
      <c r="D2429" t="s">
        <v>28</v>
      </c>
      <c r="E2429" t="s">
        <v>65</v>
      </c>
      <c r="F2429" t="s">
        <v>30</v>
      </c>
      <c r="G2429" s="4">
        <v>2</v>
      </c>
      <c r="H2429" s="1">
        <v>79491</v>
      </c>
      <c r="I2429" s="3" t="s">
        <v>15</v>
      </c>
      <c r="J2429" s="4">
        <v>4</v>
      </c>
    </row>
    <row r="2430" spans="1:10" x14ac:dyDescent="0.35">
      <c r="A2430" s="2" t="s">
        <v>2466</v>
      </c>
      <c r="B2430" s="4">
        <v>78</v>
      </c>
      <c r="C2430" t="s">
        <v>17</v>
      </c>
      <c r="D2430" t="s">
        <v>41</v>
      </c>
      <c r="E2430" t="s">
        <v>13</v>
      </c>
      <c r="F2430" t="s">
        <v>20</v>
      </c>
      <c r="G2430" s="4">
        <v>6</v>
      </c>
      <c r="H2430" s="1">
        <v>76739</v>
      </c>
      <c r="I2430" s="3" t="s">
        <v>21</v>
      </c>
      <c r="J2430" s="4">
        <v>5</v>
      </c>
    </row>
    <row r="2431" spans="1:10" x14ac:dyDescent="0.35">
      <c r="A2431" s="2" t="s">
        <v>2467</v>
      </c>
      <c r="B2431" s="4">
        <v>58</v>
      </c>
      <c r="C2431" t="s">
        <v>11</v>
      </c>
      <c r="D2431" t="s">
        <v>18</v>
      </c>
      <c r="E2431" t="s">
        <v>29</v>
      </c>
      <c r="F2431" t="s">
        <v>30</v>
      </c>
      <c r="G2431" s="4">
        <v>1</v>
      </c>
      <c r="H2431" s="1">
        <v>38561</v>
      </c>
      <c r="I2431" s="3" t="s">
        <v>15</v>
      </c>
      <c r="J2431" s="4">
        <v>5</v>
      </c>
    </row>
    <row r="2432" spans="1:10" x14ac:dyDescent="0.35">
      <c r="A2432" s="2" t="s">
        <v>2468</v>
      </c>
      <c r="B2432" s="4">
        <v>90</v>
      </c>
      <c r="C2432" t="s">
        <v>11</v>
      </c>
      <c r="D2432" t="s">
        <v>26</v>
      </c>
      <c r="E2432" t="s">
        <v>34</v>
      </c>
      <c r="F2432" t="s">
        <v>14</v>
      </c>
      <c r="G2432" s="4">
        <v>10</v>
      </c>
      <c r="H2432" s="1">
        <v>80932</v>
      </c>
      <c r="I2432" s="3" t="s">
        <v>21</v>
      </c>
      <c r="J2432" s="4">
        <v>5</v>
      </c>
    </row>
    <row r="2433" spans="1:10" x14ac:dyDescent="0.35">
      <c r="A2433" s="2" t="s">
        <v>2469</v>
      </c>
      <c r="B2433" s="4">
        <v>43</v>
      </c>
      <c r="C2433" t="s">
        <v>17</v>
      </c>
      <c r="D2433" t="s">
        <v>33</v>
      </c>
      <c r="E2433" t="s">
        <v>42</v>
      </c>
      <c r="F2433" t="s">
        <v>14</v>
      </c>
      <c r="G2433" s="4">
        <v>13</v>
      </c>
      <c r="H2433" s="1">
        <v>42026</v>
      </c>
      <c r="I2433" s="3" t="s">
        <v>21</v>
      </c>
      <c r="J2433" s="4">
        <v>1</v>
      </c>
    </row>
    <row r="2434" spans="1:10" x14ac:dyDescent="0.35">
      <c r="A2434" s="2" t="s">
        <v>2470</v>
      </c>
      <c r="B2434" s="4">
        <v>20</v>
      </c>
      <c r="C2434" t="s">
        <v>17</v>
      </c>
      <c r="D2434" t="s">
        <v>28</v>
      </c>
      <c r="E2434" t="s">
        <v>29</v>
      </c>
      <c r="F2434" t="s">
        <v>30</v>
      </c>
      <c r="G2434" s="4">
        <v>8</v>
      </c>
      <c r="H2434" s="1">
        <v>32287</v>
      </c>
      <c r="I2434" s="3" t="s">
        <v>21</v>
      </c>
      <c r="J2434" s="4">
        <v>1</v>
      </c>
    </row>
    <row r="2435" spans="1:10" x14ac:dyDescent="0.35">
      <c r="A2435" s="2" t="s">
        <v>2471</v>
      </c>
      <c r="B2435" s="4">
        <v>74</v>
      </c>
      <c r="C2435" t="s">
        <v>17</v>
      </c>
      <c r="D2435" t="s">
        <v>39</v>
      </c>
      <c r="E2435" t="s">
        <v>65</v>
      </c>
      <c r="F2435" t="s">
        <v>20</v>
      </c>
      <c r="G2435" s="4">
        <v>6</v>
      </c>
      <c r="H2435" s="1">
        <v>45428</v>
      </c>
      <c r="I2435" s="3" t="s">
        <v>15</v>
      </c>
      <c r="J2435" s="4">
        <v>5</v>
      </c>
    </row>
    <row r="2436" spans="1:10" x14ac:dyDescent="0.35">
      <c r="A2436" s="2" t="s">
        <v>2472</v>
      </c>
      <c r="B2436" s="4">
        <v>30</v>
      </c>
      <c r="C2436" t="s">
        <v>11</v>
      </c>
      <c r="D2436" t="s">
        <v>49</v>
      </c>
      <c r="E2436" t="s">
        <v>34</v>
      </c>
      <c r="F2436" t="s">
        <v>14</v>
      </c>
      <c r="G2436" s="4">
        <v>1</v>
      </c>
      <c r="H2436" s="1">
        <v>60759</v>
      </c>
      <c r="I2436" s="3" t="s">
        <v>21</v>
      </c>
      <c r="J2436" s="4">
        <v>1</v>
      </c>
    </row>
    <row r="2437" spans="1:10" x14ac:dyDescent="0.35">
      <c r="A2437" s="2" t="s">
        <v>2473</v>
      </c>
      <c r="B2437" s="4">
        <v>17</v>
      </c>
      <c r="C2437" t="s">
        <v>17</v>
      </c>
      <c r="D2437" t="s">
        <v>41</v>
      </c>
      <c r="E2437" t="s">
        <v>19</v>
      </c>
      <c r="F2437" t="s">
        <v>30</v>
      </c>
      <c r="G2437" s="4">
        <v>6</v>
      </c>
      <c r="H2437" s="1">
        <v>72840</v>
      </c>
      <c r="I2437" s="3" t="s">
        <v>15</v>
      </c>
      <c r="J2437" s="4">
        <v>4</v>
      </c>
    </row>
    <row r="2438" spans="1:10" x14ac:dyDescent="0.35">
      <c r="A2438" s="2" t="s">
        <v>2474</v>
      </c>
      <c r="B2438" s="4">
        <v>14</v>
      </c>
      <c r="C2438" t="s">
        <v>17</v>
      </c>
      <c r="D2438" t="s">
        <v>49</v>
      </c>
      <c r="E2438" t="s">
        <v>27</v>
      </c>
      <c r="F2438" t="s">
        <v>30</v>
      </c>
      <c r="G2438" s="4">
        <v>9</v>
      </c>
      <c r="H2438" s="1">
        <v>18799</v>
      </c>
      <c r="I2438" s="3" t="s">
        <v>15</v>
      </c>
      <c r="J2438" s="4">
        <v>2</v>
      </c>
    </row>
    <row r="2439" spans="1:10" x14ac:dyDescent="0.35">
      <c r="A2439" s="2" t="s">
        <v>2475</v>
      </c>
      <c r="B2439" s="4">
        <v>36</v>
      </c>
      <c r="C2439" t="s">
        <v>11</v>
      </c>
      <c r="D2439" t="s">
        <v>39</v>
      </c>
      <c r="E2439" t="s">
        <v>13</v>
      </c>
      <c r="F2439" t="s">
        <v>30</v>
      </c>
      <c r="G2439" s="4">
        <v>4</v>
      </c>
      <c r="H2439" s="1">
        <v>6795</v>
      </c>
      <c r="I2439" s="3" t="s">
        <v>15</v>
      </c>
      <c r="J2439" s="4">
        <v>1</v>
      </c>
    </row>
    <row r="2440" spans="1:10" x14ac:dyDescent="0.35">
      <c r="A2440" s="2" t="s">
        <v>2476</v>
      </c>
      <c r="B2440" s="4">
        <v>22</v>
      </c>
      <c r="C2440" t="s">
        <v>11</v>
      </c>
      <c r="D2440" t="s">
        <v>23</v>
      </c>
      <c r="E2440" t="s">
        <v>42</v>
      </c>
      <c r="F2440" t="s">
        <v>30</v>
      </c>
      <c r="G2440" s="4">
        <v>15</v>
      </c>
      <c r="H2440" s="1">
        <v>79093</v>
      </c>
      <c r="I2440" s="3" t="s">
        <v>21</v>
      </c>
      <c r="J2440" s="4">
        <v>4</v>
      </c>
    </row>
    <row r="2441" spans="1:10" x14ac:dyDescent="0.35">
      <c r="A2441" s="2" t="s">
        <v>2477</v>
      </c>
      <c r="B2441" s="4">
        <v>80</v>
      </c>
      <c r="C2441" t="s">
        <v>11</v>
      </c>
      <c r="D2441" t="s">
        <v>23</v>
      </c>
      <c r="E2441" t="s">
        <v>27</v>
      </c>
      <c r="F2441" t="s">
        <v>30</v>
      </c>
      <c r="G2441" s="4">
        <v>4</v>
      </c>
      <c r="H2441" s="1">
        <v>98780</v>
      </c>
      <c r="I2441" s="3" t="s">
        <v>21</v>
      </c>
      <c r="J2441" s="4">
        <v>5</v>
      </c>
    </row>
    <row r="2442" spans="1:10" x14ac:dyDescent="0.35">
      <c r="A2442" s="2" t="s">
        <v>2478</v>
      </c>
      <c r="B2442" s="4">
        <v>88</v>
      </c>
      <c r="C2442" t="s">
        <v>17</v>
      </c>
      <c r="D2442" t="s">
        <v>26</v>
      </c>
      <c r="E2442" t="s">
        <v>53</v>
      </c>
      <c r="F2442" t="s">
        <v>30</v>
      </c>
      <c r="G2442" s="4">
        <v>9</v>
      </c>
      <c r="H2442" s="1">
        <v>44632</v>
      </c>
      <c r="I2442" s="3" t="s">
        <v>21</v>
      </c>
      <c r="J2442" s="4">
        <v>2</v>
      </c>
    </row>
    <row r="2443" spans="1:10" x14ac:dyDescent="0.35">
      <c r="A2443" s="2" t="s">
        <v>2479</v>
      </c>
      <c r="B2443" s="4">
        <v>76</v>
      </c>
      <c r="C2443" t="s">
        <v>17</v>
      </c>
      <c r="D2443" t="s">
        <v>39</v>
      </c>
      <c r="E2443" t="s">
        <v>13</v>
      </c>
      <c r="F2443" t="s">
        <v>30</v>
      </c>
      <c r="G2443" s="4">
        <v>11</v>
      </c>
      <c r="H2443" s="1">
        <v>88784</v>
      </c>
      <c r="I2443" s="3" t="s">
        <v>15</v>
      </c>
      <c r="J2443" s="4">
        <v>2</v>
      </c>
    </row>
    <row r="2444" spans="1:10" x14ac:dyDescent="0.35">
      <c r="A2444" s="2" t="s">
        <v>2480</v>
      </c>
      <c r="B2444" s="4">
        <v>28</v>
      </c>
      <c r="C2444" t="s">
        <v>17</v>
      </c>
      <c r="D2444" t="s">
        <v>28</v>
      </c>
      <c r="E2444" t="s">
        <v>37</v>
      </c>
      <c r="F2444" t="s">
        <v>14</v>
      </c>
      <c r="G2444" s="4">
        <v>6</v>
      </c>
      <c r="H2444" s="1">
        <v>51319</v>
      </c>
      <c r="I2444" s="3" t="s">
        <v>15</v>
      </c>
      <c r="J2444" s="4">
        <v>3</v>
      </c>
    </row>
    <row r="2445" spans="1:10" x14ac:dyDescent="0.35">
      <c r="A2445" s="2" t="s">
        <v>2481</v>
      </c>
      <c r="B2445" s="4">
        <v>6</v>
      </c>
      <c r="C2445" t="s">
        <v>11</v>
      </c>
      <c r="D2445" t="s">
        <v>36</v>
      </c>
      <c r="E2445" t="s">
        <v>27</v>
      </c>
      <c r="F2445" t="s">
        <v>30</v>
      </c>
      <c r="G2445" s="4">
        <v>2</v>
      </c>
      <c r="H2445" s="1">
        <v>21389</v>
      </c>
      <c r="I2445" s="3" t="s">
        <v>15</v>
      </c>
      <c r="J2445" s="4">
        <v>2</v>
      </c>
    </row>
    <row r="2446" spans="1:10" x14ac:dyDescent="0.35">
      <c r="A2446" s="2" t="s">
        <v>2482</v>
      </c>
      <c r="B2446" s="4">
        <v>47</v>
      </c>
      <c r="C2446" t="s">
        <v>11</v>
      </c>
      <c r="D2446" t="s">
        <v>36</v>
      </c>
      <c r="E2446" t="s">
        <v>24</v>
      </c>
      <c r="F2446" t="s">
        <v>20</v>
      </c>
      <c r="G2446" s="4">
        <v>5</v>
      </c>
      <c r="H2446" s="1">
        <v>92220</v>
      </c>
      <c r="I2446" s="3" t="s">
        <v>21</v>
      </c>
      <c r="J2446" s="4">
        <v>1</v>
      </c>
    </row>
    <row r="2447" spans="1:10" x14ac:dyDescent="0.35">
      <c r="A2447" s="2" t="s">
        <v>2483</v>
      </c>
      <c r="B2447" s="4">
        <v>78</v>
      </c>
      <c r="C2447" t="s">
        <v>11</v>
      </c>
      <c r="D2447" t="s">
        <v>26</v>
      </c>
      <c r="E2447" t="s">
        <v>53</v>
      </c>
      <c r="F2447" t="s">
        <v>30</v>
      </c>
      <c r="G2447" s="4">
        <v>8</v>
      </c>
      <c r="H2447" s="1">
        <v>10885</v>
      </c>
      <c r="I2447" s="3" t="s">
        <v>21</v>
      </c>
      <c r="J2447" s="4">
        <v>1</v>
      </c>
    </row>
    <row r="2448" spans="1:10" x14ac:dyDescent="0.35">
      <c r="A2448" s="2" t="s">
        <v>2484</v>
      </c>
      <c r="B2448" s="4">
        <v>40</v>
      </c>
      <c r="C2448" t="s">
        <v>11</v>
      </c>
      <c r="D2448" t="s">
        <v>23</v>
      </c>
      <c r="E2448" t="s">
        <v>65</v>
      </c>
      <c r="F2448" t="s">
        <v>30</v>
      </c>
      <c r="G2448" s="4">
        <v>13</v>
      </c>
      <c r="H2448" s="1">
        <v>19602</v>
      </c>
      <c r="I2448" s="3" t="s">
        <v>15</v>
      </c>
      <c r="J2448" s="4">
        <v>3</v>
      </c>
    </row>
    <row r="2449" spans="1:10" x14ac:dyDescent="0.35">
      <c r="A2449" s="2" t="s">
        <v>2485</v>
      </c>
      <c r="B2449" s="4">
        <v>52</v>
      </c>
      <c r="C2449" t="s">
        <v>17</v>
      </c>
      <c r="D2449" t="s">
        <v>18</v>
      </c>
      <c r="E2449" t="s">
        <v>65</v>
      </c>
      <c r="F2449" t="s">
        <v>30</v>
      </c>
      <c r="G2449" s="4">
        <v>10</v>
      </c>
      <c r="H2449" s="1">
        <v>36242</v>
      </c>
      <c r="I2449" s="3" t="s">
        <v>15</v>
      </c>
      <c r="J2449" s="4">
        <v>5</v>
      </c>
    </row>
    <row r="2450" spans="1:10" x14ac:dyDescent="0.35">
      <c r="A2450" s="2" t="s">
        <v>2486</v>
      </c>
      <c r="B2450" s="4">
        <v>66</v>
      </c>
      <c r="C2450" t="s">
        <v>17</v>
      </c>
      <c r="D2450" t="s">
        <v>26</v>
      </c>
      <c r="E2450" t="s">
        <v>42</v>
      </c>
      <c r="F2450" t="s">
        <v>30</v>
      </c>
      <c r="G2450" s="4">
        <v>3</v>
      </c>
      <c r="H2450" s="1">
        <v>98267</v>
      </c>
      <c r="I2450" s="3" t="s">
        <v>15</v>
      </c>
      <c r="J2450" s="4">
        <v>3</v>
      </c>
    </row>
    <row r="2451" spans="1:10" x14ac:dyDescent="0.35">
      <c r="A2451" s="2" t="s">
        <v>2487</v>
      </c>
      <c r="B2451" s="4">
        <v>9</v>
      </c>
      <c r="C2451" t="s">
        <v>17</v>
      </c>
      <c r="D2451" t="s">
        <v>18</v>
      </c>
      <c r="E2451" t="s">
        <v>24</v>
      </c>
      <c r="F2451" t="s">
        <v>14</v>
      </c>
      <c r="G2451" s="4">
        <v>8</v>
      </c>
      <c r="H2451" s="1">
        <v>80056</v>
      </c>
      <c r="I2451" s="3" t="s">
        <v>21</v>
      </c>
      <c r="J2451" s="4">
        <v>4</v>
      </c>
    </row>
    <row r="2452" spans="1:10" x14ac:dyDescent="0.35">
      <c r="A2452" s="2" t="s">
        <v>2488</v>
      </c>
      <c r="B2452" s="4">
        <v>37</v>
      </c>
      <c r="C2452" t="s">
        <v>11</v>
      </c>
      <c r="D2452" t="s">
        <v>23</v>
      </c>
      <c r="E2452" t="s">
        <v>34</v>
      </c>
      <c r="F2452" t="s">
        <v>14</v>
      </c>
      <c r="G2452" s="4">
        <v>8</v>
      </c>
      <c r="H2452" s="1">
        <v>83298</v>
      </c>
      <c r="I2452" s="3" t="s">
        <v>21</v>
      </c>
      <c r="J2452" s="4">
        <v>1</v>
      </c>
    </row>
    <row r="2453" spans="1:10" x14ac:dyDescent="0.35">
      <c r="A2453" s="2" t="s">
        <v>2489</v>
      </c>
      <c r="B2453" s="4">
        <v>2</v>
      </c>
      <c r="C2453" t="s">
        <v>17</v>
      </c>
      <c r="D2453" t="s">
        <v>26</v>
      </c>
      <c r="E2453" t="s">
        <v>42</v>
      </c>
      <c r="F2453" t="s">
        <v>14</v>
      </c>
      <c r="G2453" s="4">
        <v>9</v>
      </c>
      <c r="H2453" s="1">
        <v>76008</v>
      </c>
      <c r="I2453" s="3" t="s">
        <v>15</v>
      </c>
      <c r="J2453" s="4">
        <v>5</v>
      </c>
    </row>
    <row r="2454" spans="1:10" x14ac:dyDescent="0.35">
      <c r="A2454" s="2" t="s">
        <v>2490</v>
      </c>
      <c r="B2454" s="4">
        <v>72</v>
      </c>
      <c r="C2454" t="s">
        <v>11</v>
      </c>
      <c r="D2454" t="s">
        <v>23</v>
      </c>
      <c r="E2454" t="s">
        <v>42</v>
      </c>
      <c r="F2454" t="s">
        <v>30</v>
      </c>
      <c r="G2454" s="4">
        <v>9</v>
      </c>
      <c r="H2454" s="1">
        <v>27687</v>
      </c>
      <c r="I2454" s="3" t="s">
        <v>21</v>
      </c>
      <c r="J2454" s="4">
        <v>2</v>
      </c>
    </row>
    <row r="2455" spans="1:10" x14ac:dyDescent="0.35">
      <c r="A2455" s="2" t="s">
        <v>2491</v>
      </c>
      <c r="B2455" s="4">
        <v>85</v>
      </c>
      <c r="C2455" t="s">
        <v>17</v>
      </c>
      <c r="D2455" t="s">
        <v>39</v>
      </c>
      <c r="E2455" t="s">
        <v>34</v>
      </c>
      <c r="F2455" t="s">
        <v>30</v>
      </c>
      <c r="G2455" s="4">
        <v>10</v>
      </c>
      <c r="H2455" s="1">
        <v>53726</v>
      </c>
      <c r="I2455" s="3" t="s">
        <v>21</v>
      </c>
      <c r="J2455" s="4">
        <v>3</v>
      </c>
    </row>
    <row r="2456" spans="1:10" x14ac:dyDescent="0.35">
      <c r="A2456" s="2" t="s">
        <v>2492</v>
      </c>
      <c r="B2456" s="4">
        <v>43</v>
      </c>
      <c r="C2456" t="s">
        <v>17</v>
      </c>
      <c r="D2456" t="s">
        <v>36</v>
      </c>
      <c r="E2456" t="s">
        <v>42</v>
      </c>
      <c r="F2456" t="s">
        <v>14</v>
      </c>
      <c r="G2456" s="4">
        <v>5</v>
      </c>
      <c r="H2456" s="1">
        <v>45825</v>
      </c>
      <c r="I2456" s="3" t="s">
        <v>21</v>
      </c>
      <c r="J2456" s="4">
        <v>1</v>
      </c>
    </row>
    <row r="2457" spans="1:10" x14ac:dyDescent="0.35">
      <c r="A2457" s="2" t="s">
        <v>2493</v>
      </c>
      <c r="B2457" s="4">
        <v>49</v>
      </c>
      <c r="C2457" t="s">
        <v>11</v>
      </c>
      <c r="D2457" t="s">
        <v>28</v>
      </c>
      <c r="E2457" t="s">
        <v>19</v>
      </c>
      <c r="F2457" t="s">
        <v>14</v>
      </c>
      <c r="G2457" s="4">
        <v>5</v>
      </c>
      <c r="H2457" s="1">
        <v>49685</v>
      </c>
      <c r="I2457" s="3" t="s">
        <v>21</v>
      </c>
      <c r="J2457" s="4">
        <v>2</v>
      </c>
    </row>
    <row r="2458" spans="1:10" x14ac:dyDescent="0.35">
      <c r="A2458" s="2" t="s">
        <v>2494</v>
      </c>
      <c r="B2458" s="4">
        <v>67</v>
      </c>
      <c r="C2458" t="s">
        <v>11</v>
      </c>
      <c r="D2458" t="s">
        <v>36</v>
      </c>
      <c r="E2458" t="s">
        <v>34</v>
      </c>
      <c r="F2458" t="s">
        <v>30</v>
      </c>
      <c r="G2458" s="4">
        <v>4</v>
      </c>
      <c r="H2458" s="1">
        <v>7806</v>
      </c>
      <c r="I2458" s="3" t="s">
        <v>15</v>
      </c>
      <c r="J2458" s="4">
        <v>5</v>
      </c>
    </row>
    <row r="2459" spans="1:10" x14ac:dyDescent="0.35">
      <c r="A2459" s="2" t="s">
        <v>2495</v>
      </c>
      <c r="B2459" s="4">
        <v>78</v>
      </c>
      <c r="C2459" t="s">
        <v>17</v>
      </c>
      <c r="D2459" t="s">
        <v>12</v>
      </c>
      <c r="E2459" t="s">
        <v>34</v>
      </c>
      <c r="F2459" t="s">
        <v>20</v>
      </c>
      <c r="G2459" s="4">
        <v>14</v>
      </c>
      <c r="H2459" s="1">
        <v>84965</v>
      </c>
      <c r="I2459" s="3" t="s">
        <v>21</v>
      </c>
      <c r="J2459" s="4">
        <v>1</v>
      </c>
    </row>
    <row r="2460" spans="1:10" x14ac:dyDescent="0.35">
      <c r="A2460" s="2" t="s">
        <v>2496</v>
      </c>
      <c r="B2460" s="4">
        <v>49</v>
      </c>
      <c r="C2460" t="s">
        <v>17</v>
      </c>
      <c r="D2460" t="s">
        <v>41</v>
      </c>
      <c r="E2460" t="s">
        <v>27</v>
      </c>
      <c r="F2460" t="s">
        <v>20</v>
      </c>
      <c r="G2460" s="4">
        <v>7</v>
      </c>
      <c r="H2460" s="1">
        <v>42522</v>
      </c>
      <c r="I2460" s="3" t="s">
        <v>15</v>
      </c>
      <c r="J2460" s="4">
        <v>4</v>
      </c>
    </row>
    <row r="2461" spans="1:10" x14ac:dyDescent="0.35">
      <c r="A2461" s="2" t="s">
        <v>2497</v>
      </c>
      <c r="B2461" s="4">
        <v>40</v>
      </c>
      <c r="C2461" t="s">
        <v>17</v>
      </c>
      <c r="D2461" t="s">
        <v>26</v>
      </c>
      <c r="E2461" t="s">
        <v>27</v>
      </c>
      <c r="F2461" t="s">
        <v>14</v>
      </c>
      <c r="G2461" s="4">
        <v>1</v>
      </c>
      <c r="H2461" s="1">
        <v>14390</v>
      </c>
      <c r="I2461" s="3" t="s">
        <v>15</v>
      </c>
      <c r="J2461" s="4">
        <v>3</v>
      </c>
    </row>
    <row r="2462" spans="1:10" x14ac:dyDescent="0.35">
      <c r="A2462" s="2" t="s">
        <v>2498</v>
      </c>
      <c r="B2462" s="4">
        <v>78</v>
      </c>
      <c r="C2462" t="s">
        <v>11</v>
      </c>
      <c r="D2462" t="s">
        <v>39</v>
      </c>
      <c r="E2462" t="s">
        <v>19</v>
      </c>
      <c r="F2462" t="s">
        <v>30</v>
      </c>
      <c r="G2462" s="4">
        <v>12</v>
      </c>
      <c r="H2462" s="1">
        <v>83769</v>
      </c>
      <c r="I2462" s="3" t="s">
        <v>15</v>
      </c>
      <c r="J2462" s="4">
        <v>1</v>
      </c>
    </row>
    <row r="2463" spans="1:10" x14ac:dyDescent="0.35">
      <c r="A2463" s="2" t="s">
        <v>2499</v>
      </c>
      <c r="B2463" s="4">
        <v>89</v>
      </c>
      <c r="C2463" t="s">
        <v>17</v>
      </c>
      <c r="D2463" t="s">
        <v>49</v>
      </c>
      <c r="E2463" t="s">
        <v>24</v>
      </c>
      <c r="F2463" t="s">
        <v>20</v>
      </c>
      <c r="G2463" s="4">
        <v>5</v>
      </c>
      <c r="H2463" s="1">
        <v>10128</v>
      </c>
      <c r="I2463" s="3" t="s">
        <v>15</v>
      </c>
      <c r="J2463" s="4">
        <v>3</v>
      </c>
    </row>
    <row r="2464" spans="1:10" x14ac:dyDescent="0.35">
      <c r="A2464" s="2" t="s">
        <v>2500</v>
      </c>
      <c r="B2464" s="4">
        <v>32</v>
      </c>
      <c r="C2464" t="s">
        <v>17</v>
      </c>
      <c r="D2464" t="s">
        <v>49</v>
      </c>
      <c r="E2464" t="s">
        <v>42</v>
      </c>
      <c r="F2464" t="s">
        <v>14</v>
      </c>
      <c r="G2464" s="4">
        <v>3</v>
      </c>
      <c r="H2464" s="1">
        <v>92231</v>
      </c>
      <c r="I2464" s="3" t="s">
        <v>15</v>
      </c>
      <c r="J2464" s="4">
        <v>5</v>
      </c>
    </row>
    <row r="2465" spans="1:10" x14ac:dyDescent="0.35">
      <c r="A2465" s="2" t="s">
        <v>2501</v>
      </c>
      <c r="B2465" s="4">
        <v>24</v>
      </c>
      <c r="C2465" t="s">
        <v>17</v>
      </c>
      <c r="D2465" t="s">
        <v>33</v>
      </c>
      <c r="E2465" t="s">
        <v>42</v>
      </c>
      <c r="F2465" t="s">
        <v>20</v>
      </c>
      <c r="G2465" s="4">
        <v>3</v>
      </c>
      <c r="H2465" s="1">
        <v>40652</v>
      </c>
      <c r="I2465" s="3" t="s">
        <v>21</v>
      </c>
      <c r="J2465" s="4">
        <v>1</v>
      </c>
    </row>
    <row r="2466" spans="1:10" x14ac:dyDescent="0.35">
      <c r="A2466" s="2" t="s">
        <v>2502</v>
      </c>
      <c r="B2466" s="4">
        <v>56</v>
      </c>
      <c r="C2466" t="s">
        <v>17</v>
      </c>
      <c r="D2466" t="s">
        <v>33</v>
      </c>
      <c r="E2466" t="s">
        <v>13</v>
      </c>
      <c r="F2466" t="s">
        <v>30</v>
      </c>
      <c r="G2466" s="4">
        <v>8</v>
      </c>
      <c r="H2466" s="1">
        <v>27680</v>
      </c>
      <c r="I2466" s="3" t="s">
        <v>15</v>
      </c>
      <c r="J2466" s="4">
        <v>5</v>
      </c>
    </row>
    <row r="2467" spans="1:10" x14ac:dyDescent="0.35">
      <c r="A2467" s="2" t="s">
        <v>2503</v>
      </c>
      <c r="B2467" s="4">
        <v>76</v>
      </c>
      <c r="C2467" t="s">
        <v>17</v>
      </c>
      <c r="D2467" t="s">
        <v>49</v>
      </c>
      <c r="E2467" t="s">
        <v>29</v>
      </c>
      <c r="F2467" t="s">
        <v>30</v>
      </c>
      <c r="G2467" s="4">
        <v>6</v>
      </c>
      <c r="H2467" s="1">
        <v>24576</v>
      </c>
      <c r="I2467" s="3" t="s">
        <v>21</v>
      </c>
      <c r="J2467" s="4">
        <v>2</v>
      </c>
    </row>
    <row r="2468" spans="1:10" x14ac:dyDescent="0.35">
      <c r="A2468" s="2" t="s">
        <v>2504</v>
      </c>
      <c r="B2468" s="4">
        <v>39</v>
      </c>
      <c r="C2468" t="s">
        <v>11</v>
      </c>
      <c r="D2468" t="s">
        <v>28</v>
      </c>
      <c r="E2468" t="s">
        <v>37</v>
      </c>
      <c r="F2468" t="s">
        <v>20</v>
      </c>
      <c r="G2468" s="4">
        <v>6</v>
      </c>
      <c r="H2468" s="1">
        <v>92392</v>
      </c>
      <c r="I2468" s="3" t="s">
        <v>15</v>
      </c>
      <c r="J2468" s="4">
        <v>3</v>
      </c>
    </row>
    <row r="2469" spans="1:10" x14ac:dyDescent="0.35">
      <c r="A2469" s="2" t="s">
        <v>2505</v>
      </c>
      <c r="B2469" s="4">
        <v>28</v>
      </c>
      <c r="C2469" t="s">
        <v>11</v>
      </c>
      <c r="D2469" t="s">
        <v>28</v>
      </c>
      <c r="E2469" t="s">
        <v>53</v>
      </c>
      <c r="F2469" t="s">
        <v>20</v>
      </c>
      <c r="G2469" s="4">
        <v>4</v>
      </c>
      <c r="H2469" s="1">
        <v>8493</v>
      </c>
      <c r="I2469" s="3" t="s">
        <v>21</v>
      </c>
      <c r="J2469" s="4">
        <v>5</v>
      </c>
    </row>
    <row r="2470" spans="1:10" x14ac:dyDescent="0.35">
      <c r="A2470" s="2" t="s">
        <v>2506</v>
      </c>
      <c r="B2470" s="4">
        <v>27</v>
      </c>
      <c r="C2470" t="s">
        <v>17</v>
      </c>
      <c r="D2470" t="s">
        <v>18</v>
      </c>
      <c r="E2470" t="s">
        <v>53</v>
      </c>
      <c r="F2470" t="s">
        <v>14</v>
      </c>
      <c r="G2470" s="4">
        <v>2</v>
      </c>
      <c r="H2470" s="1">
        <v>96023</v>
      </c>
      <c r="I2470" s="3" t="s">
        <v>15</v>
      </c>
      <c r="J2470" s="4">
        <v>1</v>
      </c>
    </row>
    <row r="2471" spans="1:10" x14ac:dyDescent="0.35">
      <c r="A2471" s="2" t="s">
        <v>2507</v>
      </c>
      <c r="B2471" s="4">
        <v>1</v>
      </c>
      <c r="C2471" t="s">
        <v>11</v>
      </c>
      <c r="D2471" t="s">
        <v>18</v>
      </c>
      <c r="E2471" t="s">
        <v>19</v>
      </c>
      <c r="F2471" t="s">
        <v>20</v>
      </c>
      <c r="G2471" s="4">
        <v>2</v>
      </c>
      <c r="H2471" s="1">
        <v>57088</v>
      </c>
      <c r="I2471" s="3" t="s">
        <v>15</v>
      </c>
      <c r="J2471" s="4">
        <v>5</v>
      </c>
    </row>
    <row r="2472" spans="1:10" x14ac:dyDescent="0.35">
      <c r="A2472" s="2" t="s">
        <v>2508</v>
      </c>
      <c r="B2472" s="4">
        <v>50</v>
      </c>
      <c r="C2472" t="s">
        <v>17</v>
      </c>
      <c r="D2472" t="s">
        <v>28</v>
      </c>
      <c r="E2472" t="s">
        <v>29</v>
      </c>
      <c r="F2472" t="s">
        <v>14</v>
      </c>
      <c r="G2472" s="4">
        <v>5</v>
      </c>
      <c r="H2472" s="1">
        <v>36837</v>
      </c>
      <c r="I2472" s="3" t="s">
        <v>21</v>
      </c>
      <c r="J2472" s="4">
        <v>3</v>
      </c>
    </row>
    <row r="2473" spans="1:10" x14ac:dyDescent="0.35">
      <c r="A2473" s="2" t="s">
        <v>2509</v>
      </c>
      <c r="B2473" s="4">
        <v>12</v>
      </c>
      <c r="C2473" t="s">
        <v>17</v>
      </c>
      <c r="D2473" t="s">
        <v>33</v>
      </c>
      <c r="E2473" t="s">
        <v>29</v>
      </c>
      <c r="F2473" t="s">
        <v>14</v>
      </c>
      <c r="G2473" s="4">
        <v>15</v>
      </c>
      <c r="H2473" s="1">
        <v>60862</v>
      </c>
      <c r="I2473" s="3" t="s">
        <v>15</v>
      </c>
      <c r="J2473" s="4">
        <v>3</v>
      </c>
    </row>
    <row r="2474" spans="1:10" x14ac:dyDescent="0.35">
      <c r="A2474" s="2" t="s">
        <v>2510</v>
      </c>
      <c r="B2474" s="4">
        <v>2</v>
      </c>
      <c r="C2474" t="s">
        <v>11</v>
      </c>
      <c r="D2474" t="s">
        <v>36</v>
      </c>
      <c r="E2474" t="s">
        <v>13</v>
      </c>
      <c r="F2474" t="s">
        <v>30</v>
      </c>
      <c r="G2474" s="4">
        <v>7</v>
      </c>
      <c r="H2474" s="1">
        <v>40832</v>
      </c>
      <c r="I2474" s="3" t="s">
        <v>15</v>
      </c>
      <c r="J2474" s="4">
        <v>3</v>
      </c>
    </row>
    <row r="2475" spans="1:10" x14ac:dyDescent="0.35">
      <c r="A2475" s="2" t="s">
        <v>2511</v>
      </c>
      <c r="B2475" s="4">
        <v>48</v>
      </c>
      <c r="C2475" t="s">
        <v>11</v>
      </c>
      <c r="D2475" t="s">
        <v>23</v>
      </c>
      <c r="E2475" t="s">
        <v>13</v>
      </c>
      <c r="F2475" t="s">
        <v>20</v>
      </c>
      <c r="G2475" s="4">
        <v>2</v>
      </c>
      <c r="H2475" s="1">
        <v>89229</v>
      </c>
      <c r="I2475" s="3" t="s">
        <v>21</v>
      </c>
      <c r="J2475" s="4">
        <v>2</v>
      </c>
    </row>
    <row r="2476" spans="1:10" x14ac:dyDescent="0.35">
      <c r="A2476" s="2" t="s">
        <v>2512</v>
      </c>
      <c r="B2476" s="4">
        <v>36</v>
      </c>
      <c r="C2476" t="s">
        <v>11</v>
      </c>
      <c r="D2476" t="s">
        <v>12</v>
      </c>
      <c r="E2476" t="s">
        <v>37</v>
      </c>
      <c r="F2476" t="s">
        <v>30</v>
      </c>
      <c r="G2476" s="4">
        <v>13</v>
      </c>
      <c r="H2476" s="1">
        <v>36262</v>
      </c>
      <c r="I2476" s="3" t="s">
        <v>15</v>
      </c>
      <c r="J2476" s="4">
        <v>3</v>
      </c>
    </row>
    <row r="2477" spans="1:10" x14ac:dyDescent="0.35">
      <c r="A2477" s="2" t="s">
        <v>2513</v>
      </c>
      <c r="B2477" s="4">
        <v>53</v>
      </c>
      <c r="C2477" t="s">
        <v>11</v>
      </c>
      <c r="D2477" t="s">
        <v>41</v>
      </c>
      <c r="E2477" t="s">
        <v>53</v>
      </c>
      <c r="F2477" t="s">
        <v>30</v>
      </c>
      <c r="G2477" s="4">
        <v>13</v>
      </c>
      <c r="H2477" s="1">
        <v>97557</v>
      </c>
      <c r="I2477" s="3" t="s">
        <v>21</v>
      </c>
      <c r="J2477" s="4">
        <v>1</v>
      </c>
    </row>
    <row r="2478" spans="1:10" x14ac:dyDescent="0.35">
      <c r="A2478" s="2" t="s">
        <v>2514</v>
      </c>
      <c r="B2478" s="4">
        <v>54</v>
      </c>
      <c r="C2478" t="s">
        <v>11</v>
      </c>
      <c r="D2478" t="s">
        <v>39</v>
      </c>
      <c r="E2478" t="s">
        <v>42</v>
      </c>
      <c r="F2478" t="s">
        <v>20</v>
      </c>
      <c r="G2478" s="4">
        <v>12</v>
      </c>
      <c r="H2478" s="1">
        <v>38236</v>
      </c>
      <c r="I2478" s="3" t="s">
        <v>21</v>
      </c>
      <c r="J2478" s="4">
        <v>4</v>
      </c>
    </row>
    <row r="2479" spans="1:10" x14ac:dyDescent="0.35">
      <c r="A2479" s="2" t="s">
        <v>2515</v>
      </c>
      <c r="B2479" s="4">
        <v>19</v>
      </c>
      <c r="C2479" t="s">
        <v>11</v>
      </c>
      <c r="D2479" t="s">
        <v>23</v>
      </c>
      <c r="E2479" t="s">
        <v>42</v>
      </c>
      <c r="F2479" t="s">
        <v>30</v>
      </c>
      <c r="G2479" s="4">
        <v>5</v>
      </c>
      <c r="H2479" s="1">
        <v>92719</v>
      </c>
      <c r="I2479" s="3" t="s">
        <v>15</v>
      </c>
      <c r="J2479" s="4">
        <v>2</v>
      </c>
    </row>
    <row r="2480" spans="1:10" x14ac:dyDescent="0.35">
      <c r="A2480" s="2" t="s">
        <v>2516</v>
      </c>
      <c r="B2480" s="4">
        <v>8</v>
      </c>
      <c r="C2480" t="s">
        <v>17</v>
      </c>
      <c r="D2480" t="s">
        <v>23</v>
      </c>
      <c r="E2480" t="s">
        <v>65</v>
      </c>
      <c r="F2480" t="s">
        <v>30</v>
      </c>
      <c r="G2480" s="4">
        <v>14</v>
      </c>
      <c r="H2480" s="1">
        <v>95637</v>
      </c>
      <c r="I2480" s="3" t="s">
        <v>15</v>
      </c>
      <c r="J2480" s="4">
        <v>1</v>
      </c>
    </row>
    <row r="2481" spans="1:10" x14ac:dyDescent="0.35">
      <c r="A2481" s="2" t="s">
        <v>2517</v>
      </c>
      <c r="B2481" s="4">
        <v>55</v>
      </c>
      <c r="C2481" t="s">
        <v>17</v>
      </c>
      <c r="D2481" t="s">
        <v>33</v>
      </c>
      <c r="E2481" t="s">
        <v>65</v>
      </c>
      <c r="F2481" t="s">
        <v>30</v>
      </c>
      <c r="G2481" s="4">
        <v>5</v>
      </c>
      <c r="H2481" s="1">
        <v>92574</v>
      </c>
      <c r="I2481" s="3" t="s">
        <v>21</v>
      </c>
      <c r="J2481" s="4">
        <v>5</v>
      </c>
    </row>
    <row r="2482" spans="1:10" x14ac:dyDescent="0.35">
      <c r="A2482" s="2" t="s">
        <v>2518</v>
      </c>
      <c r="B2482" s="4">
        <v>59</v>
      </c>
      <c r="C2482" t="s">
        <v>11</v>
      </c>
      <c r="D2482" t="s">
        <v>28</v>
      </c>
      <c r="E2482" t="s">
        <v>29</v>
      </c>
      <c r="F2482" t="s">
        <v>14</v>
      </c>
      <c r="G2482" s="4">
        <v>15</v>
      </c>
      <c r="H2482" s="1">
        <v>33491</v>
      </c>
      <c r="I2482" s="3" t="s">
        <v>15</v>
      </c>
      <c r="J2482" s="4">
        <v>4</v>
      </c>
    </row>
    <row r="2483" spans="1:10" x14ac:dyDescent="0.35">
      <c r="A2483" s="2" t="s">
        <v>2519</v>
      </c>
      <c r="B2483" s="4">
        <v>56</v>
      </c>
      <c r="C2483" t="s">
        <v>11</v>
      </c>
      <c r="D2483" t="s">
        <v>33</v>
      </c>
      <c r="E2483" t="s">
        <v>29</v>
      </c>
      <c r="F2483" t="s">
        <v>30</v>
      </c>
      <c r="G2483" s="4">
        <v>8</v>
      </c>
      <c r="H2483" s="1">
        <v>93961</v>
      </c>
      <c r="I2483" s="3" t="s">
        <v>15</v>
      </c>
      <c r="J2483" s="4">
        <v>5</v>
      </c>
    </row>
    <row r="2484" spans="1:10" x14ac:dyDescent="0.35">
      <c r="A2484" s="2" t="s">
        <v>2520</v>
      </c>
      <c r="B2484" s="4">
        <v>14</v>
      </c>
      <c r="C2484" t="s">
        <v>11</v>
      </c>
      <c r="D2484" t="s">
        <v>23</v>
      </c>
      <c r="E2484" t="s">
        <v>42</v>
      </c>
      <c r="F2484" t="s">
        <v>30</v>
      </c>
      <c r="G2484" s="4">
        <v>1</v>
      </c>
      <c r="H2484" s="1">
        <v>48556</v>
      </c>
      <c r="I2484" s="3" t="s">
        <v>15</v>
      </c>
      <c r="J2484" s="4">
        <v>3</v>
      </c>
    </row>
    <row r="2485" spans="1:10" x14ac:dyDescent="0.35">
      <c r="A2485" s="2" t="s">
        <v>2521</v>
      </c>
      <c r="B2485" s="4">
        <v>63</v>
      </c>
      <c r="C2485" t="s">
        <v>17</v>
      </c>
      <c r="D2485" t="s">
        <v>26</v>
      </c>
      <c r="E2485" t="s">
        <v>34</v>
      </c>
      <c r="F2485" t="s">
        <v>14</v>
      </c>
      <c r="G2485" s="4">
        <v>8</v>
      </c>
      <c r="H2485" s="1">
        <v>60634</v>
      </c>
      <c r="I2485" s="3" t="s">
        <v>15</v>
      </c>
      <c r="J2485" s="4">
        <v>3</v>
      </c>
    </row>
    <row r="2486" spans="1:10" x14ac:dyDescent="0.35">
      <c r="A2486" s="2" t="s">
        <v>2522</v>
      </c>
      <c r="B2486" s="4">
        <v>25</v>
      </c>
      <c r="C2486" t="s">
        <v>11</v>
      </c>
      <c r="D2486" t="s">
        <v>36</v>
      </c>
      <c r="E2486" t="s">
        <v>53</v>
      </c>
      <c r="F2486" t="s">
        <v>20</v>
      </c>
      <c r="G2486" s="4">
        <v>15</v>
      </c>
      <c r="H2486" s="1">
        <v>52034</v>
      </c>
      <c r="I2486" s="3" t="s">
        <v>15</v>
      </c>
      <c r="J2486" s="4">
        <v>3</v>
      </c>
    </row>
    <row r="2487" spans="1:10" x14ac:dyDescent="0.35">
      <c r="A2487" s="2" t="s">
        <v>2523</v>
      </c>
      <c r="B2487" s="4">
        <v>50</v>
      </c>
      <c r="C2487" t="s">
        <v>11</v>
      </c>
      <c r="D2487" t="s">
        <v>36</v>
      </c>
      <c r="E2487" t="s">
        <v>29</v>
      </c>
      <c r="F2487" t="s">
        <v>20</v>
      </c>
      <c r="G2487" s="4">
        <v>12</v>
      </c>
      <c r="H2487" s="1">
        <v>42796</v>
      </c>
      <c r="I2487" s="3" t="s">
        <v>15</v>
      </c>
      <c r="J2487" s="4">
        <v>2</v>
      </c>
    </row>
    <row r="2488" spans="1:10" x14ac:dyDescent="0.35">
      <c r="A2488" s="2" t="s">
        <v>2524</v>
      </c>
      <c r="B2488" s="4">
        <v>19</v>
      </c>
      <c r="C2488" t="s">
        <v>17</v>
      </c>
      <c r="D2488" t="s">
        <v>23</v>
      </c>
      <c r="E2488" t="s">
        <v>13</v>
      </c>
      <c r="F2488" t="s">
        <v>20</v>
      </c>
      <c r="G2488" s="4">
        <v>15</v>
      </c>
      <c r="H2488" s="1">
        <v>96675</v>
      </c>
      <c r="I2488" s="3" t="s">
        <v>21</v>
      </c>
      <c r="J2488" s="4">
        <v>3</v>
      </c>
    </row>
    <row r="2489" spans="1:10" x14ac:dyDescent="0.35">
      <c r="A2489" s="2" t="s">
        <v>2525</v>
      </c>
      <c r="B2489" s="4">
        <v>60</v>
      </c>
      <c r="C2489" t="s">
        <v>17</v>
      </c>
      <c r="D2489" t="s">
        <v>28</v>
      </c>
      <c r="E2489" t="s">
        <v>65</v>
      </c>
      <c r="F2489" t="s">
        <v>20</v>
      </c>
      <c r="G2489" s="4">
        <v>9</v>
      </c>
      <c r="H2489" s="1">
        <v>89813</v>
      </c>
      <c r="I2489" s="3" t="s">
        <v>15</v>
      </c>
      <c r="J2489" s="4">
        <v>1</v>
      </c>
    </row>
    <row r="2490" spans="1:10" x14ac:dyDescent="0.35">
      <c r="A2490" s="2" t="s">
        <v>2526</v>
      </c>
      <c r="B2490" s="4">
        <v>36</v>
      </c>
      <c r="C2490" t="s">
        <v>11</v>
      </c>
      <c r="D2490" t="s">
        <v>26</v>
      </c>
      <c r="E2490" t="s">
        <v>27</v>
      </c>
      <c r="F2490" t="s">
        <v>14</v>
      </c>
      <c r="G2490" s="4">
        <v>15</v>
      </c>
      <c r="H2490" s="1">
        <v>39758</v>
      </c>
      <c r="I2490" s="3" t="s">
        <v>21</v>
      </c>
      <c r="J2490" s="4">
        <v>2</v>
      </c>
    </row>
    <row r="2491" spans="1:10" x14ac:dyDescent="0.35">
      <c r="A2491" s="2" t="s">
        <v>2527</v>
      </c>
      <c r="B2491" s="4">
        <v>44</v>
      </c>
      <c r="C2491" t="s">
        <v>17</v>
      </c>
      <c r="D2491" t="s">
        <v>26</v>
      </c>
      <c r="E2491" t="s">
        <v>65</v>
      </c>
      <c r="F2491" t="s">
        <v>30</v>
      </c>
      <c r="G2491" s="4">
        <v>2</v>
      </c>
      <c r="H2491" s="1">
        <v>19005</v>
      </c>
      <c r="I2491" s="3" t="s">
        <v>15</v>
      </c>
      <c r="J2491" s="4">
        <v>4</v>
      </c>
    </row>
    <row r="2492" spans="1:10" x14ac:dyDescent="0.35">
      <c r="A2492" s="2" t="s">
        <v>2528</v>
      </c>
      <c r="B2492" s="4">
        <v>20</v>
      </c>
      <c r="C2492" t="s">
        <v>11</v>
      </c>
      <c r="D2492" t="s">
        <v>12</v>
      </c>
      <c r="E2492" t="s">
        <v>34</v>
      </c>
      <c r="F2492" t="s">
        <v>20</v>
      </c>
      <c r="G2492" s="4">
        <v>11</v>
      </c>
      <c r="H2492" s="1">
        <v>93270</v>
      </c>
      <c r="I2492" s="3" t="s">
        <v>21</v>
      </c>
      <c r="J2492" s="4">
        <v>4</v>
      </c>
    </row>
    <row r="2493" spans="1:10" x14ac:dyDescent="0.35">
      <c r="A2493" s="2" t="s">
        <v>2529</v>
      </c>
      <c r="B2493" s="4">
        <v>26</v>
      </c>
      <c r="C2493" t="s">
        <v>17</v>
      </c>
      <c r="D2493" t="s">
        <v>26</v>
      </c>
      <c r="E2493" t="s">
        <v>53</v>
      </c>
      <c r="F2493" t="s">
        <v>30</v>
      </c>
      <c r="G2493" s="4">
        <v>2</v>
      </c>
      <c r="H2493" s="1">
        <v>64183</v>
      </c>
      <c r="I2493" s="3" t="s">
        <v>21</v>
      </c>
      <c r="J2493" s="4">
        <v>4</v>
      </c>
    </row>
    <row r="2494" spans="1:10" x14ac:dyDescent="0.35">
      <c r="A2494" s="2" t="s">
        <v>2530</v>
      </c>
      <c r="B2494" s="4">
        <v>19</v>
      </c>
      <c r="C2494" t="s">
        <v>17</v>
      </c>
      <c r="D2494" t="s">
        <v>39</v>
      </c>
      <c r="E2494" t="s">
        <v>29</v>
      </c>
      <c r="F2494" t="s">
        <v>20</v>
      </c>
      <c r="G2494" s="4">
        <v>14</v>
      </c>
      <c r="H2494" s="1">
        <v>84336</v>
      </c>
      <c r="I2494" s="3" t="s">
        <v>21</v>
      </c>
      <c r="J2494" s="4">
        <v>1</v>
      </c>
    </row>
    <row r="2495" spans="1:10" x14ac:dyDescent="0.35">
      <c r="A2495" s="2" t="s">
        <v>2531</v>
      </c>
      <c r="B2495" s="4">
        <v>70</v>
      </c>
      <c r="C2495" t="s">
        <v>17</v>
      </c>
      <c r="D2495" t="s">
        <v>26</v>
      </c>
      <c r="E2495" t="s">
        <v>65</v>
      </c>
      <c r="F2495" t="s">
        <v>14</v>
      </c>
      <c r="G2495" s="4">
        <v>9</v>
      </c>
      <c r="H2495" s="1">
        <v>16734</v>
      </c>
      <c r="I2495" s="3" t="s">
        <v>15</v>
      </c>
      <c r="J2495" s="4">
        <v>4</v>
      </c>
    </row>
    <row r="2496" spans="1:10" x14ac:dyDescent="0.35">
      <c r="A2496" s="2" t="s">
        <v>2532</v>
      </c>
      <c r="B2496" s="4">
        <v>4</v>
      </c>
      <c r="C2496" t="s">
        <v>17</v>
      </c>
      <c r="D2496" t="s">
        <v>39</v>
      </c>
      <c r="E2496" t="s">
        <v>34</v>
      </c>
      <c r="F2496" t="s">
        <v>14</v>
      </c>
      <c r="G2496" s="4">
        <v>15</v>
      </c>
      <c r="H2496" s="1">
        <v>73492</v>
      </c>
      <c r="I2496" s="3" t="s">
        <v>21</v>
      </c>
      <c r="J2496" s="4">
        <v>4</v>
      </c>
    </row>
    <row r="2497" spans="1:10" x14ac:dyDescent="0.35">
      <c r="A2497" s="2" t="s">
        <v>2533</v>
      </c>
      <c r="B2497" s="4">
        <v>3</v>
      </c>
      <c r="C2497" t="s">
        <v>17</v>
      </c>
      <c r="D2497" t="s">
        <v>23</v>
      </c>
      <c r="E2497" t="s">
        <v>65</v>
      </c>
      <c r="F2497" t="s">
        <v>14</v>
      </c>
      <c r="G2497" s="4">
        <v>4</v>
      </c>
      <c r="H2497" s="1">
        <v>96593</v>
      </c>
      <c r="I2497" s="3" t="s">
        <v>21</v>
      </c>
      <c r="J2497" s="4">
        <v>3</v>
      </c>
    </row>
    <row r="2498" spans="1:10" x14ac:dyDescent="0.35">
      <c r="A2498" s="2" t="s">
        <v>2534</v>
      </c>
      <c r="B2498" s="4">
        <v>11</v>
      </c>
      <c r="C2498" t="s">
        <v>17</v>
      </c>
      <c r="D2498" t="s">
        <v>28</v>
      </c>
      <c r="E2498" t="s">
        <v>42</v>
      </c>
      <c r="F2498" t="s">
        <v>30</v>
      </c>
      <c r="G2498" s="4">
        <v>11</v>
      </c>
      <c r="H2498" s="1">
        <v>43845</v>
      </c>
      <c r="I2498" s="3" t="s">
        <v>21</v>
      </c>
      <c r="J2498" s="4">
        <v>3</v>
      </c>
    </row>
    <row r="2499" spans="1:10" x14ac:dyDescent="0.35">
      <c r="A2499" s="2" t="s">
        <v>2535</v>
      </c>
      <c r="B2499" s="4">
        <v>87</v>
      </c>
      <c r="C2499" t="s">
        <v>17</v>
      </c>
      <c r="D2499" t="s">
        <v>41</v>
      </c>
      <c r="E2499" t="s">
        <v>53</v>
      </c>
      <c r="F2499" t="s">
        <v>20</v>
      </c>
      <c r="G2499" s="4">
        <v>8</v>
      </c>
      <c r="H2499" s="1">
        <v>14331</v>
      </c>
      <c r="I2499" s="3" t="s">
        <v>15</v>
      </c>
      <c r="J2499" s="4">
        <v>5</v>
      </c>
    </row>
    <row r="2500" spans="1:10" x14ac:dyDescent="0.35">
      <c r="A2500" s="2" t="s">
        <v>2536</v>
      </c>
      <c r="B2500" s="4">
        <v>12</v>
      </c>
      <c r="C2500" t="s">
        <v>11</v>
      </c>
      <c r="D2500" t="s">
        <v>12</v>
      </c>
      <c r="E2500" t="s">
        <v>13</v>
      </c>
      <c r="F2500" t="s">
        <v>14</v>
      </c>
      <c r="G2500" s="4">
        <v>14</v>
      </c>
      <c r="H2500" s="1">
        <v>91210</v>
      </c>
      <c r="I2500" s="3" t="s">
        <v>21</v>
      </c>
      <c r="J2500" s="4">
        <v>4</v>
      </c>
    </row>
    <row r="2501" spans="1:10" x14ac:dyDescent="0.35">
      <c r="A2501" s="2" t="s">
        <v>2537</v>
      </c>
      <c r="B2501" s="4">
        <v>3</v>
      </c>
      <c r="C2501" t="s">
        <v>11</v>
      </c>
      <c r="D2501" t="s">
        <v>33</v>
      </c>
      <c r="E2501" t="s">
        <v>27</v>
      </c>
      <c r="F2501" t="s">
        <v>30</v>
      </c>
      <c r="G2501" s="4">
        <v>4</v>
      </c>
      <c r="H2501" s="1">
        <v>49351</v>
      </c>
      <c r="I2501" s="3" t="s">
        <v>21</v>
      </c>
      <c r="J2501" s="4">
        <v>1</v>
      </c>
    </row>
    <row r="2502" spans="1:10" x14ac:dyDescent="0.35">
      <c r="A2502" s="2" t="s">
        <v>2538</v>
      </c>
      <c r="B2502" s="4">
        <v>47</v>
      </c>
      <c r="C2502" t="s">
        <v>17</v>
      </c>
      <c r="D2502" t="s">
        <v>49</v>
      </c>
      <c r="E2502" t="s">
        <v>27</v>
      </c>
      <c r="F2502" t="s">
        <v>14</v>
      </c>
      <c r="G2502" s="4">
        <v>12</v>
      </c>
      <c r="H2502" s="1">
        <v>70031</v>
      </c>
      <c r="I2502" s="3" t="s">
        <v>15</v>
      </c>
      <c r="J2502" s="4">
        <v>5</v>
      </c>
    </row>
    <row r="2503" spans="1:10" x14ac:dyDescent="0.35">
      <c r="A2503" s="2" t="s">
        <v>2539</v>
      </c>
      <c r="B2503" s="4">
        <v>90</v>
      </c>
      <c r="C2503" t="s">
        <v>17</v>
      </c>
      <c r="D2503" t="s">
        <v>41</v>
      </c>
      <c r="E2503" t="s">
        <v>65</v>
      </c>
      <c r="F2503" t="s">
        <v>30</v>
      </c>
      <c r="G2503" s="4">
        <v>14</v>
      </c>
      <c r="H2503" s="1">
        <v>97121</v>
      </c>
      <c r="I2503" s="3" t="s">
        <v>21</v>
      </c>
      <c r="J2503" s="4">
        <v>2</v>
      </c>
    </row>
    <row r="2504" spans="1:10" x14ac:dyDescent="0.35">
      <c r="A2504" s="2" t="s">
        <v>2540</v>
      </c>
      <c r="B2504" s="4">
        <v>28</v>
      </c>
      <c r="C2504" t="s">
        <v>17</v>
      </c>
      <c r="D2504" t="s">
        <v>28</v>
      </c>
      <c r="E2504" t="s">
        <v>27</v>
      </c>
      <c r="F2504" t="s">
        <v>14</v>
      </c>
      <c r="G2504" s="4">
        <v>2</v>
      </c>
      <c r="H2504" s="1">
        <v>20606</v>
      </c>
      <c r="I2504" s="3" t="s">
        <v>21</v>
      </c>
      <c r="J2504" s="4">
        <v>3</v>
      </c>
    </row>
    <row r="2505" spans="1:10" x14ac:dyDescent="0.35">
      <c r="A2505" s="2" t="s">
        <v>2541</v>
      </c>
      <c r="B2505" s="4">
        <v>35</v>
      </c>
      <c r="C2505" t="s">
        <v>11</v>
      </c>
      <c r="D2505" t="s">
        <v>18</v>
      </c>
      <c r="E2505" t="s">
        <v>65</v>
      </c>
      <c r="F2505" t="s">
        <v>14</v>
      </c>
      <c r="G2505" s="4">
        <v>6</v>
      </c>
      <c r="H2505" s="1">
        <v>6506</v>
      </c>
      <c r="I2505" s="3" t="s">
        <v>15</v>
      </c>
      <c r="J2505" s="4">
        <v>2</v>
      </c>
    </row>
    <row r="2506" spans="1:10" x14ac:dyDescent="0.35">
      <c r="A2506" s="2" t="s">
        <v>2542</v>
      </c>
      <c r="B2506" s="4">
        <v>37</v>
      </c>
      <c r="C2506" t="s">
        <v>11</v>
      </c>
      <c r="D2506" t="s">
        <v>39</v>
      </c>
      <c r="E2506" t="s">
        <v>53</v>
      </c>
      <c r="F2506" t="s">
        <v>14</v>
      </c>
      <c r="G2506" s="4">
        <v>4</v>
      </c>
      <c r="H2506" s="1">
        <v>48797</v>
      </c>
      <c r="I2506" s="3" t="s">
        <v>15</v>
      </c>
      <c r="J2506" s="4">
        <v>5</v>
      </c>
    </row>
    <row r="2507" spans="1:10" x14ac:dyDescent="0.35">
      <c r="A2507" s="2" t="s">
        <v>2543</v>
      </c>
      <c r="B2507" s="4">
        <v>6</v>
      </c>
      <c r="C2507" t="s">
        <v>11</v>
      </c>
      <c r="D2507" t="s">
        <v>12</v>
      </c>
      <c r="E2507" t="s">
        <v>65</v>
      </c>
      <c r="F2507" t="s">
        <v>20</v>
      </c>
      <c r="G2507" s="4">
        <v>4</v>
      </c>
      <c r="H2507" s="1">
        <v>80783</v>
      </c>
      <c r="I2507" s="3" t="s">
        <v>15</v>
      </c>
      <c r="J2507" s="4">
        <v>5</v>
      </c>
    </row>
    <row r="2508" spans="1:10" x14ac:dyDescent="0.35">
      <c r="A2508" s="2" t="s">
        <v>2544</v>
      </c>
      <c r="B2508" s="4">
        <v>42</v>
      </c>
      <c r="C2508" t="s">
        <v>17</v>
      </c>
      <c r="D2508" t="s">
        <v>33</v>
      </c>
      <c r="E2508" t="s">
        <v>13</v>
      </c>
      <c r="F2508" t="s">
        <v>20</v>
      </c>
      <c r="G2508" s="4">
        <v>12</v>
      </c>
      <c r="H2508" s="1">
        <v>99310</v>
      </c>
      <c r="I2508" s="3" t="s">
        <v>21</v>
      </c>
      <c r="J2508" s="4">
        <v>1</v>
      </c>
    </row>
    <row r="2509" spans="1:10" x14ac:dyDescent="0.35">
      <c r="A2509" s="2" t="s">
        <v>2545</v>
      </c>
      <c r="B2509" s="4">
        <v>42</v>
      </c>
      <c r="C2509" t="s">
        <v>17</v>
      </c>
      <c r="D2509" t="s">
        <v>28</v>
      </c>
      <c r="E2509" t="s">
        <v>27</v>
      </c>
      <c r="F2509" t="s">
        <v>14</v>
      </c>
      <c r="G2509" s="4">
        <v>10</v>
      </c>
      <c r="H2509" s="1">
        <v>79033</v>
      </c>
      <c r="I2509" s="3" t="s">
        <v>21</v>
      </c>
      <c r="J2509" s="4">
        <v>5</v>
      </c>
    </row>
    <row r="2510" spans="1:10" x14ac:dyDescent="0.35">
      <c r="A2510" s="2" t="s">
        <v>2546</v>
      </c>
      <c r="B2510" s="4">
        <v>29</v>
      </c>
      <c r="C2510" t="s">
        <v>17</v>
      </c>
      <c r="D2510" t="s">
        <v>33</v>
      </c>
      <c r="E2510" t="s">
        <v>42</v>
      </c>
      <c r="F2510" t="s">
        <v>30</v>
      </c>
      <c r="G2510" s="4">
        <v>4</v>
      </c>
      <c r="H2510" s="1">
        <v>11602</v>
      </c>
      <c r="I2510" s="3" t="s">
        <v>15</v>
      </c>
      <c r="J2510" s="4">
        <v>2</v>
      </c>
    </row>
    <row r="2511" spans="1:10" x14ac:dyDescent="0.35">
      <c r="A2511" s="2" t="s">
        <v>2547</v>
      </c>
      <c r="B2511" s="4">
        <v>15</v>
      </c>
      <c r="C2511" t="s">
        <v>17</v>
      </c>
      <c r="D2511" t="s">
        <v>23</v>
      </c>
      <c r="E2511" t="s">
        <v>19</v>
      </c>
      <c r="F2511" t="s">
        <v>14</v>
      </c>
      <c r="G2511" s="4">
        <v>12</v>
      </c>
      <c r="H2511" s="1">
        <v>83442</v>
      </c>
      <c r="I2511" s="3" t="s">
        <v>15</v>
      </c>
      <c r="J2511" s="4">
        <v>1</v>
      </c>
    </row>
    <row r="2512" spans="1:10" x14ac:dyDescent="0.35">
      <c r="A2512" s="2" t="s">
        <v>2548</v>
      </c>
      <c r="B2512" s="4">
        <v>69</v>
      </c>
      <c r="C2512" t="s">
        <v>11</v>
      </c>
      <c r="D2512" t="s">
        <v>12</v>
      </c>
      <c r="E2512" t="s">
        <v>27</v>
      </c>
      <c r="F2512" t="s">
        <v>14</v>
      </c>
      <c r="G2512" s="4">
        <v>4</v>
      </c>
      <c r="H2512" s="1">
        <v>8353</v>
      </c>
      <c r="I2512" s="3" t="s">
        <v>15</v>
      </c>
      <c r="J2512" s="4">
        <v>3</v>
      </c>
    </row>
    <row r="2513" spans="1:10" x14ac:dyDescent="0.35">
      <c r="A2513" s="2" t="s">
        <v>2549</v>
      </c>
      <c r="B2513" s="4">
        <v>42</v>
      </c>
      <c r="C2513" t="s">
        <v>11</v>
      </c>
      <c r="D2513" t="s">
        <v>33</v>
      </c>
      <c r="E2513" t="s">
        <v>34</v>
      </c>
      <c r="F2513" t="s">
        <v>30</v>
      </c>
      <c r="G2513" s="4">
        <v>12</v>
      </c>
      <c r="H2513" s="1">
        <v>32480</v>
      </c>
      <c r="I2513" s="3" t="s">
        <v>21</v>
      </c>
      <c r="J2513" s="4">
        <v>3</v>
      </c>
    </row>
    <row r="2514" spans="1:10" x14ac:dyDescent="0.35">
      <c r="A2514" s="2" t="s">
        <v>2550</v>
      </c>
      <c r="B2514" s="4">
        <v>82</v>
      </c>
      <c r="C2514" t="s">
        <v>11</v>
      </c>
      <c r="D2514" t="s">
        <v>33</v>
      </c>
      <c r="E2514" t="s">
        <v>27</v>
      </c>
      <c r="F2514" t="s">
        <v>14</v>
      </c>
      <c r="G2514" s="4">
        <v>11</v>
      </c>
      <c r="H2514" s="1">
        <v>80841</v>
      </c>
      <c r="I2514" s="3" t="s">
        <v>21</v>
      </c>
      <c r="J2514" s="4">
        <v>4</v>
      </c>
    </row>
    <row r="2515" spans="1:10" x14ac:dyDescent="0.35">
      <c r="A2515" s="2" t="s">
        <v>2551</v>
      </c>
      <c r="B2515" s="4">
        <v>34</v>
      </c>
      <c r="C2515" t="s">
        <v>11</v>
      </c>
      <c r="D2515" t="s">
        <v>36</v>
      </c>
      <c r="E2515" t="s">
        <v>34</v>
      </c>
      <c r="F2515" t="s">
        <v>30</v>
      </c>
      <c r="G2515" s="4">
        <v>1</v>
      </c>
      <c r="H2515" s="1">
        <v>28464</v>
      </c>
      <c r="I2515" s="3" t="s">
        <v>21</v>
      </c>
      <c r="J2515" s="4">
        <v>1</v>
      </c>
    </row>
    <row r="2516" spans="1:10" x14ac:dyDescent="0.35">
      <c r="A2516" s="2" t="s">
        <v>2552</v>
      </c>
      <c r="B2516" s="4">
        <v>87</v>
      </c>
      <c r="C2516" t="s">
        <v>17</v>
      </c>
      <c r="D2516" t="s">
        <v>23</v>
      </c>
      <c r="E2516" t="s">
        <v>13</v>
      </c>
      <c r="F2516" t="s">
        <v>30</v>
      </c>
      <c r="G2516" s="4">
        <v>6</v>
      </c>
      <c r="H2516" s="1">
        <v>86307</v>
      </c>
      <c r="I2516" s="3" t="s">
        <v>21</v>
      </c>
      <c r="J2516" s="4">
        <v>1</v>
      </c>
    </row>
    <row r="2517" spans="1:10" x14ac:dyDescent="0.35">
      <c r="A2517" s="2" t="s">
        <v>2553</v>
      </c>
      <c r="B2517" s="4">
        <v>69</v>
      </c>
      <c r="C2517" t="s">
        <v>17</v>
      </c>
      <c r="D2517" t="s">
        <v>12</v>
      </c>
      <c r="E2517" t="s">
        <v>24</v>
      </c>
      <c r="F2517" t="s">
        <v>30</v>
      </c>
      <c r="G2517" s="4">
        <v>11</v>
      </c>
      <c r="H2517" s="1">
        <v>35714</v>
      </c>
      <c r="I2517" s="3" t="s">
        <v>21</v>
      </c>
      <c r="J2517" s="4">
        <v>3</v>
      </c>
    </row>
    <row r="2518" spans="1:10" x14ac:dyDescent="0.35">
      <c r="A2518" s="2" t="s">
        <v>2554</v>
      </c>
      <c r="B2518" s="4">
        <v>44</v>
      </c>
      <c r="C2518" t="s">
        <v>17</v>
      </c>
      <c r="D2518" t="s">
        <v>26</v>
      </c>
      <c r="E2518" t="s">
        <v>19</v>
      </c>
      <c r="F2518" t="s">
        <v>30</v>
      </c>
      <c r="G2518" s="4">
        <v>7</v>
      </c>
      <c r="H2518" s="1">
        <v>53441</v>
      </c>
      <c r="I2518" s="3" t="s">
        <v>15</v>
      </c>
      <c r="J2518" s="4">
        <v>1</v>
      </c>
    </row>
    <row r="2519" spans="1:10" x14ac:dyDescent="0.35">
      <c r="A2519" s="2" t="s">
        <v>2555</v>
      </c>
      <c r="B2519" s="4">
        <v>88</v>
      </c>
      <c r="C2519" t="s">
        <v>11</v>
      </c>
      <c r="D2519" t="s">
        <v>39</v>
      </c>
      <c r="E2519" t="s">
        <v>19</v>
      </c>
      <c r="F2519" t="s">
        <v>14</v>
      </c>
      <c r="G2519" s="4">
        <v>12</v>
      </c>
      <c r="H2519" s="1">
        <v>66581</v>
      </c>
      <c r="I2519" s="3" t="s">
        <v>21</v>
      </c>
      <c r="J2519" s="4">
        <v>5</v>
      </c>
    </row>
    <row r="2520" spans="1:10" x14ac:dyDescent="0.35">
      <c r="A2520" s="2" t="s">
        <v>2556</v>
      </c>
      <c r="B2520" s="4">
        <v>73</v>
      </c>
      <c r="C2520" t="s">
        <v>17</v>
      </c>
      <c r="D2520" t="s">
        <v>18</v>
      </c>
      <c r="E2520" t="s">
        <v>65</v>
      </c>
      <c r="F2520" t="s">
        <v>14</v>
      </c>
      <c r="G2520" s="4">
        <v>5</v>
      </c>
      <c r="H2520" s="1">
        <v>83631</v>
      </c>
      <c r="I2520" s="3" t="s">
        <v>21</v>
      </c>
      <c r="J2520" s="4">
        <v>3</v>
      </c>
    </row>
    <row r="2521" spans="1:10" x14ac:dyDescent="0.35">
      <c r="A2521" s="2" t="s">
        <v>2557</v>
      </c>
      <c r="B2521" s="4">
        <v>90</v>
      </c>
      <c r="C2521" t="s">
        <v>11</v>
      </c>
      <c r="D2521" t="s">
        <v>39</v>
      </c>
      <c r="E2521" t="s">
        <v>27</v>
      </c>
      <c r="F2521" t="s">
        <v>20</v>
      </c>
      <c r="G2521" s="4">
        <v>4</v>
      </c>
      <c r="H2521" s="1">
        <v>76969</v>
      </c>
      <c r="I2521" s="3" t="s">
        <v>21</v>
      </c>
      <c r="J2521" s="4">
        <v>3</v>
      </c>
    </row>
    <row r="2522" spans="1:10" x14ac:dyDescent="0.35">
      <c r="A2522" s="2" t="s">
        <v>2558</v>
      </c>
      <c r="B2522" s="4">
        <v>84</v>
      </c>
      <c r="C2522" t="s">
        <v>11</v>
      </c>
      <c r="D2522" t="s">
        <v>12</v>
      </c>
      <c r="E2522" t="s">
        <v>42</v>
      </c>
      <c r="F2522" t="s">
        <v>14</v>
      </c>
      <c r="G2522" s="4">
        <v>14</v>
      </c>
      <c r="H2522" s="1">
        <v>33097</v>
      </c>
      <c r="I2522" s="3" t="s">
        <v>21</v>
      </c>
      <c r="J2522" s="4">
        <v>2</v>
      </c>
    </row>
    <row r="2523" spans="1:10" x14ac:dyDescent="0.35">
      <c r="A2523" s="2" t="s">
        <v>2559</v>
      </c>
      <c r="B2523" s="4">
        <v>82</v>
      </c>
      <c r="C2523" t="s">
        <v>17</v>
      </c>
      <c r="D2523" t="s">
        <v>28</v>
      </c>
      <c r="E2523" t="s">
        <v>37</v>
      </c>
      <c r="F2523" t="s">
        <v>30</v>
      </c>
      <c r="G2523" s="4">
        <v>10</v>
      </c>
      <c r="H2523" s="1">
        <v>46524</v>
      </c>
      <c r="I2523" s="3" t="s">
        <v>21</v>
      </c>
      <c r="J2523" s="4">
        <v>3</v>
      </c>
    </row>
    <row r="2524" spans="1:10" x14ac:dyDescent="0.35">
      <c r="A2524" s="2" t="s">
        <v>2560</v>
      </c>
      <c r="B2524" s="4">
        <v>19</v>
      </c>
      <c r="C2524" t="s">
        <v>11</v>
      </c>
      <c r="D2524" t="s">
        <v>28</v>
      </c>
      <c r="E2524" t="s">
        <v>42</v>
      </c>
      <c r="F2524" t="s">
        <v>20</v>
      </c>
      <c r="G2524" s="4">
        <v>9</v>
      </c>
      <c r="H2524" s="1">
        <v>72329</v>
      </c>
      <c r="I2524" s="3" t="s">
        <v>21</v>
      </c>
      <c r="J2524" s="4">
        <v>1</v>
      </c>
    </row>
    <row r="2525" spans="1:10" x14ac:dyDescent="0.35">
      <c r="A2525" s="2" t="s">
        <v>2561</v>
      </c>
      <c r="B2525" s="4">
        <v>58</v>
      </c>
      <c r="C2525" t="s">
        <v>17</v>
      </c>
      <c r="D2525" t="s">
        <v>18</v>
      </c>
      <c r="E2525" t="s">
        <v>34</v>
      </c>
      <c r="F2525" t="s">
        <v>30</v>
      </c>
      <c r="G2525" s="4">
        <v>4</v>
      </c>
      <c r="H2525" s="1">
        <v>43588</v>
      </c>
      <c r="I2525" s="3" t="s">
        <v>15</v>
      </c>
      <c r="J2525" s="4">
        <v>4</v>
      </c>
    </row>
    <row r="2526" spans="1:10" x14ac:dyDescent="0.35">
      <c r="A2526" s="2" t="s">
        <v>2562</v>
      </c>
      <c r="B2526" s="4">
        <v>39</v>
      </c>
      <c r="C2526" t="s">
        <v>11</v>
      </c>
      <c r="D2526" t="s">
        <v>41</v>
      </c>
      <c r="E2526" t="s">
        <v>37</v>
      </c>
      <c r="F2526" t="s">
        <v>30</v>
      </c>
      <c r="G2526" s="4">
        <v>9</v>
      </c>
      <c r="H2526" s="1">
        <v>41213</v>
      </c>
      <c r="I2526" s="3" t="s">
        <v>21</v>
      </c>
      <c r="J2526" s="4">
        <v>4</v>
      </c>
    </row>
    <row r="2527" spans="1:10" x14ac:dyDescent="0.35">
      <c r="A2527" s="2" t="s">
        <v>2563</v>
      </c>
      <c r="B2527" s="4">
        <v>71</v>
      </c>
      <c r="C2527" t="s">
        <v>17</v>
      </c>
      <c r="D2527" t="s">
        <v>26</v>
      </c>
      <c r="E2527" t="s">
        <v>19</v>
      </c>
      <c r="F2527" t="s">
        <v>20</v>
      </c>
      <c r="G2527" s="4">
        <v>15</v>
      </c>
      <c r="H2527" s="1">
        <v>52853</v>
      </c>
      <c r="I2527" s="3" t="s">
        <v>21</v>
      </c>
      <c r="J2527" s="4">
        <v>5</v>
      </c>
    </row>
    <row r="2528" spans="1:10" x14ac:dyDescent="0.35">
      <c r="A2528" s="2" t="s">
        <v>2564</v>
      </c>
      <c r="B2528" s="4">
        <v>20</v>
      </c>
      <c r="C2528" t="s">
        <v>11</v>
      </c>
      <c r="D2528" t="s">
        <v>18</v>
      </c>
      <c r="E2528" t="s">
        <v>65</v>
      </c>
      <c r="F2528" t="s">
        <v>20</v>
      </c>
      <c r="G2528" s="4">
        <v>14</v>
      </c>
      <c r="H2528" s="1">
        <v>72284</v>
      </c>
      <c r="I2528" s="3" t="s">
        <v>21</v>
      </c>
      <c r="J2528" s="4">
        <v>1</v>
      </c>
    </row>
    <row r="2529" spans="1:10" x14ac:dyDescent="0.35">
      <c r="A2529" s="2" t="s">
        <v>2565</v>
      </c>
      <c r="B2529" s="4">
        <v>35</v>
      </c>
      <c r="C2529" t="s">
        <v>17</v>
      </c>
      <c r="D2529" t="s">
        <v>41</v>
      </c>
      <c r="E2529" t="s">
        <v>34</v>
      </c>
      <c r="F2529" t="s">
        <v>30</v>
      </c>
      <c r="G2529" s="4">
        <v>3</v>
      </c>
      <c r="H2529" s="1">
        <v>17435</v>
      </c>
      <c r="I2529" s="3" t="s">
        <v>21</v>
      </c>
      <c r="J2529" s="4">
        <v>4</v>
      </c>
    </row>
    <row r="2530" spans="1:10" x14ac:dyDescent="0.35">
      <c r="A2530" s="2" t="s">
        <v>2566</v>
      </c>
      <c r="B2530" s="4">
        <v>35</v>
      </c>
      <c r="C2530" t="s">
        <v>17</v>
      </c>
      <c r="D2530" t="s">
        <v>26</v>
      </c>
      <c r="E2530" t="s">
        <v>37</v>
      </c>
      <c r="F2530" t="s">
        <v>20</v>
      </c>
      <c r="G2530" s="4">
        <v>5</v>
      </c>
      <c r="H2530" s="1">
        <v>17124</v>
      </c>
      <c r="I2530" s="3" t="s">
        <v>15</v>
      </c>
      <c r="J2530" s="4">
        <v>4</v>
      </c>
    </row>
    <row r="2531" spans="1:10" x14ac:dyDescent="0.35">
      <c r="A2531" s="2" t="s">
        <v>2567</v>
      </c>
      <c r="B2531" s="4">
        <v>58</v>
      </c>
      <c r="C2531" t="s">
        <v>11</v>
      </c>
      <c r="D2531" t="s">
        <v>12</v>
      </c>
      <c r="E2531" t="s">
        <v>34</v>
      </c>
      <c r="F2531" t="s">
        <v>14</v>
      </c>
      <c r="G2531" s="4">
        <v>14</v>
      </c>
      <c r="H2531" s="1">
        <v>81228</v>
      </c>
      <c r="I2531" s="3" t="s">
        <v>15</v>
      </c>
      <c r="J2531" s="4">
        <v>3</v>
      </c>
    </row>
    <row r="2532" spans="1:10" x14ac:dyDescent="0.35">
      <c r="A2532" s="2" t="s">
        <v>2568</v>
      </c>
      <c r="B2532" s="4">
        <v>8</v>
      </c>
      <c r="C2532" t="s">
        <v>17</v>
      </c>
      <c r="D2532" t="s">
        <v>41</v>
      </c>
      <c r="E2532" t="s">
        <v>65</v>
      </c>
      <c r="F2532" t="s">
        <v>20</v>
      </c>
      <c r="G2532" s="4">
        <v>5</v>
      </c>
      <c r="H2532" s="1">
        <v>83748</v>
      </c>
      <c r="I2532" s="3" t="s">
        <v>21</v>
      </c>
      <c r="J2532" s="4">
        <v>3</v>
      </c>
    </row>
    <row r="2533" spans="1:10" x14ac:dyDescent="0.35">
      <c r="A2533" s="2" t="s">
        <v>2569</v>
      </c>
      <c r="B2533" s="4">
        <v>50</v>
      </c>
      <c r="C2533" t="s">
        <v>11</v>
      </c>
      <c r="D2533" t="s">
        <v>18</v>
      </c>
      <c r="E2533" t="s">
        <v>29</v>
      </c>
      <c r="F2533" t="s">
        <v>20</v>
      </c>
      <c r="G2533" s="4">
        <v>7</v>
      </c>
      <c r="H2533" s="1">
        <v>59257</v>
      </c>
      <c r="I2533" s="3" t="s">
        <v>21</v>
      </c>
      <c r="J2533" s="4">
        <v>2</v>
      </c>
    </row>
    <row r="2534" spans="1:10" x14ac:dyDescent="0.35">
      <c r="A2534" s="2" t="s">
        <v>2570</v>
      </c>
      <c r="B2534" s="4">
        <v>47</v>
      </c>
      <c r="C2534" t="s">
        <v>11</v>
      </c>
      <c r="D2534" t="s">
        <v>36</v>
      </c>
      <c r="E2534" t="s">
        <v>19</v>
      </c>
      <c r="F2534" t="s">
        <v>20</v>
      </c>
      <c r="G2534" s="4">
        <v>7</v>
      </c>
      <c r="H2534" s="1">
        <v>39847</v>
      </c>
      <c r="I2534" s="3" t="s">
        <v>15</v>
      </c>
      <c r="J2534" s="4">
        <v>5</v>
      </c>
    </row>
    <row r="2535" spans="1:10" x14ac:dyDescent="0.35">
      <c r="A2535" s="2" t="s">
        <v>2571</v>
      </c>
      <c r="B2535" s="4">
        <v>54</v>
      </c>
      <c r="C2535" t="s">
        <v>11</v>
      </c>
      <c r="D2535" t="s">
        <v>36</v>
      </c>
      <c r="E2535" t="s">
        <v>27</v>
      </c>
      <c r="F2535" t="s">
        <v>20</v>
      </c>
      <c r="G2535" s="4">
        <v>7</v>
      </c>
      <c r="H2535" s="1">
        <v>71917</v>
      </c>
      <c r="I2535" s="3" t="s">
        <v>21</v>
      </c>
      <c r="J2535" s="4">
        <v>1</v>
      </c>
    </row>
    <row r="2536" spans="1:10" x14ac:dyDescent="0.35">
      <c r="A2536" s="2" t="s">
        <v>2572</v>
      </c>
      <c r="B2536" s="4">
        <v>59</v>
      </c>
      <c r="C2536" t="s">
        <v>17</v>
      </c>
      <c r="D2536" t="s">
        <v>39</v>
      </c>
      <c r="E2536" t="s">
        <v>29</v>
      </c>
      <c r="F2536" t="s">
        <v>14</v>
      </c>
      <c r="G2536" s="4">
        <v>6</v>
      </c>
      <c r="H2536" s="1">
        <v>64013</v>
      </c>
      <c r="I2536" s="3" t="s">
        <v>21</v>
      </c>
      <c r="J2536" s="4">
        <v>5</v>
      </c>
    </row>
    <row r="2537" spans="1:10" x14ac:dyDescent="0.35">
      <c r="A2537" s="2" t="s">
        <v>2573</v>
      </c>
      <c r="B2537" s="4">
        <v>58</v>
      </c>
      <c r="C2537" t="s">
        <v>17</v>
      </c>
      <c r="D2537" t="s">
        <v>33</v>
      </c>
      <c r="E2537" t="s">
        <v>65</v>
      </c>
      <c r="F2537" t="s">
        <v>20</v>
      </c>
      <c r="G2537" s="4">
        <v>8</v>
      </c>
      <c r="H2537" s="1">
        <v>32835</v>
      </c>
      <c r="I2537" s="3" t="s">
        <v>15</v>
      </c>
      <c r="J2537" s="4">
        <v>2</v>
      </c>
    </row>
    <row r="2538" spans="1:10" x14ac:dyDescent="0.35">
      <c r="A2538" s="2" t="s">
        <v>2574</v>
      </c>
      <c r="B2538" s="4">
        <v>37</v>
      </c>
      <c r="C2538" t="s">
        <v>11</v>
      </c>
      <c r="D2538" t="s">
        <v>28</v>
      </c>
      <c r="E2538" t="s">
        <v>13</v>
      </c>
      <c r="F2538" t="s">
        <v>14</v>
      </c>
      <c r="G2538" s="4">
        <v>5</v>
      </c>
      <c r="H2538" s="1">
        <v>82268</v>
      </c>
      <c r="I2538" s="3" t="s">
        <v>21</v>
      </c>
      <c r="J2538" s="4">
        <v>5</v>
      </c>
    </row>
    <row r="2539" spans="1:10" x14ac:dyDescent="0.35">
      <c r="A2539" s="2" t="s">
        <v>2575</v>
      </c>
      <c r="B2539" s="4">
        <v>68</v>
      </c>
      <c r="C2539" t="s">
        <v>17</v>
      </c>
      <c r="D2539" t="s">
        <v>41</v>
      </c>
      <c r="E2539" t="s">
        <v>24</v>
      </c>
      <c r="F2539" t="s">
        <v>20</v>
      </c>
      <c r="G2539" s="4">
        <v>4</v>
      </c>
      <c r="H2539" s="1">
        <v>63559</v>
      </c>
      <c r="I2539" s="3" t="s">
        <v>15</v>
      </c>
      <c r="J2539" s="4">
        <v>5</v>
      </c>
    </row>
    <row r="2540" spans="1:10" x14ac:dyDescent="0.35">
      <c r="A2540" s="2" t="s">
        <v>2576</v>
      </c>
      <c r="B2540" s="4">
        <v>81</v>
      </c>
      <c r="C2540" t="s">
        <v>11</v>
      </c>
      <c r="D2540" t="s">
        <v>12</v>
      </c>
      <c r="E2540" t="s">
        <v>24</v>
      </c>
      <c r="F2540" t="s">
        <v>30</v>
      </c>
      <c r="G2540" s="4">
        <v>6</v>
      </c>
      <c r="H2540" s="1">
        <v>48028</v>
      </c>
      <c r="I2540" s="3" t="s">
        <v>21</v>
      </c>
      <c r="J2540" s="4">
        <v>2</v>
      </c>
    </row>
    <row r="2541" spans="1:10" x14ac:dyDescent="0.35">
      <c r="A2541" s="2" t="s">
        <v>2577</v>
      </c>
      <c r="B2541" s="4">
        <v>1</v>
      </c>
      <c r="C2541" t="s">
        <v>17</v>
      </c>
      <c r="D2541" t="s">
        <v>49</v>
      </c>
      <c r="E2541" t="s">
        <v>13</v>
      </c>
      <c r="F2541" t="s">
        <v>14</v>
      </c>
      <c r="G2541" s="4">
        <v>3</v>
      </c>
      <c r="H2541" s="1">
        <v>39199</v>
      </c>
      <c r="I2541" s="3" t="s">
        <v>15</v>
      </c>
      <c r="J2541" s="4">
        <v>3</v>
      </c>
    </row>
    <row r="2542" spans="1:10" x14ac:dyDescent="0.35">
      <c r="A2542" s="2" t="s">
        <v>2578</v>
      </c>
      <c r="B2542" s="4">
        <v>49</v>
      </c>
      <c r="C2542" t="s">
        <v>17</v>
      </c>
      <c r="D2542" t="s">
        <v>41</v>
      </c>
      <c r="E2542" t="s">
        <v>27</v>
      </c>
      <c r="F2542" t="s">
        <v>20</v>
      </c>
      <c r="G2542" s="4">
        <v>9</v>
      </c>
      <c r="H2542" s="1">
        <v>76390</v>
      </c>
      <c r="I2542" s="3" t="s">
        <v>21</v>
      </c>
      <c r="J2542" s="4">
        <v>3</v>
      </c>
    </row>
    <row r="2543" spans="1:10" x14ac:dyDescent="0.35">
      <c r="A2543" s="2" t="s">
        <v>2579</v>
      </c>
      <c r="B2543" s="4">
        <v>59</v>
      </c>
      <c r="C2543" t="s">
        <v>17</v>
      </c>
      <c r="D2543" t="s">
        <v>41</v>
      </c>
      <c r="E2543" t="s">
        <v>13</v>
      </c>
      <c r="F2543" t="s">
        <v>14</v>
      </c>
      <c r="G2543" s="4">
        <v>2</v>
      </c>
      <c r="H2543" s="1">
        <v>74475</v>
      </c>
      <c r="I2543" s="3" t="s">
        <v>21</v>
      </c>
      <c r="J2543" s="4">
        <v>1</v>
      </c>
    </row>
    <row r="2544" spans="1:10" x14ac:dyDescent="0.35">
      <c r="A2544" s="2" t="s">
        <v>2580</v>
      </c>
      <c r="B2544" s="4">
        <v>13</v>
      </c>
      <c r="C2544" t="s">
        <v>11</v>
      </c>
      <c r="D2544" t="s">
        <v>41</v>
      </c>
      <c r="E2544" t="s">
        <v>19</v>
      </c>
      <c r="F2544" t="s">
        <v>14</v>
      </c>
      <c r="G2544" s="4">
        <v>14</v>
      </c>
      <c r="H2544" s="1">
        <v>22274</v>
      </c>
      <c r="I2544" s="3" t="s">
        <v>21</v>
      </c>
      <c r="J2544" s="4">
        <v>3</v>
      </c>
    </row>
    <row r="2545" spans="1:10" x14ac:dyDescent="0.35">
      <c r="A2545" s="2" t="s">
        <v>2581</v>
      </c>
      <c r="B2545" s="4">
        <v>75</v>
      </c>
      <c r="C2545" t="s">
        <v>17</v>
      </c>
      <c r="D2545" t="s">
        <v>28</v>
      </c>
      <c r="E2545" t="s">
        <v>27</v>
      </c>
      <c r="F2545" t="s">
        <v>20</v>
      </c>
      <c r="G2545" s="4">
        <v>8</v>
      </c>
      <c r="H2545" s="1">
        <v>83867</v>
      </c>
      <c r="I2545" s="3" t="s">
        <v>15</v>
      </c>
      <c r="J2545" s="4">
        <v>3</v>
      </c>
    </row>
    <row r="2546" spans="1:10" x14ac:dyDescent="0.35">
      <c r="A2546" s="2" t="s">
        <v>2582</v>
      </c>
      <c r="B2546" s="4">
        <v>34</v>
      </c>
      <c r="C2546" t="s">
        <v>11</v>
      </c>
      <c r="D2546" t="s">
        <v>39</v>
      </c>
      <c r="E2546" t="s">
        <v>53</v>
      </c>
      <c r="F2546" t="s">
        <v>30</v>
      </c>
      <c r="G2546" s="4">
        <v>6</v>
      </c>
      <c r="H2546" s="1">
        <v>91903</v>
      </c>
      <c r="I2546" s="3" t="s">
        <v>21</v>
      </c>
      <c r="J2546" s="4">
        <v>3</v>
      </c>
    </row>
    <row r="2547" spans="1:10" x14ac:dyDescent="0.35">
      <c r="A2547" s="2" t="s">
        <v>2583</v>
      </c>
      <c r="B2547" s="4">
        <v>28</v>
      </c>
      <c r="C2547" t="s">
        <v>11</v>
      </c>
      <c r="D2547" t="s">
        <v>49</v>
      </c>
      <c r="E2547" t="s">
        <v>24</v>
      </c>
      <c r="F2547" t="s">
        <v>20</v>
      </c>
      <c r="G2547" s="4">
        <v>15</v>
      </c>
      <c r="H2547" s="1">
        <v>66602</v>
      </c>
      <c r="I2547" s="3" t="s">
        <v>15</v>
      </c>
      <c r="J2547" s="4">
        <v>3</v>
      </c>
    </row>
    <row r="2548" spans="1:10" x14ac:dyDescent="0.35">
      <c r="A2548" s="2" t="s">
        <v>2584</v>
      </c>
      <c r="B2548" s="4">
        <v>51</v>
      </c>
      <c r="C2548" t="s">
        <v>11</v>
      </c>
      <c r="D2548" t="s">
        <v>26</v>
      </c>
      <c r="E2548" t="s">
        <v>27</v>
      </c>
      <c r="F2548" t="s">
        <v>14</v>
      </c>
      <c r="G2548" s="4">
        <v>10</v>
      </c>
      <c r="H2548" s="1">
        <v>53224</v>
      </c>
      <c r="I2548" s="3" t="s">
        <v>15</v>
      </c>
      <c r="J2548" s="4">
        <v>2</v>
      </c>
    </row>
    <row r="2549" spans="1:10" x14ac:dyDescent="0.35">
      <c r="A2549" s="2" t="s">
        <v>2585</v>
      </c>
      <c r="B2549" s="4">
        <v>23</v>
      </c>
      <c r="C2549" t="s">
        <v>17</v>
      </c>
      <c r="D2549" t="s">
        <v>12</v>
      </c>
      <c r="E2549" t="s">
        <v>24</v>
      </c>
      <c r="F2549" t="s">
        <v>20</v>
      </c>
      <c r="G2549" s="4">
        <v>3</v>
      </c>
      <c r="H2549" s="1">
        <v>97865</v>
      </c>
      <c r="I2549" s="3" t="s">
        <v>21</v>
      </c>
      <c r="J2549" s="4">
        <v>2</v>
      </c>
    </row>
    <row r="2550" spans="1:10" x14ac:dyDescent="0.35">
      <c r="A2550" s="2" t="s">
        <v>2586</v>
      </c>
      <c r="B2550" s="4">
        <v>58</v>
      </c>
      <c r="C2550" t="s">
        <v>17</v>
      </c>
      <c r="D2550" t="s">
        <v>41</v>
      </c>
      <c r="E2550" t="s">
        <v>19</v>
      </c>
      <c r="F2550" t="s">
        <v>14</v>
      </c>
      <c r="G2550" s="4">
        <v>2</v>
      </c>
      <c r="H2550" s="1">
        <v>21393</v>
      </c>
      <c r="I2550" s="3" t="s">
        <v>21</v>
      </c>
      <c r="J2550" s="4">
        <v>4</v>
      </c>
    </row>
    <row r="2551" spans="1:10" x14ac:dyDescent="0.35">
      <c r="A2551" s="2" t="s">
        <v>2587</v>
      </c>
      <c r="B2551" s="4">
        <v>86</v>
      </c>
      <c r="C2551" t="s">
        <v>17</v>
      </c>
      <c r="D2551" t="s">
        <v>28</v>
      </c>
      <c r="E2551" t="s">
        <v>29</v>
      </c>
      <c r="F2551" t="s">
        <v>30</v>
      </c>
      <c r="G2551" s="4">
        <v>5</v>
      </c>
      <c r="H2551" s="1">
        <v>90126</v>
      </c>
      <c r="I2551" s="3" t="s">
        <v>15</v>
      </c>
      <c r="J2551" s="4">
        <v>5</v>
      </c>
    </row>
    <row r="2552" spans="1:10" x14ac:dyDescent="0.35">
      <c r="A2552" s="2" t="s">
        <v>2588</v>
      </c>
      <c r="B2552" s="4">
        <v>38</v>
      </c>
      <c r="C2552" t="s">
        <v>11</v>
      </c>
      <c r="D2552" t="s">
        <v>12</v>
      </c>
      <c r="E2552" t="s">
        <v>13</v>
      </c>
      <c r="F2552" t="s">
        <v>20</v>
      </c>
      <c r="G2552" s="4">
        <v>11</v>
      </c>
      <c r="H2552" s="1">
        <v>30302</v>
      </c>
      <c r="I2552" s="3" t="s">
        <v>15</v>
      </c>
      <c r="J2552" s="4">
        <v>1</v>
      </c>
    </row>
    <row r="2553" spans="1:10" x14ac:dyDescent="0.35">
      <c r="A2553" s="2" t="s">
        <v>2589</v>
      </c>
      <c r="B2553" s="4">
        <v>85</v>
      </c>
      <c r="C2553" t="s">
        <v>17</v>
      </c>
      <c r="D2553" t="s">
        <v>28</v>
      </c>
      <c r="E2553" t="s">
        <v>42</v>
      </c>
      <c r="F2553" t="s">
        <v>30</v>
      </c>
      <c r="G2553" s="4">
        <v>3</v>
      </c>
      <c r="H2553" s="1">
        <v>79048</v>
      </c>
      <c r="I2553" s="3" t="s">
        <v>15</v>
      </c>
      <c r="J2553" s="4">
        <v>1</v>
      </c>
    </row>
    <row r="2554" spans="1:10" x14ac:dyDescent="0.35">
      <c r="A2554" s="2" t="s">
        <v>2590</v>
      </c>
      <c r="B2554" s="4">
        <v>76</v>
      </c>
      <c r="C2554" t="s">
        <v>17</v>
      </c>
      <c r="D2554" t="s">
        <v>28</v>
      </c>
      <c r="E2554" t="s">
        <v>42</v>
      </c>
      <c r="F2554" t="s">
        <v>14</v>
      </c>
      <c r="G2554" s="4">
        <v>2</v>
      </c>
      <c r="H2554" s="1">
        <v>22649</v>
      </c>
      <c r="I2554" s="3" t="s">
        <v>15</v>
      </c>
      <c r="J2554" s="4">
        <v>3</v>
      </c>
    </row>
    <row r="2555" spans="1:10" x14ac:dyDescent="0.35">
      <c r="A2555" s="2" t="s">
        <v>2591</v>
      </c>
      <c r="B2555" s="4">
        <v>52</v>
      </c>
      <c r="C2555" t="s">
        <v>11</v>
      </c>
      <c r="D2555" t="s">
        <v>39</v>
      </c>
      <c r="E2555" t="s">
        <v>37</v>
      </c>
      <c r="F2555" t="s">
        <v>14</v>
      </c>
      <c r="G2555" s="4">
        <v>14</v>
      </c>
      <c r="H2555" s="1">
        <v>26018</v>
      </c>
      <c r="I2555" s="3" t="s">
        <v>15</v>
      </c>
      <c r="J2555" s="4">
        <v>5</v>
      </c>
    </row>
    <row r="2556" spans="1:10" x14ac:dyDescent="0.35">
      <c r="A2556" s="2" t="s">
        <v>2592</v>
      </c>
      <c r="B2556" s="4">
        <v>71</v>
      </c>
      <c r="C2556" t="s">
        <v>11</v>
      </c>
      <c r="D2556" t="s">
        <v>23</v>
      </c>
      <c r="E2556" t="s">
        <v>27</v>
      </c>
      <c r="F2556" t="s">
        <v>20</v>
      </c>
      <c r="G2556" s="4">
        <v>13</v>
      </c>
      <c r="H2556" s="1">
        <v>37920</v>
      </c>
      <c r="I2556" s="3" t="s">
        <v>15</v>
      </c>
      <c r="J2556" s="4">
        <v>3</v>
      </c>
    </row>
    <row r="2557" spans="1:10" x14ac:dyDescent="0.35">
      <c r="A2557" s="2" t="s">
        <v>2593</v>
      </c>
      <c r="B2557" s="4">
        <v>21</v>
      </c>
      <c r="C2557" t="s">
        <v>17</v>
      </c>
      <c r="D2557" t="s">
        <v>33</v>
      </c>
      <c r="E2557" t="s">
        <v>65</v>
      </c>
      <c r="F2557" t="s">
        <v>14</v>
      </c>
      <c r="G2557" s="4">
        <v>11</v>
      </c>
      <c r="H2557" s="1">
        <v>48985</v>
      </c>
      <c r="I2557" s="3" t="s">
        <v>15</v>
      </c>
      <c r="J2557" s="4">
        <v>1</v>
      </c>
    </row>
    <row r="2558" spans="1:10" x14ac:dyDescent="0.35">
      <c r="A2558" s="2" t="s">
        <v>2594</v>
      </c>
      <c r="B2558" s="4">
        <v>1</v>
      </c>
      <c r="C2558" t="s">
        <v>17</v>
      </c>
      <c r="D2558" t="s">
        <v>33</v>
      </c>
      <c r="E2558" t="s">
        <v>29</v>
      </c>
      <c r="F2558" t="s">
        <v>30</v>
      </c>
      <c r="G2558" s="4">
        <v>15</v>
      </c>
      <c r="H2558" s="1">
        <v>14573</v>
      </c>
      <c r="I2558" s="3" t="s">
        <v>21</v>
      </c>
      <c r="J2558" s="4">
        <v>5</v>
      </c>
    </row>
    <row r="2559" spans="1:10" x14ac:dyDescent="0.35">
      <c r="A2559" s="2" t="s">
        <v>2595</v>
      </c>
      <c r="B2559" s="4">
        <v>68</v>
      </c>
      <c r="C2559" t="s">
        <v>17</v>
      </c>
      <c r="D2559" t="s">
        <v>33</v>
      </c>
      <c r="E2559" t="s">
        <v>65</v>
      </c>
      <c r="F2559" t="s">
        <v>14</v>
      </c>
      <c r="G2559" s="4">
        <v>14</v>
      </c>
      <c r="H2559" s="1">
        <v>84081</v>
      </c>
      <c r="I2559" s="3" t="s">
        <v>21</v>
      </c>
      <c r="J2559" s="4">
        <v>3</v>
      </c>
    </row>
    <row r="2560" spans="1:10" x14ac:dyDescent="0.35">
      <c r="A2560" s="2" t="s">
        <v>2596</v>
      </c>
      <c r="B2560" s="4">
        <v>58</v>
      </c>
      <c r="C2560" t="s">
        <v>17</v>
      </c>
      <c r="D2560" t="s">
        <v>33</v>
      </c>
      <c r="E2560" t="s">
        <v>34</v>
      </c>
      <c r="F2560" t="s">
        <v>20</v>
      </c>
      <c r="G2560" s="4">
        <v>5</v>
      </c>
      <c r="H2560" s="1">
        <v>73706</v>
      </c>
      <c r="I2560" s="3" t="s">
        <v>21</v>
      </c>
      <c r="J2560" s="4">
        <v>4</v>
      </c>
    </row>
    <row r="2561" spans="1:10" x14ac:dyDescent="0.35">
      <c r="A2561" s="2" t="s">
        <v>2597</v>
      </c>
      <c r="B2561" s="4">
        <v>63</v>
      </c>
      <c r="C2561" t="s">
        <v>11</v>
      </c>
      <c r="D2561" t="s">
        <v>36</v>
      </c>
      <c r="E2561" t="s">
        <v>34</v>
      </c>
      <c r="F2561" t="s">
        <v>30</v>
      </c>
      <c r="G2561" s="4">
        <v>13</v>
      </c>
      <c r="H2561" s="1">
        <v>7545</v>
      </c>
      <c r="I2561" s="3" t="s">
        <v>15</v>
      </c>
      <c r="J2561" s="4">
        <v>4</v>
      </c>
    </row>
    <row r="2562" spans="1:10" x14ac:dyDescent="0.35">
      <c r="A2562" s="2" t="s">
        <v>2598</v>
      </c>
      <c r="B2562" s="4">
        <v>43</v>
      </c>
      <c r="C2562" t="s">
        <v>11</v>
      </c>
      <c r="D2562" t="s">
        <v>36</v>
      </c>
      <c r="E2562" t="s">
        <v>65</v>
      </c>
      <c r="F2562" t="s">
        <v>20</v>
      </c>
      <c r="G2562" s="4">
        <v>13</v>
      </c>
      <c r="H2562" s="1">
        <v>10452</v>
      </c>
      <c r="I2562" s="3" t="s">
        <v>21</v>
      </c>
      <c r="J2562" s="4">
        <v>1</v>
      </c>
    </row>
    <row r="2563" spans="1:10" x14ac:dyDescent="0.35">
      <c r="A2563" s="2" t="s">
        <v>2599</v>
      </c>
      <c r="B2563" s="4">
        <v>22</v>
      </c>
      <c r="C2563" t="s">
        <v>11</v>
      </c>
      <c r="D2563" t="s">
        <v>23</v>
      </c>
      <c r="E2563" t="s">
        <v>34</v>
      </c>
      <c r="F2563" t="s">
        <v>20</v>
      </c>
      <c r="G2563" s="4">
        <v>3</v>
      </c>
      <c r="H2563" s="1">
        <v>46392</v>
      </c>
      <c r="I2563" s="3" t="s">
        <v>21</v>
      </c>
      <c r="J2563" s="4">
        <v>5</v>
      </c>
    </row>
    <row r="2564" spans="1:10" x14ac:dyDescent="0.35">
      <c r="A2564" s="2" t="s">
        <v>2600</v>
      </c>
      <c r="B2564" s="4">
        <v>40</v>
      </c>
      <c r="C2564" t="s">
        <v>17</v>
      </c>
      <c r="D2564" t="s">
        <v>28</v>
      </c>
      <c r="E2564" t="s">
        <v>34</v>
      </c>
      <c r="F2564" t="s">
        <v>20</v>
      </c>
      <c r="G2564" s="4">
        <v>13</v>
      </c>
      <c r="H2564" s="1">
        <v>13735</v>
      </c>
      <c r="I2564" s="3" t="s">
        <v>15</v>
      </c>
      <c r="J2564" s="4">
        <v>3</v>
      </c>
    </row>
    <row r="2565" spans="1:10" x14ac:dyDescent="0.35">
      <c r="A2565" s="2" t="s">
        <v>2601</v>
      </c>
      <c r="B2565" s="4">
        <v>78</v>
      </c>
      <c r="C2565" t="s">
        <v>11</v>
      </c>
      <c r="D2565" t="s">
        <v>49</v>
      </c>
      <c r="E2565" t="s">
        <v>34</v>
      </c>
      <c r="F2565" t="s">
        <v>30</v>
      </c>
      <c r="G2565" s="4">
        <v>9</v>
      </c>
      <c r="H2565" s="1">
        <v>50984</v>
      </c>
      <c r="I2565" s="3" t="s">
        <v>21</v>
      </c>
      <c r="J2565" s="4">
        <v>3</v>
      </c>
    </row>
    <row r="2566" spans="1:10" x14ac:dyDescent="0.35">
      <c r="A2566" s="2" t="s">
        <v>2602</v>
      </c>
      <c r="B2566" s="4">
        <v>36</v>
      </c>
      <c r="C2566" t="s">
        <v>11</v>
      </c>
      <c r="D2566" t="s">
        <v>39</v>
      </c>
      <c r="E2566" t="s">
        <v>29</v>
      </c>
      <c r="F2566" t="s">
        <v>20</v>
      </c>
      <c r="G2566" s="4">
        <v>10</v>
      </c>
      <c r="H2566" s="1">
        <v>72479</v>
      </c>
      <c r="I2566" s="3" t="s">
        <v>15</v>
      </c>
      <c r="J2566" s="4">
        <v>1</v>
      </c>
    </row>
    <row r="2567" spans="1:10" x14ac:dyDescent="0.35">
      <c r="A2567" s="2" t="s">
        <v>2603</v>
      </c>
      <c r="B2567" s="4">
        <v>72</v>
      </c>
      <c r="C2567" t="s">
        <v>17</v>
      </c>
      <c r="D2567" t="s">
        <v>36</v>
      </c>
      <c r="E2567" t="s">
        <v>34</v>
      </c>
      <c r="F2567" t="s">
        <v>30</v>
      </c>
      <c r="G2567" s="4">
        <v>2</v>
      </c>
      <c r="H2567" s="1">
        <v>6659</v>
      </c>
      <c r="I2567" s="3" t="s">
        <v>21</v>
      </c>
      <c r="J2567" s="4">
        <v>4</v>
      </c>
    </row>
    <row r="2568" spans="1:10" x14ac:dyDescent="0.35">
      <c r="A2568" s="2" t="s">
        <v>2604</v>
      </c>
      <c r="B2568" s="4">
        <v>45</v>
      </c>
      <c r="C2568" t="s">
        <v>17</v>
      </c>
      <c r="D2568" t="s">
        <v>49</v>
      </c>
      <c r="E2568" t="s">
        <v>42</v>
      </c>
      <c r="F2568" t="s">
        <v>20</v>
      </c>
      <c r="G2568" s="4">
        <v>15</v>
      </c>
      <c r="H2568" s="1">
        <v>91752</v>
      </c>
      <c r="I2568" s="3" t="s">
        <v>15</v>
      </c>
      <c r="J2568" s="4">
        <v>2</v>
      </c>
    </row>
    <row r="2569" spans="1:10" x14ac:dyDescent="0.35">
      <c r="A2569" s="2" t="s">
        <v>2605</v>
      </c>
      <c r="B2569" s="4">
        <v>16</v>
      </c>
      <c r="C2569" t="s">
        <v>17</v>
      </c>
      <c r="D2569" t="s">
        <v>36</v>
      </c>
      <c r="E2569" t="s">
        <v>37</v>
      </c>
      <c r="F2569" t="s">
        <v>30</v>
      </c>
      <c r="G2569" s="4">
        <v>11</v>
      </c>
      <c r="H2569" s="1">
        <v>60081</v>
      </c>
      <c r="I2569" s="3" t="s">
        <v>15</v>
      </c>
      <c r="J2569" s="4">
        <v>5</v>
      </c>
    </row>
    <row r="2570" spans="1:10" x14ac:dyDescent="0.35">
      <c r="A2570" s="2" t="s">
        <v>2606</v>
      </c>
      <c r="B2570" s="4">
        <v>43</v>
      </c>
      <c r="C2570" t="s">
        <v>11</v>
      </c>
      <c r="D2570" t="s">
        <v>33</v>
      </c>
      <c r="E2570" t="s">
        <v>19</v>
      </c>
      <c r="F2570" t="s">
        <v>14</v>
      </c>
      <c r="G2570" s="4">
        <v>13</v>
      </c>
      <c r="H2570" s="1">
        <v>36518</v>
      </c>
      <c r="I2570" s="3" t="s">
        <v>15</v>
      </c>
      <c r="J2570" s="4">
        <v>1</v>
      </c>
    </row>
    <row r="2571" spans="1:10" x14ac:dyDescent="0.35">
      <c r="A2571" s="2" t="s">
        <v>2607</v>
      </c>
      <c r="B2571" s="4">
        <v>64</v>
      </c>
      <c r="C2571" t="s">
        <v>11</v>
      </c>
      <c r="D2571" t="s">
        <v>18</v>
      </c>
      <c r="E2571" t="s">
        <v>65</v>
      </c>
      <c r="F2571" t="s">
        <v>14</v>
      </c>
      <c r="G2571" s="4">
        <v>14</v>
      </c>
      <c r="H2571" s="1">
        <v>53093</v>
      </c>
      <c r="I2571" s="3" t="s">
        <v>15</v>
      </c>
      <c r="J2571" s="4">
        <v>2</v>
      </c>
    </row>
    <row r="2572" spans="1:10" x14ac:dyDescent="0.35">
      <c r="A2572" s="2" t="s">
        <v>2608</v>
      </c>
      <c r="B2572" s="4">
        <v>64</v>
      </c>
      <c r="C2572" t="s">
        <v>17</v>
      </c>
      <c r="D2572" t="s">
        <v>23</v>
      </c>
      <c r="E2572" t="s">
        <v>24</v>
      </c>
      <c r="F2572" t="s">
        <v>20</v>
      </c>
      <c r="G2572" s="4">
        <v>15</v>
      </c>
      <c r="H2572" s="1">
        <v>77287</v>
      </c>
      <c r="I2572" s="3" t="s">
        <v>21</v>
      </c>
      <c r="J2572" s="4">
        <v>1</v>
      </c>
    </row>
    <row r="2573" spans="1:10" x14ac:dyDescent="0.35">
      <c r="A2573" s="2" t="s">
        <v>2609</v>
      </c>
      <c r="B2573" s="4">
        <v>2</v>
      </c>
      <c r="C2573" t="s">
        <v>17</v>
      </c>
      <c r="D2573" t="s">
        <v>28</v>
      </c>
      <c r="E2573" t="s">
        <v>53</v>
      </c>
      <c r="F2573" t="s">
        <v>14</v>
      </c>
      <c r="G2573" s="4">
        <v>10</v>
      </c>
      <c r="H2573" s="1">
        <v>85912</v>
      </c>
      <c r="I2573" s="3" t="s">
        <v>21</v>
      </c>
      <c r="J2573" s="4">
        <v>5</v>
      </c>
    </row>
    <row r="2574" spans="1:10" x14ac:dyDescent="0.35">
      <c r="A2574" s="2" t="s">
        <v>2610</v>
      </c>
      <c r="B2574" s="4">
        <v>81</v>
      </c>
      <c r="C2574" t="s">
        <v>17</v>
      </c>
      <c r="D2574" t="s">
        <v>36</v>
      </c>
      <c r="E2574" t="s">
        <v>42</v>
      </c>
      <c r="F2574" t="s">
        <v>14</v>
      </c>
      <c r="G2574" s="4">
        <v>8</v>
      </c>
      <c r="H2574" s="1">
        <v>24282</v>
      </c>
      <c r="I2574" s="3" t="s">
        <v>15</v>
      </c>
      <c r="J2574" s="4">
        <v>2</v>
      </c>
    </row>
    <row r="2575" spans="1:10" x14ac:dyDescent="0.35">
      <c r="A2575" s="2" t="s">
        <v>2611</v>
      </c>
      <c r="B2575" s="4">
        <v>72</v>
      </c>
      <c r="C2575" t="s">
        <v>17</v>
      </c>
      <c r="D2575" t="s">
        <v>39</v>
      </c>
      <c r="E2575" t="s">
        <v>13</v>
      </c>
      <c r="F2575" t="s">
        <v>20</v>
      </c>
      <c r="G2575" s="4">
        <v>4</v>
      </c>
      <c r="H2575" s="1">
        <v>88979</v>
      </c>
      <c r="I2575" s="3" t="s">
        <v>15</v>
      </c>
      <c r="J2575" s="4">
        <v>5</v>
      </c>
    </row>
    <row r="2576" spans="1:10" x14ac:dyDescent="0.35">
      <c r="A2576" s="2" t="s">
        <v>2612</v>
      </c>
      <c r="B2576" s="4">
        <v>18</v>
      </c>
      <c r="C2576" t="s">
        <v>17</v>
      </c>
      <c r="D2576" t="s">
        <v>41</v>
      </c>
      <c r="E2576" t="s">
        <v>27</v>
      </c>
      <c r="F2576" t="s">
        <v>20</v>
      </c>
      <c r="G2576" s="4">
        <v>10</v>
      </c>
      <c r="H2576" s="1">
        <v>39424</v>
      </c>
      <c r="I2576" s="3" t="s">
        <v>15</v>
      </c>
      <c r="J2576" s="4">
        <v>2</v>
      </c>
    </row>
    <row r="2577" spans="1:10" x14ac:dyDescent="0.35">
      <c r="A2577" s="2" t="s">
        <v>2613</v>
      </c>
      <c r="B2577" s="4">
        <v>51</v>
      </c>
      <c r="C2577" t="s">
        <v>17</v>
      </c>
      <c r="D2577" t="s">
        <v>39</v>
      </c>
      <c r="E2577" t="s">
        <v>13</v>
      </c>
      <c r="F2577" t="s">
        <v>30</v>
      </c>
      <c r="G2577" s="4">
        <v>3</v>
      </c>
      <c r="H2577" s="1">
        <v>62839</v>
      </c>
      <c r="I2577" s="3" t="s">
        <v>21</v>
      </c>
      <c r="J2577" s="4">
        <v>5</v>
      </c>
    </row>
    <row r="2578" spans="1:10" x14ac:dyDescent="0.35">
      <c r="A2578" s="2" t="s">
        <v>2614</v>
      </c>
      <c r="B2578" s="4">
        <v>19</v>
      </c>
      <c r="C2578" t="s">
        <v>11</v>
      </c>
      <c r="D2578" t="s">
        <v>26</v>
      </c>
      <c r="E2578" t="s">
        <v>53</v>
      </c>
      <c r="F2578" t="s">
        <v>30</v>
      </c>
      <c r="G2578" s="4">
        <v>5</v>
      </c>
      <c r="H2578" s="1">
        <v>46681</v>
      </c>
      <c r="I2578" s="3" t="s">
        <v>21</v>
      </c>
      <c r="J2578" s="4">
        <v>4</v>
      </c>
    </row>
    <row r="2579" spans="1:10" x14ac:dyDescent="0.35">
      <c r="A2579" s="2" t="s">
        <v>2615</v>
      </c>
      <c r="B2579" s="4">
        <v>29</v>
      </c>
      <c r="C2579" t="s">
        <v>11</v>
      </c>
      <c r="D2579" t="s">
        <v>39</v>
      </c>
      <c r="E2579" t="s">
        <v>53</v>
      </c>
      <c r="F2579" t="s">
        <v>14</v>
      </c>
      <c r="G2579" s="4">
        <v>4</v>
      </c>
      <c r="H2579" s="1">
        <v>77275</v>
      </c>
      <c r="I2579" s="3" t="s">
        <v>21</v>
      </c>
      <c r="J2579" s="4">
        <v>1</v>
      </c>
    </row>
    <row r="2580" spans="1:10" x14ac:dyDescent="0.35">
      <c r="A2580" s="2" t="s">
        <v>2616</v>
      </c>
      <c r="B2580" s="4">
        <v>36</v>
      </c>
      <c r="C2580" t="s">
        <v>17</v>
      </c>
      <c r="D2580" t="s">
        <v>23</v>
      </c>
      <c r="E2580" t="s">
        <v>19</v>
      </c>
      <c r="F2580" t="s">
        <v>14</v>
      </c>
      <c r="G2580" s="4">
        <v>1</v>
      </c>
      <c r="H2580" s="1">
        <v>64707</v>
      </c>
      <c r="I2580" s="3" t="s">
        <v>21</v>
      </c>
      <c r="J2580" s="4">
        <v>5</v>
      </c>
    </row>
    <row r="2581" spans="1:10" x14ac:dyDescent="0.35">
      <c r="A2581" s="2" t="s">
        <v>2617</v>
      </c>
      <c r="B2581" s="4">
        <v>85</v>
      </c>
      <c r="C2581" t="s">
        <v>11</v>
      </c>
      <c r="D2581" t="s">
        <v>26</v>
      </c>
      <c r="E2581" t="s">
        <v>53</v>
      </c>
      <c r="F2581" t="s">
        <v>20</v>
      </c>
      <c r="G2581" s="4">
        <v>1</v>
      </c>
      <c r="H2581" s="1">
        <v>7158</v>
      </c>
      <c r="I2581" s="3" t="s">
        <v>15</v>
      </c>
      <c r="J2581" s="4">
        <v>1</v>
      </c>
    </row>
    <row r="2582" spans="1:10" x14ac:dyDescent="0.35">
      <c r="A2582" s="2" t="s">
        <v>2618</v>
      </c>
      <c r="B2582" s="4">
        <v>87</v>
      </c>
      <c r="C2582" t="s">
        <v>11</v>
      </c>
      <c r="D2582" t="s">
        <v>23</v>
      </c>
      <c r="E2582" t="s">
        <v>42</v>
      </c>
      <c r="F2582" t="s">
        <v>30</v>
      </c>
      <c r="G2582" s="4">
        <v>10</v>
      </c>
      <c r="H2582" s="1">
        <v>70135</v>
      </c>
      <c r="I2582" s="3" t="s">
        <v>15</v>
      </c>
      <c r="J2582" s="4">
        <v>2</v>
      </c>
    </row>
    <row r="2583" spans="1:10" x14ac:dyDescent="0.35">
      <c r="A2583" s="2" t="s">
        <v>2619</v>
      </c>
      <c r="B2583" s="4">
        <v>37</v>
      </c>
      <c r="C2583" t="s">
        <v>11</v>
      </c>
      <c r="D2583" t="s">
        <v>12</v>
      </c>
      <c r="E2583" t="s">
        <v>42</v>
      </c>
      <c r="F2583" t="s">
        <v>30</v>
      </c>
      <c r="G2583" s="4">
        <v>12</v>
      </c>
      <c r="H2583" s="1">
        <v>95180</v>
      </c>
      <c r="I2583" s="3" t="s">
        <v>21</v>
      </c>
      <c r="J2583" s="4">
        <v>4</v>
      </c>
    </row>
    <row r="2584" spans="1:10" x14ac:dyDescent="0.35">
      <c r="A2584" s="2" t="s">
        <v>2620</v>
      </c>
      <c r="B2584" s="4">
        <v>60</v>
      </c>
      <c r="C2584" t="s">
        <v>11</v>
      </c>
      <c r="D2584" t="s">
        <v>41</v>
      </c>
      <c r="E2584" t="s">
        <v>13</v>
      </c>
      <c r="F2584" t="s">
        <v>20</v>
      </c>
      <c r="G2584" s="4">
        <v>5</v>
      </c>
      <c r="H2584" s="1">
        <v>82167</v>
      </c>
      <c r="I2584" s="3" t="s">
        <v>21</v>
      </c>
      <c r="J2584" s="4">
        <v>2</v>
      </c>
    </row>
    <row r="2585" spans="1:10" x14ac:dyDescent="0.35">
      <c r="A2585" s="2" t="s">
        <v>2621</v>
      </c>
      <c r="B2585" s="4">
        <v>36</v>
      </c>
      <c r="C2585" t="s">
        <v>17</v>
      </c>
      <c r="D2585" t="s">
        <v>39</v>
      </c>
      <c r="E2585" t="s">
        <v>34</v>
      </c>
      <c r="F2585" t="s">
        <v>14</v>
      </c>
      <c r="G2585" s="4">
        <v>9</v>
      </c>
      <c r="H2585" s="1">
        <v>30933</v>
      </c>
      <c r="I2585" s="3" t="s">
        <v>21</v>
      </c>
      <c r="J2585" s="4">
        <v>1</v>
      </c>
    </row>
    <row r="2586" spans="1:10" x14ac:dyDescent="0.35">
      <c r="A2586" s="2" t="s">
        <v>2622</v>
      </c>
      <c r="B2586" s="4">
        <v>19</v>
      </c>
      <c r="C2586" t="s">
        <v>17</v>
      </c>
      <c r="D2586" t="s">
        <v>33</v>
      </c>
      <c r="E2586" t="s">
        <v>65</v>
      </c>
      <c r="F2586" t="s">
        <v>20</v>
      </c>
      <c r="G2586" s="4">
        <v>14</v>
      </c>
      <c r="H2586" s="1">
        <v>94078</v>
      </c>
      <c r="I2586" s="3" t="s">
        <v>21</v>
      </c>
      <c r="J2586" s="4">
        <v>3</v>
      </c>
    </row>
    <row r="2587" spans="1:10" x14ac:dyDescent="0.35">
      <c r="A2587" s="2" t="s">
        <v>2623</v>
      </c>
      <c r="B2587" s="4">
        <v>57</v>
      </c>
      <c r="C2587" t="s">
        <v>11</v>
      </c>
      <c r="D2587" t="s">
        <v>26</v>
      </c>
      <c r="E2587" t="s">
        <v>42</v>
      </c>
      <c r="F2587" t="s">
        <v>20</v>
      </c>
      <c r="G2587" s="4">
        <v>11</v>
      </c>
      <c r="H2587" s="1">
        <v>46844</v>
      </c>
      <c r="I2587" s="3" t="s">
        <v>15</v>
      </c>
      <c r="J2587" s="4">
        <v>2</v>
      </c>
    </row>
    <row r="2588" spans="1:10" x14ac:dyDescent="0.35">
      <c r="A2588" s="2" t="s">
        <v>2624</v>
      </c>
      <c r="B2588" s="4">
        <v>41</v>
      </c>
      <c r="C2588" t="s">
        <v>17</v>
      </c>
      <c r="D2588" t="s">
        <v>33</v>
      </c>
      <c r="E2588" t="s">
        <v>19</v>
      </c>
      <c r="F2588" t="s">
        <v>20</v>
      </c>
      <c r="G2588" s="4">
        <v>15</v>
      </c>
      <c r="H2588" s="1">
        <v>11640</v>
      </c>
      <c r="I2588" s="3" t="s">
        <v>21</v>
      </c>
      <c r="J2588" s="4">
        <v>4</v>
      </c>
    </row>
    <row r="2589" spans="1:10" x14ac:dyDescent="0.35">
      <c r="A2589" s="2" t="s">
        <v>2625</v>
      </c>
      <c r="B2589" s="4">
        <v>47</v>
      </c>
      <c r="C2589" t="s">
        <v>17</v>
      </c>
      <c r="D2589" t="s">
        <v>39</v>
      </c>
      <c r="E2589" t="s">
        <v>13</v>
      </c>
      <c r="F2589" t="s">
        <v>14</v>
      </c>
      <c r="G2589" s="4">
        <v>14</v>
      </c>
      <c r="H2589" s="1">
        <v>30778</v>
      </c>
      <c r="I2589" s="3" t="s">
        <v>21</v>
      </c>
      <c r="J2589" s="4">
        <v>3</v>
      </c>
    </row>
    <row r="2590" spans="1:10" x14ac:dyDescent="0.35">
      <c r="A2590" s="2" t="s">
        <v>2626</v>
      </c>
      <c r="B2590" s="4">
        <v>69</v>
      </c>
      <c r="C2590" t="s">
        <v>11</v>
      </c>
      <c r="D2590" t="s">
        <v>23</v>
      </c>
      <c r="E2590" t="s">
        <v>13</v>
      </c>
      <c r="F2590" t="s">
        <v>14</v>
      </c>
      <c r="G2590" s="4">
        <v>1</v>
      </c>
      <c r="H2590" s="1">
        <v>65471</v>
      </c>
      <c r="I2590" s="3" t="s">
        <v>15</v>
      </c>
      <c r="J2590" s="4">
        <v>3</v>
      </c>
    </row>
    <row r="2591" spans="1:10" x14ac:dyDescent="0.35">
      <c r="A2591" s="2" t="s">
        <v>2627</v>
      </c>
      <c r="B2591" s="4">
        <v>68</v>
      </c>
      <c r="C2591" t="s">
        <v>17</v>
      </c>
      <c r="D2591" t="s">
        <v>12</v>
      </c>
      <c r="E2591" t="s">
        <v>34</v>
      </c>
      <c r="F2591" t="s">
        <v>14</v>
      </c>
      <c r="G2591" s="4">
        <v>5</v>
      </c>
      <c r="H2591" s="1">
        <v>93032</v>
      </c>
      <c r="I2591" s="3" t="s">
        <v>15</v>
      </c>
      <c r="J2591" s="4">
        <v>5</v>
      </c>
    </row>
    <row r="2592" spans="1:10" x14ac:dyDescent="0.35">
      <c r="A2592" s="2" t="s">
        <v>2628</v>
      </c>
      <c r="B2592" s="4">
        <v>42</v>
      </c>
      <c r="C2592" t="s">
        <v>11</v>
      </c>
      <c r="D2592" t="s">
        <v>41</v>
      </c>
      <c r="E2592" t="s">
        <v>27</v>
      </c>
      <c r="F2592" t="s">
        <v>14</v>
      </c>
      <c r="G2592" s="4">
        <v>14</v>
      </c>
      <c r="H2592" s="1">
        <v>11070</v>
      </c>
      <c r="I2592" s="3" t="s">
        <v>15</v>
      </c>
      <c r="J2592" s="4">
        <v>3</v>
      </c>
    </row>
    <row r="2593" spans="1:10" x14ac:dyDescent="0.35">
      <c r="A2593" s="2" t="s">
        <v>2629</v>
      </c>
      <c r="B2593" s="4">
        <v>86</v>
      </c>
      <c r="C2593" t="s">
        <v>17</v>
      </c>
      <c r="D2593" t="s">
        <v>26</v>
      </c>
      <c r="E2593" t="s">
        <v>65</v>
      </c>
      <c r="F2593" t="s">
        <v>14</v>
      </c>
      <c r="G2593" s="4">
        <v>6</v>
      </c>
      <c r="H2593" s="1">
        <v>92154</v>
      </c>
      <c r="I2593" s="3" t="s">
        <v>15</v>
      </c>
      <c r="J2593" s="4">
        <v>5</v>
      </c>
    </row>
    <row r="2594" spans="1:10" x14ac:dyDescent="0.35">
      <c r="A2594" s="2" t="s">
        <v>2630</v>
      </c>
      <c r="B2594" s="4">
        <v>59</v>
      </c>
      <c r="C2594" t="s">
        <v>11</v>
      </c>
      <c r="D2594" t="s">
        <v>41</v>
      </c>
      <c r="E2594" t="s">
        <v>37</v>
      </c>
      <c r="F2594" t="s">
        <v>14</v>
      </c>
      <c r="G2594" s="4">
        <v>13</v>
      </c>
      <c r="H2594" s="1">
        <v>7183</v>
      </c>
      <c r="I2594" s="3" t="s">
        <v>21</v>
      </c>
      <c r="J2594" s="4">
        <v>4</v>
      </c>
    </row>
    <row r="2595" spans="1:10" x14ac:dyDescent="0.35">
      <c r="A2595" s="2" t="s">
        <v>2631</v>
      </c>
      <c r="B2595" s="4">
        <v>54</v>
      </c>
      <c r="C2595" t="s">
        <v>11</v>
      </c>
      <c r="D2595" t="s">
        <v>26</v>
      </c>
      <c r="E2595" t="s">
        <v>42</v>
      </c>
      <c r="F2595" t="s">
        <v>30</v>
      </c>
      <c r="G2595" s="4">
        <v>7</v>
      </c>
      <c r="H2595" s="1">
        <v>74208</v>
      </c>
      <c r="I2595" s="3" t="s">
        <v>15</v>
      </c>
      <c r="J2595" s="4">
        <v>2</v>
      </c>
    </row>
    <row r="2596" spans="1:10" x14ac:dyDescent="0.35">
      <c r="A2596" s="2" t="s">
        <v>2632</v>
      </c>
      <c r="B2596" s="4">
        <v>42</v>
      </c>
      <c r="C2596" t="s">
        <v>17</v>
      </c>
      <c r="D2596" t="s">
        <v>28</v>
      </c>
      <c r="E2596" t="s">
        <v>65</v>
      </c>
      <c r="F2596" t="s">
        <v>30</v>
      </c>
      <c r="G2596" s="4">
        <v>5</v>
      </c>
      <c r="H2596" s="1">
        <v>73401</v>
      </c>
      <c r="I2596" s="3" t="s">
        <v>15</v>
      </c>
      <c r="J2596" s="4">
        <v>1</v>
      </c>
    </row>
    <row r="2597" spans="1:10" x14ac:dyDescent="0.35">
      <c r="A2597" s="2" t="s">
        <v>2633</v>
      </c>
      <c r="B2597" s="4">
        <v>47</v>
      </c>
      <c r="C2597" t="s">
        <v>11</v>
      </c>
      <c r="D2597" t="s">
        <v>41</v>
      </c>
      <c r="E2597" t="s">
        <v>29</v>
      </c>
      <c r="F2597" t="s">
        <v>20</v>
      </c>
      <c r="G2597" s="4">
        <v>3</v>
      </c>
      <c r="H2597" s="1">
        <v>13968</v>
      </c>
      <c r="I2597" s="3" t="s">
        <v>15</v>
      </c>
      <c r="J2597" s="4">
        <v>5</v>
      </c>
    </row>
    <row r="2598" spans="1:10" x14ac:dyDescent="0.35">
      <c r="A2598" s="2" t="s">
        <v>2634</v>
      </c>
      <c r="B2598" s="4">
        <v>39</v>
      </c>
      <c r="C2598" t="s">
        <v>17</v>
      </c>
      <c r="D2598" t="s">
        <v>41</v>
      </c>
      <c r="E2598" t="s">
        <v>65</v>
      </c>
      <c r="F2598" t="s">
        <v>14</v>
      </c>
      <c r="G2598" s="4">
        <v>12</v>
      </c>
      <c r="H2598" s="1">
        <v>71146</v>
      </c>
      <c r="I2598" s="3" t="s">
        <v>21</v>
      </c>
      <c r="J2598" s="4">
        <v>1</v>
      </c>
    </row>
    <row r="2599" spans="1:10" x14ac:dyDescent="0.35">
      <c r="A2599" s="2" t="s">
        <v>2635</v>
      </c>
      <c r="B2599" s="4">
        <v>82</v>
      </c>
      <c r="C2599" t="s">
        <v>11</v>
      </c>
      <c r="D2599" t="s">
        <v>33</v>
      </c>
      <c r="E2599" t="s">
        <v>19</v>
      </c>
      <c r="F2599" t="s">
        <v>30</v>
      </c>
      <c r="G2599" s="4">
        <v>14</v>
      </c>
      <c r="H2599" s="1">
        <v>13089</v>
      </c>
      <c r="I2599" s="3" t="s">
        <v>15</v>
      </c>
      <c r="J2599" s="4">
        <v>5</v>
      </c>
    </row>
    <row r="2600" spans="1:10" x14ac:dyDescent="0.35">
      <c r="A2600" s="2" t="s">
        <v>2636</v>
      </c>
      <c r="B2600" s="4">
        <v>46</v>
      </c>
      <c r="C2600" t="s">
        <v>11</v>
      </c>
      <c r="D2600" t="s">
        <v>12</v>
      </c>
      <c r="E2600" t="s">
        <v>42</v>
      </c>
      <c r="F2600" t="s">
        <v>20</v>
      </c>
      <c r="G2600" s="4">
        <v>13</v>
      </c>
      <c r="H2600" s="1">
        <v>71301</v>
      </c>
      <c r="I2600" s="3" t="s">
        <v>15</v>
      </c>
      <c r="J2600" s="4">
        <v>2</v>
      </c>
    </row>
    <row r="2601" spans="1:10" x14ac:dyDescent="0.35">
      <c r="A2601" s="2" t="s">
        <v>2637</v>
      </c>
      <c r="B2601" s="4">
        <v>54</v>
      </c>
      <c r="C2601" t="s">
        <v>17</v>
      </c>
      <c r="D2601" t="s">
        <v>41</v>
      </c>
      <c r="E2601" t="s">
        <v>19</v>
      </c>
      <c r="F2601" t="s">
        <v>30</v>
      </c>
      <c r="G2601" s="4">
        <v>15</v>
      </c>
      <c r="H2601" s="1">
        <v>64016</v>
      </c>
      <c r="I2601" s="3" t="s">
        <v>15</v>
      </c>
      <c r="J2601" s="4">
        <v>4</v>
      </c>
    </row>
    <row r="2602" spans="1:10" x14ac:dyDescent="0.35">
      <c r="A2602" s="2" t="s">
        <v>2638</v>
      </c>
      <c r="B2602" s="4">
        <v>73</v>
      </c>
      <c r="C2602" t="s">
        <v>11</v>
      </c>
      <c r="D2602" t="s">
        <v>28</v>
      </c>
      <c r="E2602" t="s">
        <v>24</v>
      </c>
      <c r="F2602" t="s">
        <v>30</v>
      </c>
      <c r="G2602" s="4">
        <v>7</v>
      </c>
      <c r="H2602" s="1">
        <v>89382</v>
      </c>
      <c r="I2602" s="3" t="s">
        <v>15</v>
      </c>
      <c r="J2602" s="4">
        <v>1</v>
      </c>
    </row>
    <row r="2603" spans="1:10" x14ac:dyDescent="0.35">
      <c r="A2603" s="2" t="s">
        <v>2639</v>
      </c>
      <c r="B2603" s="4">
        <v>26</v>
      </c>
      <c r="C2603" t="s">
        <v>17</v>
      </c>
      <c r="D2603" t="s">
        <v>18</v>
      </c>
      <c r="E2603" t="s">
        <v>13</v>
      </c>
      <c r="F2603" t="s">
        <v>30</v>
      </c>
      <c r="G2603" s="4">
        <v>14</v>
      </c>
      <c r="H2603" s="1">
        <v>97235</v>
      </c>
      <c r="I2603" s="3" t="s">
        <v>15</v>
      </c>
      <c r="J2603" s="4">
        <v>1</v>
      </c>
    </row>
    <row r="2604" spans="1:10" x14ac:dyDescent="0.35">
      <c r="A2604" s="2" t="s">
        <v>2640</v>
      </c>
      <c r="B2604" s="4">
        <v>70</v>
      </c>
      <c r="C2604" t="s">
        <v>17</v>
      </c>
      <c r="D2604" t="s">
        <v>41</v>
      </c>
      <c r="E2604" t="s">
        <v>19</v>
      </c>
      <c r="F2604" t="s">
        <v>14</v>
      </c>
      <c r="G2604" s="4">
        <v>6</v>
      </c>
      <c r="H2604" s="1">
        <v>25273</v>
      </c>
      <c r="I2604" s="3" t="s">
        <v>15</v>
      </c>
      <c r="J2604" s="4">
        <v>1</v>
      </c>
    </row>
    <row r="2605" spans="1:10" x14ac:dyDescent="0.35">
      <c r="A2605" s="2" t="s">
        <v>2641</v>
      </c>
      <c r="B2605" s="4">
        <v>71</v>
      </c>
      <c r="C2605" t="s">
        <v>11</v>
      </c>
      <c r="D2605" t="s">
        <v>49</v>
      </c>
      <c r="E2605" t="s">
        <v>65</v>
      </c>
      <c r="F2605" t="s">
        <v>30</v>
      </c>
      <c r="G2605" s="4">
        <v>3</v>
      </c>
      <c r="H2605" s="1">
        <v>28993</v>
      </c>
      <c r="I2605" s="3" t="s">
        <v>21</v>
      </c>
      <c r="J2605" s="4">
        <v>2</v>
      </c>
    </row>
    <row r="2606" spans="1:10" x14ac:dyDescent="0.35">
      <c r="A2606" s="2" t="s">
        <v>2642</v>
      </c>
      <c r="B2606" s="4">
        <v>1</v>
      </c>
      <c r="C2606" t="s">
        <v>17</v>
      </c>
      <c r="D2606" t="s">
        <v>18</v>
      </c>
      <c r="E2606" t="s">
        <v>19</v>
      </c>
      <c r="F2606" t="s">
        <v>14</v>
      </c>
      <c r="G2606" s="4">
        <v>13</v>
      </c>
      <c r="H2606" s="1">
        <v>56614</v>
      </c>
      <c r="I2606" s="3" t="s">
        <v>21</v>
      </c>
      <c r="J2606" s="4">
        <v>4</v>
      </c>
    </row>
    <row r="2607" spans="1:10" x14ac:dyDescent="0.35">
      <c r="A2607" s="2" t="s">
        <v>2643</v>
      </c>
      <c r="B2607" s="4">
        <v>82</v>
      </c>
      <c r="C2607" t="s">
        <v>11</v>
      </c>
      <c r="D2607" t="s">
        <v>39</v>
      </c>
      <c r="E2607" t="s">
        <v>13</v>
      </c>
      <c r="F2607" t="s">
        <v>30</v>
      </c>
      <c r="G2607" s="4">
        <v>11</v>
      </c>
      <c r="H2607" s="1">
        <v>59925</v>
      </c>
      <c r="I2607" s="3" t="s">
        <v>21</v>
      </c>
      <c r="J2607" s="4">
        <v>1</v>
      </c>
    </row>
    <row r="2608" spans="1:10" x14ac:dyDescent="0.35">
      <c r="A2608" s="2" t="s">
        <v>2644</v>
      </c>
      <c r="B2608" s="4">
        <v>51</v>
      </c>
      <c r="C2608" t="s">
        <v>17</v>
      </c>
      <c r="D2608" t="s">
        <v>28</v>
      </c>
      <c r="E2608" t="s">
        <v>27</v>
      </c>
      <c r="F2608" t="s">
        <v>30</v>
      </c>
      <c r="G2608" s="4">
        <v>15</v>
      </c>
      <c r="H2608" s="1">
        <v>76033</v>
      </c>
      <c r="I2608" s="3" t="s">
        <v>15</v>
      </c>
      <c r="J2608" s="4">
        <v>1</v>
      </c>
    </row>
    <row r="2609" spans="1:10" x14ac:dyDescent="0.35">
      <c r="A2609" s="2" t="s">
        <v>2645</v>
      </c>
      <c r="B2609" s="4">
        <v>66</v>
      </c>
      <c r="C2609" t="s">
        <v>17</v>
      </c>
      <c r="D2609" t="s">
        <v>49</v>
      </c>
      <c r="E2609" t="s">
        <v>53</v>
      </c>
      <c r="F2609" t="s">
        <v>30</v>
      </c>
      <c r="G2609" s="4">
        <v>3</v>
      </c>
      <c r="H2609" s="1">
        <v>85145</v>
      </c>
      <c r="I2609" s="3" t="s">
        <v>15</v>
      </c>
      <c r="J2609" s="4">
        <v>3</v>
      </c>
    </row>
    <row r="2610" spans="1:10" x14ac:dyDescent="0.35">
      <c r="A2610" s="2" t="s">
        <v>2646</v>
      </c>
      <c r="B2610" s="4">
        <v>84</v>
      </c>
      <c r="C2610" t="s">
        <v>11</v>
      </c>
      <c r="D2610" t="s">
        <v>33</v>
      </c>
      <c r="E2610" t="s">
        <v>42</v>
      </c>
      <c r="F2610" t="s">
        <v>14</v>
      </c>
      <c r="G2610" s="4">
        <v>4</v>
      </c>
      <c r="H2610" s="1">
        <v>47501</v>
      </c>
      <c r="I2610" s="3" t="s">
        <v>21</v>
      </c>
      <c r="J2610" s="4">
        <v>1</v>
      </c>
    </row>
    <row r="2611" spans="1:10" x14ac:dyDescent="0.35">
      <c r="A2611" s="2" t="s">
        <v>2647</v>
      </c>
      <c r="B2611" s="4">
        <v>68</v>
      </c>
      <c r="C2611" t="s">
        <v>11</v>
      </c>
      <c r="D2611" t="s">
        <v>28</v>
      </c>
      <c r="E2611" t="s">
        <v>19</v>
      </c>
      <c r="F2611" t="s">
        <v>30</v>
      </c>
      <c r="G2611" s="4">
        <v>14</v>
      </c>
      <c r="H2611" s="1">
        <v>53002</v>
      </c>
      <c r="I2611" s="3" t="s">
        <v>21</v>
      </c>
      <c r="J2611" s="4">
        <v>4</v>
      </c>
    </row>
    <row r="2612" spans="1:10" x14ac:dyDescent="0.35">
      <c r="A2612" s="2" t="s">
        <v>2648</v>
      </c>
      <c r="B2612" s="4">
        <v>13</v>
      </c>
      <c r="C2612" t="s">
        <v>11</v>
      </c>
      <c r="D2612" t="s">
        <v>49</v>
      </c>
      <c r="E2612" t="s">
        <v>27</v>
      </c>
      <c r="F2612" t="s">
        <v>14</v>
      </c>
      <c r="G2612" s="4">
        <v>10</v>
      </c>
      <c r="H2612" s="1">
        <v>12445</v>
      </c>
      <c r="I2612" s="3" t="s">
        <v>15</v>
      </c>
      <c r="J2612" s="4">
        <v>3</v>
      </c>
    </row>
    <row r="2613" spans="1:10" x14ac:dyDescent="0.35">
      <c r="A2613" s="2" t="s">
        <v>2649</v>
      </c>
      <c r="B2613" s="4">
        <v>60</v>
      </c>
      <c r="C2613" t="s">
        <v>11</v>
      </c>
      <c r="D2613" t="s">
        <v>12</v>
      </c>
      <c r="E2613" t="s">
        <v>27</v>
      </c>
      <c r="F2613" t="s">
        <v>30</v>
      </c>
      <c r="G2613" s="4">
        <v>2</v>
      </c>
      <c r="H2613" s="1">
        <v>20795</v>
      </c>
      <c r="I2613" s="3" t="s">
        <v>21</v>
      </c>
      <c r="J2613" s="4">
        <v>2</v>
      </c>
    </row>
    <row r="2614" spans="1:10" x14ac:dyDescent="0.35">
      <c r="A2614" s="2" t="s">
        <v>2650</v>
      </c>
      <c r="B2614" s="4">
        <v>17</v>
      </c>
      <c r="C2614" t="s">
        <v>11</v>
      </c>
      <c r="D2614" t="s">
        <v>28</v>
      </c>
      <c r="E2614" t="s">
        <v>13</v>
      </c>
      <c r="F2614" t="s">
        <v>20</v>
      </c>
      <c r="G2614" s="4">
        <v>12</v>
      </c>
      <c r="H2614" s="1">
        <v>29474</v>
      </c>
      <c r="I2614" s="3" t="s">
        <v>21</v>
      </c>
      <c r="J2614" s="4">
        <v>1</v>
      </c>
    </row>
    <row r="2615" spans="1:10" x14ac:dyDescent="0.35">
      <c r="A2615" s="2" t="s">
        <v>2651</v>
      </c>
      <c r="B2615" s="4">
        <v>8</v>
      </c>
      <c r="C2615" t="s">
        <v>11</v>
      </c>
      <c r="D2615" t="s">
        <v>26</v>
      </c>
      <c r="E2615" t="s">
        <v>37</v>
      </c>
      <c r="F2615" t="s">
        <v>20</v>
      </c>
      <c r="G2615" s="4">
        <v>9</v>
      </c>
      <c r="H2615" s="1">
        <v>95447</v>
      </c>
      <c r="I2615" s="3" t="s">
        <v>15</v>
      </c>
      <c r="J2615" s="4">
        <v>3</v>
      </c>
    </row>
    <row r="2616" spans="1:10" x14ac:dyDescent="0.35">
      <c r="A2616" s="2" t="s">
        <v>2652</v>
      </c>
      <c r="B2616" s="4">
        <v>43</v>
      </c>
      <c r="C2616" t="s">
        <v>17</v>
      </c>
      <c r="D2616" t="s">
        <v>49</v>
      </c>
      <c r="E2616" t="s">
        <v>37</v>
      </c>
      <c r="F2616" t="s">
        <v>14</v>
      </c>
      <c r="G2616" s="4">
        <v>3</v>
      </c>
      <c r="H2616" s="1">
        <v>45072</v>
      </c>
      <c r="I2616" s="3" t="s">
        <v>15</v>
      </c>
      <c r="J2616" s="4">
        <v>4</v>
      </c>
    </row>
    <row r="2617" spans="1:10" x14ac:dyDescent="0.35">
      <c r="A2617" s="2" t="s">
        <v>2653</v>
      </c>
      <c r="B2617" s="4">
        <v>16</v>
      </c>
      <c r="C2617" t="s">
        <v>17</v>
      </c>
      <c r="D2617" t="s">
        <v>39</v>
      </c>
      <c r="E2617" t="s">
        <v>42</v>
      </c>
      <c r="F2617" t="s">
        <v>20</v>
      </c>
      <c r="G2617" s="4">
        <v>9</v>
      </c>
      <c r="H2617" s="1">
        <v>83473</v>
      </c>
      <c r="I2617" s="3" t="s">
        <v>15</v>
      </c>
      <c r="J2617" s="4">
        <v>3</v>
      </c>
    </row>
    <row r="2618" spans="1:10" x14ac:dyDescent="0.35">
      <c r="A2618" s="2" t="s">
        <v>2654</v>
      </c>
      <c r="B2618" s="4">
        <v>65</v>
      </c>
      <c r="C2618" t="s">
        <v>17</v>
      </c>
      <c r="D2618" t="s">
        <v>26</v>
      </c>
      <c r="E2618" t="s">
        <v>65</v>
      </c>
      <c r="F2618" t="s">
        <v>30</v>
      </c>
      <c r="G2618" s="4">
        <v>6</v>
      </c>
      <c r="H2618" s="1">
        <v>71982</v>
      </c>
      <c r="I2618" s="3" t="s">
        <v>15</v>
      </c>
      <c r="J2618" s="4">
        <v>4</v>
      </c>
    </row>
    <row r="2619" spans="1:10" x14ac:dyDescent="0.35">
      <c r="A2619" s="2" t="s">
        <v>2655</v>
      </c>
      <c r="B2619" s="4">
        <v>61</v>
      </c>
      <c r="C2619" t="s">
        <v>17</v>
      </c>
      <c r="D2619" t="s">
        <v>23</v>
      </c>
      <c r="E2619" t="s">
        <v>29</v>
      </c>
      <c r="F2619" t="s">
        <v>30</v>
      </c>
      <c r="G2619" s="4">
        <v>4</v>
      </c>
      <c r="H2619" s="1">
        <v>92228</v>
      </c>
      <c r="I2619" s="3" t="s">
        <v>21</v>
      </c>
      <c r="J2619" s="4">
        <v>2</v>
      </c>
    </row>
    <row r="2620" spans="1:10" x14ac:dyDescent="0.35">
      <c r="A2620" s="2" t="s">
        <v>2656</v>
      </c>
      <c r="B2620" s="4">
        <v>35</v>
      </c>
      <c r="C2620" t="s">
        <v>11</v>
      </c>
      <c r="D2620" t="s">
        <v>28</v>
      </c>
      <c r="E2620" t="s">
        <v>13</v>
      </c>
      <c r="F2620" t="s">
        <v>20</v>
      </c>
      <c r="G2620" s="4">
        <v>13</v>
      </c>
      <c r="H2620" s="1">
        <v>56792</v>
      </c>
      <c r="I2620" s="3" t="s">
        <v>15</v>
      </c>
      <c r="J2620" s="4">
        <v>4</v>
      </c>
    </row>
    <row r="2621" spans="1:10" x14ac:dyDescent="0.35">
      <c r="A2621" s="2" t="s">
        <v>2657</v>
      </c>
      <c r="B2621" s="4">
        <v>81</v>
      </c>
      <c r="C2621" t="s">
        <v>17</v>
      </c>
      <c r="D2621" t="s">
        <v>12</v>
      </c>
      <c r="E2621" t="s">
        <v>34</v>
      </c>
      <c r="F2621" t="s">
        <v>20</v>
      </c>
      <c r="G2621" s="4">
        <v>10</v>
      </c>
      <c r="H2621" s="1">
        <v>57343</v>
      </c>
      <c r="I2621" s="3" t="s">
        <v>21</v>
      </c>
      <c r="J2621" s="4">
        <v>3</v>
      </c>
    </row>
    <row r="2622" spans="1:10" x14ac:dyDescent="0.35">
      <c r="A2622" s="2" t="s">
        <v>2658</v>
      </c>
      <c r="B2622" s="4">
        <v>27</v>
      </c>
      <c r="C2622" t="s">
        <v>17</v>
      </c>
      <c r="D2622" t="s">
        <v>33</v>
      </c>
      <c r="E2622" t="s">
        <v>65</v>
      </c>
      <c r="F2622" t="s">
        <v>30</v>
      </c>
      <c r="G2622" s="4">
        <v>3</v>
      </c>
      <c r="H2622" s="1">
        <v>66956</v>
      </c>
      <c r="I2622" s="3" t="s">
        <v>21</v>
      </c>
      <c r="J2622" s="4">
        <v>1</v>
      </c>
    </row>
    <row r="2623" spans="1:10" x14ac:dyDescent="0.35">
      <c r="A2623" s="2" t="s">
        <v>2659</v>
      </c>
      <c r="B2623" s="4">
        <v>54</v>
      </c>
      <c r="C2623" t="s">
        <v>11</v>
      </c>
      <c r="D2623" t="s">
        <v>23</v>
      </c>
      <c r="E2623" t="s">
        <v>34</v>
      </c>
      <c r="F2623" t="s">
        <v>14</v>
      </c>
      <c r="G2623" s="4">
        <v>6</v>
      </c>
      <c r="H2623" s="1">
        <v>81602</v>
      </c>
      <c r="I2623" s="3" t="s">
        <v>15</v>
      </c>
      <c r="J2623" s="4">
        <v>4</v>
      </c>
    </row>
    <row r="2624" spans="1:10" x14ac:dyDescent="0.35">
      <c r="A2624" s="2" t="s">
        <v>2660</v>
      </c>
      <c r="B2624" s="4">
        <v>74</v>
      </c>
      <c r="C2624" t="s">
        <v>17</v>
      </c>
      <c r="D2624" t="s">
        <v>36</v>
      </c>
      <c r="E2624" t="s">
        <v>34</v>
      </c>
      <c r="F2624" t="s">
        <v>14</v>
      </c>
      <c r="G2624" s="4">
        <v>2</v>
      </c>
      <c r="H2624" s="1">
        <v>27091</v>
      </c>
      <c r="I2624" s="3" t="s">
        <v>21</v>
      </c>
      <c r="J2624" s="4">
        <v>5</v>
      </c>
    </row>
    <row r="2625" spans="1:10" x14ac:dyDescent="0.35">
      <c r="A2625" s="2" t="s">
        <v>2661</v>
      </c>
      <c r="B2625" s="4">
        <v>28</v>
      </c>
      <c r="C2625" t="s">
        <v>11</v>
      </c>
      <c r="D2625" t="s">
        <v>39</v>
      </c>
      <c r="E2625" t="s">
        <v>37</v>
      </c>
      <c r="F2625" t="s">
        <v>14</v>
      </c>
      <c r="G2625" s="4">
        <v>5</v>
      </c>
      <c r="H2625" s="1">
        <v>11886</v>
      </c>
      <c r="I2625" s="3" t="s">
        <v>15</v>
      </c>
      <c r="J2625" s="4">
        <v>5</v>
      </c>
    </row>
    <row r="2626" spans="1:10" x14ac:dyDescent="0.35">
      <c r="A2626" s="2" t="s">
        <v>2662</v>
      </c>
      <c r="B2626" s="4">
        <v>82</v>
      </c>
      <c r="C2626" t="s">
        <v>17</v>
      </c>
      <c r="D2626" t="s">
        <v>49</v>
      </c>
      <c r="E2626" t="s">
        <v>27</v>
      </c>
      <c r="F2626" t="s">
        <v>20</v>
      </c>
      <c r="G2626" s="4">
        <v>7</v>
      </c>
      <c r="H2626" s="1">
        <v>31530</v>
      </c>
      <c r="I2626" s="3" t="s">
        <v>21</v>
      </c>
      <c r="J2626" s="4">
        <v>4</v>
      </c>
    </row>
    <row r="2627" spans="1:10" x14ac:dyDescent="0.35">
      <c r="A2627" s="2" t="s">
        <v>2663</v>
      </c>
      <c r="B2627" s="4">
        <v>47</v>
      </c>
      <c r="C2627" t="s">
        <v>11</v>
      </c>
      <c r="D2627" t="s">
        <v>12</v>
      </c>
      <c r="E2627" t="s">
        <v>65</v>
      </c>
      <c r="F2627" t="s">
        <v>20</v>
      </c>
      <c r="G2627" s="4">
        <v>1</v>
      </c>
      <c r="H2627" s="1">
        <v>14257</v>
      </c>
      <c r="I2627" s="3" t="s">
        <v>21</v>
      </c>
      <c r="J2627" s="4">
        <v>2</v>
      </c>
    </row>
    <row r="2628" spans="1:10" x14ac:dyDescent="0.35">
      <c r="A2628" s="2" t="s">
        <v>2664</v>
      </c>
      <c r="B2628" s="4">
        <v>13</v>
      </c>
      <c r="C2628" t="s">
        <v>17</v>
      </c>
      <c r="D2628" t="s">
        <v>33</v>
      </c>
      <c r="E2628" t="s">
        <v>65</v>
      </c>
      <c r="F2628" t="s">
        <v>30</v>
      </c>
      <c r="G2628" s="4">
        <v>6</v>
      </c>
      <c r="H2628" s="1">
        <v>57797</v>
      </c>
      <c r="I2628" s="3" t="s">
        <v>15</v>
      </c>
      <c r="J2628" s="4">
        <v>4</v>
      </c>
    </row>
    <row r="2629" spans="1:10" x14ac:dyDescent="0.35">
      <c r="A2629" s="2" t="s">
        <v>2665</v>
      </c>
      <c r="B2629" s="4">
        <v>12</v>
      </c>
      <c r="C2629" t="s">
        <v>17</v>
      </c>
      <c r="D2629" t="s">
        <v>36</v>
      </c>
      <c r="E2629" t="s">
        <v>53</v>
      </c>
      <c r="F2629" t="s">
        <v>20</v>
      </c>
      <c r="G2629" s="4">
        <v>7</v>
      </c>
      <c r="H2629" s="1">
        <v>79675</v>
      </c>
      <c r="I2629" s="3" t="s">
        <v>21</v>
      </c>
      <c r="J2629" s="4">
        <v>1</v>
      </c>
    </row>
    <row r="2630" spans="1:10" x14ac:dyDescent="0.35">
      <c r="A2630" s="2" t="s">
        <v>2666</v>
      </c>
      <c r="B2630" s="4">
        <v>14</v>
      </c>
      <c r="C2630" t="s">
        <v>11</v>
      </c>
      <c r="D2630" t="s">
        <v>36</v>
      </c>
      <c r="E2630" t="s">
        <v>42</v>
      </c>
      <c r="F2630" t="s">
        <v>14</v>
      </c>
      <c r="G2630" s="4">
        <v>8</v>
      </c>
      <c r="H2630" s="1">
        <v>53561</v>
      </c>
      <c r="I2630" s="3" t="s">
        <v>21</v>
      </c>
      <c r="J2630" s="4">
        <v>1</v>
      </c>
    </row>
    <row r="2631" spans="1:10" x14ac:dyDescent="0.35">
      <c r="A2631" s="2" t="s">
        <v>2667</v>
      </c>
      <c r="B2631" s="4">
        <v>47</v>
      </c>
      <c r="C2631" t="s">
        <v>17</v>
      </c>
      <c r="D2631" t="s">
        <v>26</v>
      </c>
      <c r="E2631" t="s">
        <v>65</v>
      </c>
      <c r="F2631" t="s">
        <v>20</v>
      </c>
      <c r="G2631" s="4">
        <v>6</v>
      </c>
      <c r="H2631" s="1">
        <v>30391</v>
      </c>
      <c r="I2631" s="3" t="s">
        <v>21</v>
      </c>
      <c r="J2631" s="4">
        <v>5</v>
      </c>
    </row>
    <row r="2632" spans="1:10" x14ac:dyDescent="0.35">
      <c r="A2632" s="2" t="s">
        <v>2668</v>
      </c>
      <c r="B2632" s="4">
        <v>9</v>
      </c>
      <c r="C2632" t="s">
        <v>17</v>
      </c>
      <c r="D2632" t="s">
        <v>39</v>
      </c>
      <c r="E2632" t="s">
        <v>13</v>
      </c>
      <c r="F2632" t="s">
        <v>20</v>
      </c>
      <c r="G2632" s="4">
        <v>4</v>
      </c>
      <c r="H2632" s="1">
        <v>24213</v>
      </c>
      <c r="I2632" s="3" t="s">
        <v>21</v>
      </c>
      <c r="J2632" s="4">
        <v>3</v>
      </c>
    </row>
    <row r="2633" spans="1:10" x14ac:dyDescent="0.35">
      <c r="A2633" s="2" t="s">
        <v>2669</v>
      </c>
      <c r="B2633" s="4">
        <v>52</v>
      </c>
      <c r="C2633" t="s">
        <v>17</v>
      </c>
      <c r="D2633" t="s">
        <v>36</v>
      </c>
      <c r="E2633" t="s">
        <v>29</v>
      </c>
      <c r="F2633" t="s">
        <v>14</v>
      </c>
      <c r="G2633" s="4">
        <v>1</v>
      </c>
      <c r="H2633" s="1">
        <v>12620</v>
      </c>
      <c r="I2633" s="3" t="s">
        <v>15</v>
      </c>
      <c r="J2633" s="4">
        <v>3</v>
      </c>
    </row>
    <row r="2634" spans="1:10" x14ac:dyDescent="0.35">
      <c r="A2634" s="2" t="s">
        <v>2670</v>
      </c>
      <c r="B2634" s="4">
        <v>73</v>
      </c>
      <c r="C2634" t="s">
        <v>11</v>
      </c>
      <c r="D2634" t="s">
        <v>36</v>
      </c>
      <c r="E2634" t="s">
        <v>27</v>
      </c>
      <c r="F2634" t="s">
        <v>14</v>
      </c>
      <c r="G2634" s="4">
        <v>4</v>
      </c>
      <c r="H2634" s="1">
        <v>39451</v>
      </c>
      <c r="I2634" s="3" t="s">
        <v>21</v>
      </c>
      <c r="J2634" s="4">
        <v>5</v>
      </c>
    </row>
    <row r="2635" spans="1:10" x14ac:dyDescent="0.35">
      <c r="A2635" s="2" t="s">
        <v>2671</v>
      </c>
      <c r="B2635" s="4">
        <v>22</v>
      </c>
      <c r="C2635" t="s">
        <v>11</v>
      </c>
      <c r="D2635" t="s">
        <v>36</v>
      </c>
      <c r="E2635" t="s">
        <v>53</v>
      </c>
      <c r="F2635" t="s">
        <v>14</v>
      </c>
      <c r="G2635" s="4">
        <v>13</v>
      </c>
      <c r="H2635" s="1">
        <v>25423</v>
      </c>
      <c r="I2635" s="3" t="s">
        <v>15</v>
      </c>
      <c r="J2635" s="4">
        <v>3</v>
      </c>
    </row>
    <row r="2636" spans="1:10" x14ac:dyDescent="0.35">
      <c r="A2636" s="2" t="s">
        <v>2672</v>
      </c>
      <c r="B2636" s="4">
        <v>47</v>
      </c>
      <c r="C2636" t="s">
        <v>17</v>
      </c>
      <c r="D2636" t="s">
        <v>41</v>
      </c>
      <c r="E2636" t="s">
        <v>13</v>
      </c>
      <c r="F2636" t="s">
        <v>30</v>
      </c>
      <c r="G2636" s="4">
        <v>5</v>
      </c>
      <c r="H2636" s="1">
        <v>45962</v>
      </c>
      <c r="I2636" s="3" t="s">
        <v>21</v>
      </c>
      <c r="J2636" s="4">
        <v>5</v>
      </c>
    </row>
    <row r="2637" spans="1:10" x14ac:dyDescent="0.35">
      <c r="A2637" s="2" t="s">
        <v>2673</v>
      </c>
      <c r="B2637" s="4">
        <v>87</v>
      </c>
      <c r="C2637" t="s">
        <v>11</v>
      </c>
      <c r="D2637" t="s">
        <v>49</v>
      </c>
      <c r="E2637" t="s">
        <v>53</v>
      </c>
      <c r="F2637" t="s">
        <v>14</v>
      </c>
      <c r="G2637" s="4">
        <v>14</v>
      </c>
      <c r="H2637" s="1">
        <v>6891</v>
      </c>
      <c r="I2637" s="3" t="s">
        <v>21</v>
      </c>
      <c r="J2637" s="4">
        <v>3</v>
      </c>
    </row>
    <row r="2638" spans="1:10" x14ac:dyDescent="0.35">
      <c r="A2638" s="2" t="s">
        <v>2674</v>
      </c>
      <c r="B2638" s="4">
        <v>61</v>
      </c>
      <c r="C2638" t="s">
        <v>11</v>
      </c>
      <c r="D2638" t="s">
        <v>26</v>
      </c>
      <c r="E2638" t="s">
        <v>34</v>
      </c>
      <c r="F2638" t="s">
        <v>20</v>
      </c>
      <c r="G2638" s="4">
        <v>9</v>
      </c>
      <c r="H2638" s="1">
        <v>43869</v>
      </c>
      <c r="I2638" s="3" t="s">
        <v>15</v>
      </c>
      <c r="J2638" s="4">
        <v>3</v>
      </c>
    </row>
    <row r="2639" spans="1:10" x14ac:dyDescent="0.35">
      <c r="A2639" s="2" t="s">
        <v>2675</v>
      </c>
      <c r="B2639" s="4">
        <v>37</v>
      </c>
      <c r="C2639" t="s">
        <v>17</v>
      </c>
      <c r="D2639" t="s">
        <v>18</v>
      </c>
      <c r="E2639" t="s">
        <v>53</v>
      </c>
      <c r="F2639" t="s">
        <v>20</v>
      </c>
      <c r="G2639" s="4">
        <v>11</v>
      </c>
      <c r="H2639" s="1">
        <v>84742</v>
      </c>
      <c r="I2639" s="3" t="s">
        <v>21</v>
      </c>
      <c r="J2639" s="4">
        <v>5</v>
      </c>
    </row>
    <row r="2640" spans="1:10" x14ac:dyDescent="0.35">
      <c r="A2640" s="2" t="s">
        <v>2676</v>
      </c>
      <c r="B2640" s="4">
        <v>9</v>
      </c>
      <c r="C2640" t="s">
        <v>11</v>
      </c>
      <c r="D2640" t="s">
        <v>23</v>
      </c>
      <c r="E2640" t="s">
        <v>19</v>
      </c>
      <c r="F2640" t="s">
        <v>20</v>
      </c>
      <c r="G2640" s="4">
        <v>7</v>
      </c>
      <c r="H2640" s="1">
        <v>43858</v>
      </c>
      <c r="I2640" s="3" t="s">
        <v>21</v>
      </c>
      <c r="J2640" s="4">
        <v>3</v>
      </c>
    </row>
    <row r="2641" spans="1:10" x14ac:dyDescent="0.35">
      <c r="A2641" s="2" t="s">
        <v>2677</v>
      </c>
      <c r="B2641" s="4">
        <v>67</v>
      </c>
      <c r="C2641" t="s">
        <v>11</v>
      </c>
      <c r="D2641" t="s">
        <v>36</v>
      </c>
      <c r="E2641" t="s">
        <v>53</v>
      </c>
      <c r="F2641" t="s">
        <v>30</v>
      </c>
      <c r="G2641" s="4">
        <v>10</v>
      </c>
      <c r="H2641" s="1">
        <v>18388</v>
      </c>
      <c r="I2641" s="3" t="s">
        <v>15</v>
      </c>
      <c r="J2641" s="4">
        <v>2</v>
      </c>
    </row>
    <row r="2642" spans="1:10" x14ac:dyDescent="0.35">
      <c r="A2642" s="2" t="s">
        <v>2678</v>
      </c>
      <c r="B2642" s="4">
        <v>35</v>
      </c>
      <c r="C2642" t="s">
        <v>17</v>
      </c>
      <c r="D2642" t="s">
        <v>39</v>
      </c>
      <c r="E2642" t="s">
        <v>42</v>
      </c>
      <c r="F2642" t="s">
        <v>30</v>
      </c>
      <c r="G2642" s="4">
        <v>7</v>
      </c>
      <c r="H2642" s="1">
        <v>85995</v>
      </c>
      <c r="I2642" s="3" t="s">
        <v>21</v>
      </c>
      <c r="J2642" s="4">
        <v>5</v>
      </c>
    </row>
    <row r="2643" spans="1:10" x14ac:dyDescent="0.35">
      <c r="A2643" s="2" t="s">
        <v>2679</v>
      </c>
      <c r="B2643" s="4">
        <v>79</v>
      </c>
      <c r="C2643" t="s">
        <v>17</v>
      </c>
      <c r="D2643" t="s">
        <v>23</v>
      </c>
      <c r="E2643" t="s">
        <v>27</v>
      </c>
      <c r="F2643" t="s">
        <v>14</v>
      </c>
      <c r="G2643" s="4">
        <v>13</v>
      </c>
      <c r="H2643" s="1">
        <v>53471</v>
      </c>
      <c r="I2643" s="3" t="s">
        <v>21</v>
      </c>
      <c r="J2643" s="4">
        <v>1</v>
      </c>
    </row>
    <row r="2644" spans="1:10" x14ac:dyDescent="0.35">
      <c r="A2644" s="2" t="s">
        <v>2680</v>
      </c>
      <c r="B2644" s="4">
        <v>83</v>
      </c>
      <c r="C2644" t="s">
        <v>11</v>
      </c>
      <c r="D2644" t="s">
        <v>28</v>
      </c>
      <c r="E2644" t="s">
        <v>29</v>
      </c>
      <c r="F2644" t="s">
        <v>30</v>
      </c>
      <c r="G2644" s="4">
        <v>14</v>
      </c>
      <c r="H2644" s="1">
        <v>42313</v>
      </c>
      <c r="I2644" s="3" t="s">
        <v>21</v>
      </c>
      <c r="J2644" s="4">
        <v>1</v>
      </c>
    </row>
    <row r="2645" spans="1:10" x14ac:dyDescent="0.35">
      <c r="A2645" s="2" t="s">
        <v>2681</v>
      </c>
      <c r="B2645" s="4">
        <v>82</v>
      </c>
      <c r="C2645" t="s">
        <v>11</v>
      </c>
      <c r="D2645" t="s">
        <v>18</v>
      </c>
      <c r="E2645" t="s">
        <v>24</v>
      </c>
      <c r="F2645" t="s">
        <v>14</v>
      </c>
      <c r="G2645" s="4">
        <v>14</v>
      </c>
      <c r="H2645" s="1">
        <v>28520</v>
      </c>
      <c r="I2645" s="3" t="s">
        <v>15</v>
      </c>
      <c r="J2645" s="4">
        <v>1</v>
      </c>
    </row>
    <row r="2646" spans="1:10" x14ac:dyDescent="0.35">
      <c r="A2646" s="2" t="s">
        <v>2682</v>
      </c>
      <c r="B2646" s="4">
        <v>32</v>
      </c>
      <c r="C2646" t="s">
        <v>17</v>
      </c>
      <c r="D2646" t="s">
        <v>33</v>
      </c>
      <c r="E2646" t="s">
        <v>34</v>
      </c>
      <c r="F2646" t="s">
        <v>20</v>
      </c>
      <c r="G2646" s="4">
        <v>6</v>
      </c>
      <c r="H2646" s="1">
        <v>42123</v>
      </c>
      <c r="I2646" s="3" t="s">
        <v>21</v>
      </c>
      <c r="J2646" s="4">
        <v>5</v>
      </c>
    </row>
    <row r="2647" spans="1:10" x14ac:dyDescent="0.35">
      <c r="A2647" s="2" t="s">
        <v>2683</v>
      </c>
      <c r="B2647" s="4">
        <v>75</v>
      </c>
      <c r="C2647" t="s">
        <v>11</v>
      </c>
      <c r="D2647" t="s">
        <v>23</v>
      </c>
      <c r="E2647" t="s">
        <v>34</v>
      </c>
      <c r="F2647" t="s">
        <v>14</v>
      </c>
      <c r="G2647" s="4">
        <v>3</v>
      </c>
      <c r="H2647" s="1">
        <v>11608</v>
      </c>
      <c r="I2647" s="3" t="s">
        <v>21</v>
      </c>
      <c r="J2647" s="4">
        <v>3</v>
      </c>
    </row>
    <row r="2648" spans="1:10" x14ac:dyDescent="0.35">
      <c r="A2648" s="2" t="s">
        <v>2684</v>
      </c>
      <c r="B2648" s="4">
        <v>47</v>
      </c>
      <c r="C2648" t="s">
        <v>11</v>
      </c>
      <c r="D2648" t="s">
        <v>36</v>
      </c>
      <c r="E2648" t="s">
        <v>34</v>
      </c>
      <c r="F2648" t="s">
        <v>30</v>
      </c>
      <c r="G2648" s="4">
        <v>1</v>
      </c>
      <c r="H2648" s="1">
        <v>41782</v>
      </c>
      <c r="I2648" s="3" t="s">
        <v>15</v>
      </c>
      <c r="J2648" s="4">
        <v>5</v>
      </c>
    </row>
    <row r="2649" spans="1:10" x14ac:dyDescent="0.35">
      <c r="A2649" s="2" t="s">
        <v>2685</v>
      </c>
      <c r="B2649" s="4">
        <v>52</v>
      </c>
      <c r="C2649" t="s">
        <v>17</v>
      </c>
      <c r="D2649" t="s">
        <v>23</v>
      </c>
      <c r="E2649" t="s">
        <v>24</v>
      </c>
      <c r="F2649" t="s">
        <v>20</v>
      </c>
      <c r="G2649" s="4">
        <v>14</v>
      </c>
      <c r="H2649" s="1">
        <v>15803</v>
      </c>
      <c r="I2649" s="3" t="s">
        <v>21</v>
      </c>
      <c r="J2649" s="4">
        <v>4</v>
      </c>
    </row>
    <row r="2650" spans="1:10" x14ac:dyDescent="0.35">
      <c r="A2650" s="2" t="s">
        <v>2686</v>
      </c>
      <c r="B2650" s="4">
        <v>38</v>
      </c>
      <c r="C2650" t="s">
        <v>11</v>
      </c>
      <c r="D2650" t="s">
        <v>36</v>
      </c>
      <c r="E2650" t="s">
        <v>27</v>
      </c>
      <c r="F2650" t="s">
        <v>14</v>
      </c>
      <c r="G2650" s="4">
        <v>14</v>
      </c>
      <c r="H2650" s="1">
        <v>68989</v>
      </c>
      <c r="I2650" s="3" t="s">
        <v>21</v>
      </c>
      <c r="J2650" s="4">
        <v>5</v>
      </c>
    </row>
    <row r="2651" spans="1:10" x14ac:dyDescent="0.35">
      <c r="A2651" s="2" t="s">
        <v>2687</v>
      </c>
      <c r="B2651" s="4">
        <v>47</v>
      </c>
      <c r="C2651" t="s">
        <v>11</v>
      </c>
      <c r="D2651" t="s">
        <v>12</v>
      </c>
      <c r="E2651" t="s">
        <v>34</v>
      </c>
      <c r="F2651" t="s">
        <v>30</v>
      </c>
      <c r="G2651" s="4">
        <v>11</v>
      </c>
      <c r="H2651" s="1">
        <v>27122</v>
      </c>
      <c r="I2651" s="3" t="s">
        <v>21</v>
      </c>
      <c r="J2651" s="4">
        <v>3</v>
      </c>
    </row>
    <row r="2652" spans="1:10" x14ac:dyDescent="0.35">
      <c r="A2652" s="2" t="s">
        <v>2688</v>
      </c>
      <c r="B2652" s="4">
        <v>30</v>
      </c>
      <c r="C2652" t="s">
        <v>17</v>
      </c>
      <c r="D2652" t="s">
        <v>23</v>
      </c>
      <c r="E2652" t="s">
        <v>53</v>
      </c>
      <c r="F2652" t="s">
        <v>30</v>
      </c>
      <c r="G2652" s="4">
        <v>4</v>
      </c>
      <c r="H2652" s="1">
        <v>6863</v>
      </c>
      <c r="I2652" s="3" t="s">
        <v>21</v>
      </c>
      <c r="J2652" s="4">
        <v>4</v>
      </c>
    </row>
    <row r="2653" spans="1:10" x14ac:dyDescent="0.35">
      <c r="A2653" s="2" t="s">
        <v>2689</v>
      </c>
      <c r="B2653" s="4">
        <v>45</v>
      </c>
      <c r="C2653" t="s">
        <v>11</v>
      </c>
      <c r="D2653" t="s">
        <v>39</v>
      </c>
      <c r="E2653" t="s">
        <v>27</v>
      </c>
      <c r="F2653" t="s">
        <v>30</v>
      </c>
      <c r="G2653" s="4">
        <v>2</v>
      </c>
      <c r="H2653" s="1">
        <v>30902</v>
      </c>
      <c r="I2653" s="3" t="s">
        <v>15</v>
      </c>
      <c r="J2653" s="4">
        <v>1</v>
      </c>
    </row>
    <row r="2654" spans="1:10" x14ac:dyDescent="0.35">
      <c r="A2654" s="2" t="s">
        <v>2690</v>
      </c>
      <c r="B2654" s="4">
        <v>60</v>
      </c>
      <c r="C2654" t="s">
        <v>11</v>
      </c>
      <c r="D2654" t="s">
        <v>18</v>
      </c>
      <c r="E2654" t="s">
        <v>42</v>
      </c>
      <c r="F2654" t="s">
        <v>30</v>
      </c>
      <c r="G2654" s="4">
        <v>12</v>
      </c>
      <c r="H2654" s="1">
        <v>45943</v>
      </c>
      <c r="I2654" s="3" t="s">
        <v>15</v>
      </c>
      <c r="J2654" s="4">
        <v>2</v>
      </c>
    </row>
    <row r="2655" spans="1:10" x14ac:dyDescent="0.35">
      <c r="A2655" s="2" t="s">
        <v>2691</v>
      </c>
      <c r="B2655" s="4">
        <v>5</v>
      </c>
      <c r="C2655" t="s">
        <v>17</v>
      </c>
      <c r="D2655" t="s">
        <v>41</v>
      </c>
      <c r="E2655" t="s">
        <v>19</v>
      </c>
      <c r="F2655" t="s">
        <v>20</v>
      </c>
      <c r="G2655" s="4">
        <v>15</v>
      </c>
      <c r="H2655" s="1">
        <v>8316</v>
      </c>
      <c r="I2655" s="3" t="s">
        <v>21</v>
      </c>
      <c r="J2655" s="4">
        <v>3</v>
      </c>
    </row>
    <row r="2656" spans="1:10" x14ac:dyDescent="0.35">
      <c r="A2656" s="2" t="s">
        <v>2692</v>
      </c>
      <c r="B2656" s="4">
        <v>5</v>
      </c>
      <c r="C2656" t="s">
        <v>17</v>
      </c>
      <c r="D2656" t="s">
        <v>41</v>
      </c>
      <c r="E2656" t="s">
        <v>19</v>
      </c>
      <c r="F2656" t="s">
        <v>20</v>
      </c>
      <c r="G2656" s="4">
        <v>10</v>
      </c>
      <c r="H2656" s="1">
        <v>64477</v>
      </c>
      <c r="I2656" s="3" t="s">
        <v>21</v>
      </c>
      <c r="J2656" s="4">
        <v>2</v>
      </c>
    </row>
    <row r="2657" spans="1:10" x14ac:dyDescent="0.35">
      <c r="A2657" s="2" t="s">
        <v>2693</v>
      </c>
      <c r="B2657" s="4">
        <v>2</v>
      </c>
      <c r="C2657" t="s">
        <v>17</v>
      </c>
      <c r="D2657" t="s">
        <v>23</v>
      </c>
      <c r="E2657" t="s">
        <v>65</v>
      </c>
      <c r="F2657" t="s">
        <v>20</v>
      </c>
      <c r="G2657" s="4">
        <v>9</v>
      </c>
      <c r="H2657" s="1">
        <v>84713</v>
      </c>
      <c r="I2657" s="3" t="s">
        <v>15</v>
      </c>
      <c r="J2657" s="4">
        <v>3</v>
      </c>
    </row>
    <row r="2658" spans="1:10" x14ac:dyDescent="0.35">
      <c r="A2658" s="2" t="s">
        <v>2694</v>
      </c>
      <c r="B2658" s="4">
        <v>21</v>
      </c>
      <c r="C2658" t="s">
        <v>17</v>
      </c>
      <c r="D2658" t="s">
        <v>26</v>
      </c>
      <c r="E2658" t="s">
        <v>34</v>
      </c>
      <c r="F2658" t="s">
        <v>30</v>
      </c>
      <c r="G2658" s="4">
        <v>6</v>
      </c>
      <c r="H2658" s="1">
        <v>46644</v>
      </c>
      <c r="I2658" s="3" t="s">
        <v>15</v>
      </c>
      <c r="J2658" s="4">
        <v>2</v>
      </c>
    </row>
    <row r="2659" spans="1:10" x14ac:dyDescent="0.35">
      <c r="A2659" s="2" t="s">
        <v>2695</v>
      </c>
      <c r="B2659" s="4">
        <v>17</v>
      </c>
      <c r="C2659" t="s">
        <v>11</v>
      </c>
      <c r="D2659" t="s">
        <v>28</v>
      </c>
      <c r="E2659" t="s">
        <v>53</v>
      </c>
      <c r="F2659" t="s">
        <v>14</v>
      </c>
      <c r="G2659" s="4">
        <v>7</v>
      </c>
      <c r="H2659" s="1">
        <v>85809</v>
      </c>
      <c r="I2659" s="3" t="s">
        <v>15</v>
      </c>
      <c r="J2659" s="4">
        <v>1</v>
      </c>
    </row>
    <row r="2660" spans="1:10" x14ac:dyDescent="0.35">
      <c r="A2660" s="2" t="s">
        <v>2696</v>
      </c>
      <c r="B2660" s="4">
        <v>10</v>
      </c>
      <c r="C2660" t="s">
        <v>11</v>
      </c>
      <c r="D2660" t="s">
        <v>26</v>
      </c>
      <c r="E2660" t="s">
        <v>13</v>
      </c>
      <c r="F2660" t="s">
        <v>20</v>
      </c>
      <c r="G2660" s="4">
        <v>15</v>
      </c>
      <c r="H2660" s="1">
        <v>69807</v>
      </c>
      <c r="I2660" s="3" t="s">
        <v>21</v>
      </c>
      <c r="J2660" s="4">
        <v>2</v>
      </c>
    </row>
    <row r="2661" spans="1:10" x14ac:dyDescent="0.35">
      <c r="A2661" s="2" t="s">
        <v>2697</v>
      </c>
      <c r="B2661" s="4">
        <v>11</v>
      </c>
      <c r="C2661" t="s">
        <v>17</v>
      </c>
      <c r="D2661" t="s">
        <v>39</v>
      </c>
      <c r="E2661" t="s">
        <v>19</v>
      </c>
      <c r="F2661" t="s">
        <v>14</v>
      </c>
      <c r="G2661" s="4">
        <v>4</v>
      </c>
      <c r="H2661" s="1">
        <v>85681</v>
      </c>
      <c r="I2661" s="3" t="s">
        <v>21</v>
      </c>
      <c r="J2661" s="4">
        <v>2</v>
      </c>
    </row>
    <row r="2662" spans="1:10" x14ac:dyDescent="0.35">
      <c r="A2662" s="2" t="s">
        <v>2698</v>
      </c>
      <c r="B2662" s="4">
        <v>36</v>
      </c>
      <c r="C2662" t="s">
        <v>17</v>
      </c>
      <c r="D2662" t="s">
        <v>12</v>
      </c>
      <c r="E2662" t="s">
        <v>65</v>
      </c>
      <c r="F2662" t="s">
        <v>30</v>
      </c>
      <c r="G2662" s="4">
        <v>15</v>
      </c>
      <c r="H2662" s="1">
        <v>95465</v>
      </c>
      <c r="I2662" s="3" t="s">
        <v>21</v>
      </c>
      <c r="J2662" s="4">
        <v>5</v>
      </c>
    </row>
    <row r="2663" spans="1:10" x14ac:dyDescent="0.35">
      <c r="A2663" s="2" t="s">
        <v>2699</v>
      </c>
      <c r="B2663" s="4">
        <v>60</v>
      </c>
      <c r="C2663" t="s">
        <v>17</v>
      </c>
      <c r="D2663" t="s">
        <v>18</v>
      </c>
      <c r="E2663" t="s">
        <v>65</v>
      </c>
      <c r="F2663" t="s">
        <v>20</v>
      </c>
      <c r="G2663" s="4">
        <v>10</v>
      </c>
      <c r="H2663" s="1">
        <v>28316</v>
      </c>
      <c r="I2663" s="3" t="s">
        <v>21</v>
      </c>
      <c r="J2663" s="4">
        <v>5</v>
      </c>
    </row>
    <row r="2664" spans="1:10" x14ac:dyDescent="0.35">
      <c r="A2664" s="2" t="s">
        <v>2700</v>
      </c>
      <c r="B2664" s="4">
        <v>74</v>
      </c>
      <c r="C2664" t="s">
        <v>11</v>
      </c>
      <c r="D2664" t="s">
        <v>18</v>
      </c>
      <c r="E2664" t="s">
        <v>42</v>
      </c>
      <c r="F2664" t="s">
        <v>20</v>
      </c>
      <c r="G2664" s="4">
        <v>4</v>
      </c>
      <c r="H2664" s="1">
        <v>56503</v>
      </c>
      <c r="I2664" s="3" t="s">
        <v>21</v>
      </c>
      <c r="J2664" s="4">
        <v>5</v>
      </c>
    </row>
    <row r="2665" spans="1:10" x14ac:dyDescent="0.35">
      <c r="A2665" s="2" t="s">
        <v>2701</v>
      </c>
      <c r="B2665" s="4">
        <v>81</v>
      </c>
      <c r="C2665" t="s">
        <v>11</v>
      </c>
      <c r="D2665" t="s">
        <v>41</v>
      </c>
      <c r="E2665" t="s">
        <v>34</v>
      </c>
      <c r="F2665" t="s">
        <v>30</v>
      </c>
      <c r="G2665" s="4">
        <v>11</v>
      </c>
      <c r="H2665" s="1">
        <v>87682</v>
      </c>
      <c r="I2665" s="3" t="s">
        <v>15</v>
      </c>
      <c r="J2665" s="4">
        <v>3</v>
      </c>
    </row>
    <row r="2666" spans="1:10" x14ac:dyDescent="0.35">
      <c r="A2666" s="2" t="s">
        <v>2702</v>
      </c>
      <c r="B2666" s="4">
        <v>28</v>
      </c>
      <c r="C2666" t="s">
        <v>11</v>
      </c>
      <c r="D2666" t="s">
        <v>12</v>
      </c>
      <c r="E2666" t="s">
        <v>53</v>
      </c>
      <c r="F2666" t="s">
        <v>14</v>
      </c>
      <c r="G2666" s="4">
        <v>6</v>
      </c>
      <c r="H2666" s="1">
        <v>25050</v>
      </c>
      <c r="I2666" s="3" t="s">
        <v>21</v>
      </c>
      <c r="J2666" s="4">
        <v>4</v>
      </c>
    </row>
    <row r="2667" spans="1:10" x14ac:dyDescent="0.35">
      <c r="A2667" s="2" t="s">
        <v>2703</v>
      </c>
      <c r="B2667" s="4">
        <v>90</v>
      </c>
      <c r="C2667" t="s">
        <v>11</v>
      </c>
      <c r="D2667" t="s">
        <v>49</v>
      </c>
      <c r="E2667" t="s">
        <v>19</v>
      </c>
      <c r="F2667" t="s">
        <v>20</v>
      </c>
      <c r="G2667" s="4">
        <v>5</v>
      </c>
      <c r="H2667" s="1">
        <v>83907</v>
      </c>
      <c r="I2667" s="3" t="s">
        <v>15</v>
      </c>
      <c r="J2667" s="4">
        <v>1</v>
      </c>
    </row>
    <row r="2668" spans="1:10" x14ac:dyDescent="0.35">
      <c r="A2668" s="2" t="s">
        <v>2704</v>
      </c>
      <c r="B2668" s="4">
        <v>37</v>
      </c>
      <c r="C2668" t="s">
        <v>11</v>
      </c>
      <c r="D2668" t="s">
        <v>49</v>
      </c>
      <c r="E2668" t="s">
        <v>65</v>
      </c>
      <c r="F2668" t="s">
        <v>20</v>
      </c>
      <c r="G2668" s="4">
        <v>5</v>
      </c>
      <c r="H2668" s="1">
        <v>12371</v>
      </c>
      <c r="I2668" s="3" t="s">
        <v>15</v>
      </c>
      <c r="J2668" s="4">
        <v>3</v>
      </c>
    </row>
    <row r="2669" spans="1:10" x14ac:dyDescent="0.35">
      <c r="A2669" s="2" t="s">
        <v>2705</v>
      </c>
      <c r="B2669" s="4">
        <v>36</v>
      </c>
      <c r="C2669" t="s">
        <v>17</v>
      </c>
      <c r="D2669" t="s">
        <v>49</v>
      </c>
      <c r="E2669" t="s">
        <v>24</v>
      </c>
      <c r="F2669" t="s">
        <v>20</v>
      </c>
      <c r="G2669" s="4">
        <v>11</v>
      </c>
      <c r="H2669" s="1">
        <v>19181</v>
      </c>
      <c r="I2669" s="3" t="s">
        <v>21</v>
      </c>
      <c r="J2669" s="4">
        <v>1</v>
      </c>
    </row>
    <row r="2670" spans="1:10" x14ac:dyDescent="0.35">
      <c r="A2670" s="2" t="s">
        <v>2706</v>
      </c>
      <c r="B2670" s="4">
        <v>9</v>
      </c>
      <c r="C2670" t="s">
        <v>11</v>
      </c>
      <c r="D2670" t="s">
        <v>23</v>
      </c>
      <c r="E2670" t="s">
        <v>65</v>
      </c>
      <c r="F2670" t="s">
        <v>20</v>
      </c>
      <c r="G2670" s="4">
        <v>2</v>
      </c>
      <c r="H2670" s="1">
        <v>37714</v>
      </c>
      <c r="I2670" s="3" t="s">
        <v>21</v>
      </c>
      <c r="J2670" s="4">
        <v>5</v>
      </c>
    </row>
    <row r="2671" spans="1:10" x14ac:dyDescent="0.35">
      <c r="A2671" s="2" t="s">
        <v>2707</v>
      </c>
      <c r="B2671" s="4">
        <v>83</v>
      </c>
      <c r="C2671" t="s">
        <v>17</v>
      </c>
      <c r="D2671" t="s">
        <v>49</v>
      </c>
      <c r="E2671" t="s">
        <v>42</v>
      </c>
      <c r="F2671" t="s">
        <v>14</v>
      </c>
      <c r="G2671" s="4">
        <v>2</v>
      </c>
      <c r="H2671" s="1">
        <v>88993</v>
      </c>
      <c r="I2671" s="3" t="s">
        <v>15</v>
      </c>
      <c r="J2671" s="4">
        <v>5</v>
      </c>
    </row>
    <row r="2672" spans="1:10" x14ac:dyDescent="0.35">
      <c r="A2672" s="2" t="s">
        <v>2708</v>
      </c>
      <c r="B2672" s="4">
        <v>35</v>
      </c>
      <c r="C2672" t="s">
        <v>11</v>
      </c>
      <c r="D2672" t="s">
        <v>26</v>
      </c>
      <c r="E2672" t="s">
        <v>65</v>
      </c>
      <c r="F2672" t="s">
        <v>30</v>
      </c>
      <c r="G2672" s="4">
        <v>14</v>
      </c>
      <c r="H2672" s="1">
        <v>97354</v>
      </c>
      <c r="I2672" s="3" t="s">
        <v>15</v>
      </c>
      <c r="J2672" s="4">
        <v>5</v>
      </c>
    </row>
    <row r="2673" spans="1:10" x14ac:dyDescent="0.35">
      <c r="A2673" s="2" t="s">
        <v>2709</v>
      </c>
      <c r="B2673" s="4">
        <v>56</v>
      </c>
      <c r="C2673" t="s">
        <v>11</v>
      </c>
      <c r="D2673" t="s">
        <v>18</v>
      </c>
      <c r="E2673" t="s">
        <v>13</v>
      </c>
      <c r="F2673" t="s">
        <v>30</v>
      </c>
      <c r="G2673" s="4">
        <v>10</v>
      </c>
      <c r="H2673" s="1">
        <v>73520</v>
      </c>
      <c r="I2673" s="3" t="s">
        <v>21</v>
      </c>
      <c r="J2673" s="4">
        <v>5</v>
      </c>
    </row>
    <row r="2674" spans="1:10" x14ac:dyDescent="0.35">
      <c r="A2674" s="2" t="s">
        <v>2710</v>
      </c>
      <c r="B2674" s="4">
        <v>40</v>
      </c>
      <c r="C2674" t="s">
        <v>17</v>
      </c>
      <c r="D2674" t="s">
        <v>18</v>
      </c>
      <c r="E2674" t="s">
        <v>42</v>
      </c>
      <c r="F2674" t="s">
        <v>30</v>
      </c>
      <c r="G2674" s="4">
        <v>13</v>
      </c>
      <c r="H2674" s="1">
        <v>51013</v>
      </c>
      <c r="I2674" s="3" t="s">
        <v>15</v>
      </c>
      <c r="J2674" s="4">
        <v>2</v>
      </c>
    </row>
    <row r="2675" spans="1:10" x14ac:dyDescent="0.35">
      <c r="A2675" s="2" t="s">
        <v>2711</v>
      </c>
      <c r="B2675" s="4">
        <v>59</v>
      </c>
      <c r="C2675" t="s">
        <v>17</v>
      </c>
      <c r="D2675" t="s">
        <v>39</v>
      </c>
      <c r="E2675" t="s">
        <v>19</v>
      </c>
      <c r="F2675" t="s">
        <v>30</v>
      </c>
      <c r="G2675" s="4">
        <v>8</v>
      </c>
      <c r="H2675" s="1">
        <v>86565</v>
      </c>
      <c r="I2675" s="3" t="s">
        <v>15</v>
      </c>
      <c r="J2675" s="4">
        <v>1</v>
      </c>
    </row>
    <row r="2676" spans="1:10" x14ac:dyDescent="0.35">
      <c r="A2676" s="2" t="s">
        <v>2712</v>
      </c>
      <c r="B2676" s="4">
        <v>56</v>
      </c>
      <c r="C2676" t="s">
        <v>17</v>
      </c>
      <c r="D2676" t="s">
        <v>49</v>
      </c>
      <c r="E2676" t="s">
        <v>34</v>
      </c>
      <c r="F2676" t="s">
        <v>14</v>
      </c>
      <c r="G2676" s="4">
        <v>6</v>
      </c>
      <c r="H2676" s="1">
        <v>99045</v>
      </c>
      <c r="I2676" s="3" t="s">
        <v>15</v>
      </c>
      <c r="J2676" s="4">
        <v>2</v>
      </c>
    </row>
    <row r="2677" spans="1:10" x14ac:dyDescent="0.35">
      <c r="A2677" s="2" t="s">
        <v>2713</v>
      </c>
      <c r="B2677" s="4">
        <v>55</v>
      </c>
      <c r="C2677" t="s">
        <v>17</v>
      </c>
      <c r="D2677" t="s">
        <v>18</v>
      </c>
      <c r="E2677" t="s">
        <v>53</v>
      </c>
      <c r="F2677" t="s">
        <v>30</v>
      </c>
      <c r="G2677" s="4">
        <v>10</v>
      </c>
      <c r="H2677" s="1">
        <v>54151</v>
      </c>
      <c r="I2677" s="3" t="s">
        <v>21</v>
      </c>
      <c r="J2677" s="4">
        <v>3</v>
      </c>
    </row>
    <row r="2678" spans="1:10" x14ac:dyDescent="0.35">
      <c r="A2678" s="2" t="s">
        <v>2714</v>
      </c>
      <c r="B2678" s="4">
        <v>53</v>
      </c>
      <c r="C2678" t="s">
        <v>11</v>
      </c>
      <c r="D2678" t="s">
        <v>28</v>
      </c>
      <c r="E2678" t="s">
        <v>53</v>
      </c>
      <c r="F2678" t="s">
        <v>20</v>
      </c>
      <c r="G2678" s="4">
        <v>13</v>
      </c>
      <c r="H2678" s="1">
        <v>23896</v>
      </c>
      <c r="I2678" s="3" t="s">
        <v>21</v>
      </c>
      <c r="J2678" s="4">
        <v>5</v>
      </c>
    </row>
    <row r="2679" spans="1:10" x14ac:dyDescent="0.35">
      <c r="A2679" s="2" t="s">
        <v>2715</v>
      </c>
      <c r="B2679" s="4">
        <v>90</v>
      </c>
      <c r="C2679" t="s">
        <v>11</v>
      </c>
      <c r="D2679" t="s">
        <v>12</v>
      </c>
      <c r="E2679" t="s">
        <v>37</v>
      </c>
      <c r="F2679" t="s">
        <v>20</v>
      </c>
      <c r="G2679" s="4">
        <v>13</v>
      </c>
      <c r="H2679" s="1">
        <v>46973</v>
      </c>
      <c r="I2679" s="3" t="s">
        <v>21</v>
      </c>
      <c r="J2679" s="4">
        <v>2</v>
      </c>
    </row>
    <row r="2680" spans="1:10" x14ac:dyDescent="0.35">
      <c r="A2680" s="2" t="s">
        <v>2716</v>
      </c>
      <c r="B2680" s="4">
        <v>64</v>
      </c>
      <c r="C2680" t="s">
        <v>17</v>
      </c>
      <c r="D2680" t="s">
        <v>28</v>
      </c>
      <c r="E2680" t="s">
        <v>34</v>
      </c>
      <c r="F2680" t="s">
        <v>14</v>
      </c>
      <c r="G2680" s="4">
        <v>5</v>
      </c>
      <c r="H2680" s="1">
        <v>45579</v>
      </c>
      <c r="I2680" s="3" t="s">
        <v>21</v>
      </c>
      <c r="J2680" s="4">
        <v>5</v>
      </c>
    </row>
    <row r="2681" spans="1:10" x14ac:dyDescent="0.35">
      <c r="A2681" s="2" t="s">
        <v>2717</v>
      </c>
      <c r="B2681" s="4">
        <v>49</v>
      </c>
      <c r="C2681" t="s">
        <v>17</v>
      </c>
      <c r="D2681" t="s">
        <v>33</v>
      </c>
      <c r="E2681" t="s">
        <v>29</v>
      </c>
      <c r="F2681" t="s">
        <v>20</v>
      </c>
      <c r="G2681" s="4">
        <v>3</v>
      </c>
      <c r="H2681" s="1">
        <v>46825</v>
      </c>
      <c r="I2681" s="3" t="s">
        <v>21</v>
      </c>
      <c r="J2681" s="4">
        <v>1</v>
      </c>
    </row>
    <row r="2682" spans="1:10" x14ac:dyDescent="0.35">
      <c r="A2682" s="2" t="s">
        <v>2718</v>
      </c>
      <c r="B2682" s="4">
        <v>86</v>
      </c>
      <c r="C2682" t="s">
        <v>17</v>
      </c>
      <c r="D2682" t="s">
        <v>41</v>
      </c>
      <c r="E2682" t="s">
        <v>19</v>
      </c>
      <c r="F2682" t="s">
        <v>14</v>
      </c>
      <c r="G2682" s="4">
        <v>6</v>
      </c>
      <c r="H2682" s="1">
        <v>33507</v>
      </c>
      <c r="I2682" s="3" t="s">
        <v>21</v>
      </c>
      <c r="J2682" s="4">
        <v>4</v>
      </c>
    </row>
    <row r="2683" spans="1:10" x14ac:dyDescent="0.35">
      <c r="A2683" s="2" t="s">
        <v>2719</v>
      </c>
      <c r="B2683" s="4">
        <v>12</v>
      </c>
      <c r="C2683" t="s">
        <v>11</v>
      </c>
      <c r="D2683" t="s">
        <v>49</v>
      </c>
      <c r="E2683" t="s">
        <v>34</v>
      </c>
      <c r="F2683" t="s">
        <v>14</v>
      </c>
      <c r="G2683" s="4">
        <v>14</v>
      </c>
      <c r="H2683" s="1">
        <v>25049</v>
      </c>
      <c r="I2683" s="3" t="s">
        <v>21</v>
      </c>
      <c r="J2683" s="4">
        <v>1</v>
      </c>
    </row>
    <row r="2684" spans="1:10" x14ac:dyDescent="0.35">
      <c r="A2684" s="2" t="s">
        <v>2720</v>
      </c>
      <c r="B2684" s="4">
        <v>49</v>
      </c>
      <c r="C2684" t="s">
        <v>17</v>
      </c>
      <c r="D2684" t="s">
        <v>28</v>
      </c>
      <c r="E2684" t="s">
        <v>19</v>
      </c>
      <c r="F2684" t="s">
        <v>14</v>
      </c>
      <c r="G2684" s="4">
        <v>8</v>
      </c>
      <c r="H2684" s="1">
        <v>48214</v>
      </c>
      <c r="I2684" s="3" t="s">
        <v>21</v>
      </c>
      <c r="J2684" s="4">
        <v>3</v>
      </c>
    </row>
    <row r="2685" spans="1:10" x14ac:dyDescent="0.35">
      <c r="A2685" s="2" t="s">
        <v>2721</v>
      </c>
      <c r="B2685" s="4">
        <v>44</v>
      </c>
      <c r="C2685" t="s">
        <v>11</v>
      </c>
      <c r="D2685" t="s">
        <v>18</v>
      </c>
      <c r="E2685" t="s">
        <v>34</v>
      </c>
      <c r="F2685" t="s">
        <v>20</v>
      </c>
      <c r="G2685" s="4">
        <v>14</v>
      </c>
      <c r="H2685" s="1">
        <v>9301</v>
      </c>
      <c r="I2685" s="3" t="s">
        <v>15</v>
      </c>
      <c r="J2685" s="4">
        <v>1</v>
      </c>
    </row>
    <row r="2686" spans="1:10" x14ac:dyDescent="0.35">
      <c r="A2686" s="2" t="s">
        <v>2722</v>
      </c>
      <c r="B2686" s="4">
        <v>1</v>
      </c>
      <c r="C2686" t="s">
        <v>17</v>
      </c>
      <c r="D2686" t="s">
        <v>28</v>
      </c>
      <c r="E2686" t="s">
        <v>24</v>
      </c>
      <c r="F2686" t="s">
        <v>14</v>
      </c>
      <c r="G2686" s="4">
        <v>9</v>
      </c>
      <c r="H2686" s="1">
        <v>57578</v>
      </c>
      <c r="I2686" s="3" t="s">
        <v>21</v>
      </c>
      <c r="J2686" s="4">
        <v>1</v>
      </c>
    </row>
    <row r="2687" spans="1:10" x14ac:dyDescent="0.35">
      <c r="A2687" s="2" t="s">
        <v>2723</v>
      </c>
      <c r="B2687" s="4">
        <v>87</v>
      </c>
      <c r="C2687" t="s">
        <v>17</v>
      </c>
      <c r="D2687" t="s">
        <v>33</v>
      </c>
      <c r="E2687" t="s">
        <v>29</v>
      </c>
      <c r="F2687" t="s">
        <v>30</v>
      </c>
      <c r="G2687" s="4">
        <v>1</v>
      </c>
      <c r="H2687" s="1">
        <v>81664</v>
      </c>
      <c r="I2687" s="3" t="s">
        <v>21</v>
      </c>
      <c r="J2687" s="4">
        <v>1</v>
      </c>
    </row>
    <row r="2688" spans="1:10" x14ac:dyDescent="0.35">
      <c r="A2688" s="2" t="s">
        <v>2724</v>
      </c>
      <c r="B2688" s="4">
        <v>16</v>
      </c>
      <c r="C2688" t="s">
        <v>11</v>
      </c>
      <c r="D2688" t="s">
        <v>41</v>
      </c>
      <c r="E2688" t="s">
        <v>13</v>
      </c>
      <c r="F2688" t="s">
        <v>14</v>
      </c>
      <c r="G2688" s="4">
        <v>2</v>
      </c>
      <c r="H2688" s="1">
        <v>27437</v>
      </c>
      <c r="I2688" s="3" t="s">
        <v>15</v>
      </c>
      <c r="J2688" s="4">
        <v>1</v>
      </c>
    </row>
    <row r="2689" spans="1:10" x14ac:dyDescent="0.35">
      <c r="A2689" s="2" t="s">
        <v>2725</v>
      </c>
      <c r="B2689" s="4">
        <v>19</v>
      </c>
      <c r="C2689" t="s">
        <v>17</v>
      </c>
      <c r="D2689" t="s">
        <v>12</v>
      </c>
      <c r="E2689" t="s">
        <v>53</v>
      </c>
      <c r="F2689" t="s">
        <v>20</v>
      </c>
      <c r="G2689" s="4">
        <v>12</v>
      </c>
      <c r="H2689" s="1">
        <v>58295</v>
      </c>
      <c r="I2689" s="3" t="s">
        <v>21</v>
      </c>
      <c r="J2689" s="4">
        <v>5</v>
      </c>
    </row>
    <row r="2690" spans="1:10" x14ac:dyDescent="0.35">
      <c r="A2690" s="2" t="s">
        <v>2726</v>
      </c>
      <c r="B2690" s="4">
        <v>28</v>
      </c>
      <c r="C2690" t="s">
        <v>17</v>
      </c>
      <c r="D2690" t="s">
        <v>26</v>
      </c>
      <c r="E2690" t="s">
        <v>29</v>
      </c>
      <c r="F2690" t="s">
        <v>14</v>
      </c>
      <c r="G2690" s="4">
        <v>1</v>
      </c>
      <c r="H2690" s="1">
        <v>23916</v>
      </c>
      <c r="I2690" s="3" t="s">
        <v>21</v>
      </c>
      <c r="J2690" s="4">
        <v>5</v>
      </c>
    </row>
    <row r="2691" spans="1:10" x14ac:dyDescent="0.35">
      <c r="A2691" s="2" t="s">
        <v>2727</v>
      </c>
      <c r="B2691" s="4">
        <v>22</v>
      </c>
      <c r="C2691" t="s">
        <v>11</v>
      </c>
      <c r="D2691" t="s">
        <v>41</v>
      </c>
      <c r="E2691" t="s">
        <v>24</v>
      </c>
      <c r="F2691" t="s">
        <v>20</v>
      </c>
      <c r="G2691" s="4">
        <v>4</v>
      </c>
      <c r="H2691" s="1">
        <v>59663</v>
      </c>
      <c r="I2691" s="3" t="s">
        <v>15</v>
      </c>
      <c r="J2691" s="4">
        <v>4</v>
      </c>
    </row>
    <row r="2692" spans="1:10" x14ac:dyDescent="0.35">
      <c r="A2692" s="2" t="s">
        <v>2728</v>
      </c>
      <c r="B2692" s="4">
        <v>15</v>
      </c>
      <c r="C2692" t="s">
        <v>17</v>
      </c>
      <c r="D2692" t="s">
        <v>28</v>
      </c>
      <c r="E2692" t="s">
        <v>24</v>
      </c>
      <c r="F2692" t="s">
        <v>30</v>
      </c>
      <c r="G2692" s="4">
        <v>1</v>
      </c>
      <c r="H2692" s="1">
        <v>83787</v>
      </c>
      <c r="I2692" s="3" t="s">
        <v>15</v>
      </c>
      <c r="J2692" s="4">
        <v>4</v>
      </c>
    </row>
    <row r="2693" spans="1:10" x14ac:dyDescent="0.35">
      <c r="A2693" s="2" t="s">
        <v>2729</v>
      </c>
      <c r="B2693" s="4">
        <v>73</v>
      </c>
      <c r="C2693" t="s">
        <v>11</v>
      </c>
      <c r="D2693" t="s">
        <v>26</v>
      </c>
      <c r="E2693" t="s">
        <v>53</v>
      </c>
      <c r="F2693" t="s">
        <v>14</v>
      </c>
      <c r="G2693" s="4">
        <v>2</v>
      </c>
      <c r="H2693" s="1">
        <v>63982</v>
      </c>
      <c r="I2693" s="3" t="s">
        <v>21</v>
      </c>
      <c r="J2693" s="4">
        <v>3</v>
      </c>
    </row>
    <row r="2694" spans="1:10" x14ac:dyDescent="0.35">
      <c r="A2694" s="2" t="s">
        <v>2730</v>
      </c>
      <c r="B2694" s="4">
        <v>71</v>
      </c>
      <c r="C2694" t="s">
        <v>11</v>
      </c>
      <c r="D2694" t="s">
        <v>41</v>
      </c>
      <c r="E2694" t="s">
        <v>37</v>
      </c>
      <c r="F2694" t="s">
        <v>14</v>
      </c>
      <c r="G2694" s="4">
        <v>15</v>
      </c>
      <c r="H2694" s="1">
        <v>86164</v>
      </c>
      <c r="I2694" s="3" t="s">
        <v>15</v>
      </c>
      <c r="J2694" s="4">
        <v>3</v>
      </c>
    </row>
    <row r="2695" spans="1:10" x14ac:dyDescent="0.35">
      <c r="A2695" s="2" t="s">
        <v>2731</v>
      </c>
      <c r="B2695" s="4">
        <v>42</v>
      </c>
      <c r="C2695" t="s">
        <v>11</v>
      </c>
      <c r="D2695" t="s">
        <v>39</v>
      </c>
      <c r="E2695" t="s">
        <v>13</v>
      </c>
      <c r="F2695" t="s">
        <v>30</v>
      </c>
      <c r="G2695" s="4">
        <v>1</v>
      </c>
      <c r="H2695" s="1">
        <v>90988</v>
      </c>
      <c r="I2695" s="3" t="s">
        <v>21</v>
      </c>
      <c r="J2695" s="4">
        <v>5</v>
      </c>
    </row>
    <row r="2696" spans="1:10" x14ac:dyDescent="0.35">
      <c r="A2696" s="2" t="s">
        <v>2732</v>
      </c>
      <c r="B2696" s="4">
        <v>4</v>
      </c>
      <c r="C2696" t="s">
        <v>17</v>
      </c>
      <c r="D2696" t="s">
        <v>33</v>
      </c>
      <c r="E2696" t="s">
        <v>34</v>
      </c>
      <c r="F2696" t="s">
        <v>30</v>
      </c>
      <c r="G2696" s="4">
        <v>15</v>
      </c>
      <c r="H2696" s="1">
        <v>76502</v>
      </c>
      <c r="I2696" s="3" t="s">
        <v>15</v>
      </c>
      <c r="J2696" s="4">
        <v>5</v>
      </c>
    </row>
    <row r="2697" spans="1:10" x14ac:dyDescent="0.35">
      <c r="A2697" s="2" t="s">
        <v>2733</v>
      </c>
      <c r="B2697" s="4">
        <v>52</v>
      </c>
      <c r="C2697" t="s">
        <v>17</v>
      </c>
      <c r="D2697" t="s">
        <v>49</v>
      </c>
      <c r="E2697" t="s">
        <v>27</v>
      </c>
      <c r="F2697" t="s">
        <v>30</v>
      </c>
      <c r="G2697" s="4">
        <v>8</v>
      </c>
      <c r="H2697" s="1">
        <v>92754</v>
      </c>
      <c r="I2697" s="3" t="s">
        <v>21</v>
      </c>
      <c r="J2697" s="4">
        <v>1</v>
      </c>
    </row>
    <row r="2698" spans="1:10" x14ac:dyDescent="0.35">
      <c r="A2698" s="2" t="s">
        <v>2734</v>
      </c>
      <c r="B2698" s="4">
        <v>16</v>
      </c>
      <c r="C2698" t="s">
        <v>17</v>
      </c>
      <c r="D2698" t="s">
        <v>49</v>
      </c>
      <c r="E2698" t="s">
        <v>42</v>
      </c>
      <c r="F2698" t="s">
        <v>30</v>
      </c>
      <c r="G2698" s="4">
        <v>4</v>
      </c>
      <c r="H2698" s="1">
        <v>28107</v>
      </c>
      <c r="I2698" s="3" t="s">
        <v>15</v>
      </c>
      <c r="J2698" s="4">
        <v>1</v>
      </c>
    </row>
    <row r="2699" spans="1:10" x14ac:dyDescent="0.35">
      <c r="A2699" s="2" t="s">
        <v>2735</v>
      </c>
      <c r="B2699" s="4">
        <v>31</v>
      </c>
      <c r="C2699" t="s">
        <v>17</v>
      </c>
      <c r="D2699" t="s">
        <v>12</v>
      </c>
      <c r="E2699" t="s">
        <v>13</v>
      </c>
      <c r="F2699" t="s">
        <v>20</v>
      </c>
      <c r="G2699" s="4">
        <v>7</v>
      </c>
      <c r="H2699" s="1">
        <v>87809</v>
      </c>
      <c r="I2699" s="3" t="s">
        <v>21</v>
      </c>
      <c r="J2699" s="4">
        <v>2</v>
      </c>
    </row>
    <row r="2700" spans="1:10" x14ac:dyDescent="0.35">
      <c r="A2700" s="2" t="s">
        <v>2736</v>
      </c>
      <c r="B2700" s="4">
        <v>17</v>
      </c>
      <c r="C2700" t="s">
        <v>17</v>
      </c>
      <c r="D2700" t="s">
        <v>26</v>
      </c>
      <c r="E2700" t="s">
        <v>19</v>
      </c>
      <c r="F2700" t="s">
        <v>14</v>
      </c>
      <c r="G2700" s="4">
        <v>11</v>
      </c>
      <c r="H2700" s="1">
        <v>81635</v>
      </c>
      <c r="I2700" s="3" t="s">
        <v>15</v>
      </c>
      <c r="J2700" s="4">
        <v>5</v>
      </c>
    </row>
    <row r="2701" spans="1:10" x14ac:dyDescent="0.35">
      <c r="A2701" s="2" t="s">
        <v>2737</v>
      </c>
      <c r="B2701" s="4">
        <v>3</v>
      </c>
      <c r="C2701" t="s">
        <v>17</v>
      </c>
      <c r="D2701" t="s">
        <v>39</v>
      </c>
      <c r="E2701" t="s">
        <v>42</v>
      </c>
      <c r="F2701" t="s">
        <v>20</v>
      </c>
      <c r="G2701" s="4">
        <v>5</v>
      </c>
      <c r="H2701" s="1">
        <v>18371</v>
      </c>
      <c r="I2701" s="3" t="s">
        <v>15</v>
      </c>
      <c r="J2701" s="4">
        <v>5</v>
      </c>
    </row>
    <row r="2702" spans="1:10" x14ac:dyDescent="0.35">
      <c r="A2702" s="2" t="s">
        <v>2738</v>
      </c>
      <c r="B2702" s="4">
        <v>12</v>
      </c>
      <c r="C2702" t="s">
        <v>17</v>
      </c>
      <c r="D2702" t="s">
        <v>33</v>
      </c>
      <c r="E2702" t="s">
        <v>13</v>
      </c>
      <c r="F2702" t="s">
        <v>20</v>
      </c>
      <c r="G2702" s="4">
        <v>15</v>
      </c>
      <c r="H2702" s="1">
        <v>60615</v>
      </c>
      <c r="I2702" s="3" t="s">
        <v>15</v>
      </c>
      <c r="J2702" s="4">
        <v>4</v>
      </c>
    </row>
    <row r="2703" spans="1:10" x14ac:dyDescent="0.35">
      <c r="A2703" s="2" t="s">
        <v>2739</v>
      </c>
      <c r="B2703" s="4">
        <v>75</v>
      </c>
      <c r="C2703" t="s">
        <v>17</v>
      </c>
      <c r="D2703" t="s">
        <v>23</v>
      </c>
      <c r="E2703" t="s">
        <v>19</v>
      </c>
      <c r="F2703" t="s">
        <v>30</v>
      </c>
      <c r="G2703" s="4">
        <v>15</v>
      </c>
      <c r="H2703" s="1">
        <v>15011</v>
      </c>
      <c r="I2703" s="3" t="s">
        <v>15</v>
      </c>
      <c r="J2703" s="4">
        <v>2</v>
      </c>
    </row>
    <row r="2704" spans="1:10" x14ac:dyDescent="0.35">
      <c r="A2704" s="2" t="s">
        <v>2740</v>
      </c>
      <c r="B2704" s="4">
        <v>76</v>
      </c>
      <c r="C2704" t="s">
        <v>11</v>
      </c>
      <c r="D2704" t="s">
        <v>41</v>
      </c>
      <c r="E2704" t="s">
        <v>37</v>
      </c>
      <c r="F2704" t="s">
        <v>14</v>
      </c>
      <c r="G2704" s="4">
        <v>12</v>
      </c>
      <c r="H2704" s="1">
        <v>47871</v>
      </c>
      <c r="I2704" s="3" t="s">
        <v>15</v>
      </c>
      <c r="J2704" s="4">
        <v>3</v>
      </c>
    </row>
    <row r="2705" spans="1:10" x14ac:dyDescent="0.35">
      <c r="A2705" s="2" t="s">
        <v>2741</v>
      </c>
      <c r="B2705" s="4">
        <v>68</v>
      </c>
      <c r="C2705" t="s">
        <v>17</v>
      </c>
      <c r="D2705" t="s">
        <v>39</v>
      </c>
      <c r="E2705" t="s">
        <v>42</v>
      </c>
      <c r="F2705" t="s">
        <v>14</v>
      </c>
      <c r="G2705" s="4">
        <v>1</v>
      </c>
      <c r="H2705" s="1">
        <v>16667</v>
      </c>
      <c r="I2705" s="3" t="s">
        <v>21</v>
      </c>
      <c r="J2705" s="4">
        <v>1</v>
      </c>
    </row>
    <row r="2706" spans="1:10" x14ac:dyDescent="0.35">
      <c r="A2706" s="2" t="s">
        <v>2742</v>
      </c>
      <c r="B2706" s="4">
        <v>72</v>
      </c>
      <c r="C2706" t="s">
        <v>11</v>
      </c>
      <c r="D2706" t="s">
        <v>36</v>
      </c>
      <c r="E2706" t="s">
        <v>65</v>
      </c>
      <c r="F2706" t="s">
        <v>30</v>
      </c>
      <c r="G2706" s="4">
        <v>1</v>
      </c>
      <c r="H2706" s="1">
        <v>8591</v>
      </c>
      <c r="I2706" s="3" t="s">
        <v>21</v>
      </c>
      <c r="J2706" s="4">
        <v>4</v>
      </c>
    </row>
    <row r="2707" spans="1:10" x14ac:dyDescent="0.35">
      <c r="A2707" s="2" t="s">
        <v>2743</v>
      </c>
      <c r="B2707" s="4">
        <v>70</v>
      </c>
      <c r="C2707" t="s">
        <v>17</v>
      </c>
      <c r="D2707" t="s">
        <v>49</v>
      </c>
      <c r="E2707" t="s">
        <v>29</v>
      </c>
      <c r="F2707" t="s">
        <v>30</v>
      </c>
      <c r="G2707" s="4">
        <v>12</v>
      </c>
      <c r="H2707" s="1">
        <v>71373</v>
      </c>
      <c r="I2707" s="3" t="s">
        <v>15</v>
      </c>
      <c r="J2707" s="4">
        <v>1</v>
      </c>
    </row>
    <row r="2708" spans="1:10" x14ac:dyDescent="0.35">
      <c r="A2708" s="2" t="s">
        <v>2744</v>
      </c>
      <c r="B2708" s="4">
        <v>89</v>
      </c>
      <c r="C2708" t="s">
        <v>11</v>
      </c>
      <c r="D2708" t="s">
        <v>49</v>
      </c>
      <c r="E2708" t="s">
        <v>27</v>
      </c>
      <c r="F2708" t="s">
        <v>14</v>
      </c>
      <c r="G2708" s="4">
        <v>7</v>
      </c>
      <c r="H2708" s="1">
        <v>59480</v>
      </c>
      <c r="I2708" s="3" t="s">
        <v>15</v>
      </c>
      <c r="J2708" s="4">
        <v>5</v>
      </c>
    </row>
    <row r="2709" spans="1:10" x14ac:dyDescent="0.35">
      <c r="A2709" s="2" t="s">
        <v>2745</v>
      </c>
      <c r="B2709" s="4">
        <v>87</v>
      </c>
      <c r="C2709" t="s">
        <v>11</v>
      </c>
      <c r="D2709" t="s">
        <v>23</v>
      </c>
      <c r="E2709" t="s">
        <v>19</v>
      </c>
      <c r="F2709" t="s">
        <v>14</v>
      </c>
      <c r="G2709" s="4">
        <v>6</v>
      </c>
      <c r="H2709" s="1">
        <v>98760</v>
      </c>
      <c r="I2709" s="3" t="s">
        <v>21</v>
      </c>
      <c r="J2709" s="4">
        <v>3</v>
      </c>
    </row>
    <row r="2710" spans="1:10" x14ac:dyDescent="0.35">
      <c r="A2710" s="2" t="s">
        <v>2746</v>
      </c>
      <c r="B2710" s="4">
        <v>49</v>
      </c>
      <c r="C2710" t="s">
        <v>17</v>
      </c>
      <c r="D2710" t="s">
        <v>26</v>
      </c>
      <c r="E2710" t="s">
        <v>13</v>
      </c>
      <c r="F2710" t="s">
        <v>14</v>
      </c>
      <c r="G2710" s="4">
        <v>6</v>
      </c>
      <c r="H2710" s="1">
        <v>78717</v>
      </c>
      <c r="I2710" s="3" t="s">
        <v>15</v>
      </c>
      <c r="J2710" s="4">
        <v>1</v>
      </c>
    </row>
    <row r="2711" spans="1:10" x14ac:dyDescent="0.35">
      <c r="A2711" s="2" t="s">
        <v>2747</v>
      </c>
      <c r="B2711" s="4">
        <v>54</v>
      </c>
      <c r="C2711" t="s">
        <v>17</v>
      </c>
      <c r="D2711" t="s">
        <v>18</v>
      </c>
      <c r="E2711" t="s">
        <v>13</v>
      </c>
      <c r="F2711" t="s">
        <v>14</v>
      </c>
      <c r="G2711" s="4">
        <v>10</v>
      </c>
      <c r="H2711" s="1">
        <v>80359</v>
      </c>
      <c r="I2711" s="3" t="s">
        <v>21</v>
      </c>
      <c r="J2711" s="4">
        <v>4</v>
      </c>
    </row>
    <row r="2712" spans="1:10" x14ac:dyDescent="0.35">
      <c r="A2712" s="2" t="s">
        <v>2748</v>
      </c>
      <c r="B2712" s="4">
        <v>51</v>
      </c>
      <c r="C2712" t="s">
        <v>11</v>
      </c>
      <c r="D2712" t="s">
        <v>23</v>
      </c>
      <c r="E2712" t="s">
        <v>34</v>
      </c>
      <c r="F2712" t="s">
        <v>30</v>
      </c>
      <c r="G2712" s="4">
        <v>12</v>
      </c>
      <c r="H2712" s="1">
        <v>34634</v>
      </c>
      <c r="I2712" s="3" t="s">
        <v>15</v>
      </c>
      <c r="J2712" s="4">
        <v>5</v>
      </c>
    </row>
    <row r="2713" spans="1:10" x14ac:dyDescent="0.35">
      <c r="A2713" s="2" t="s">
        <v>2749</v>
      </c>
      <c r="B2713" s="4">
        <v>50</v>
      </c>
      <c r="C2713" t="s">
        <v>11</v>
      </c>
      <c r="D2713" t="s">
        <v>49</v>
      </c>
      <c r="E2713" t="s">
        <v>65</v>
      </c>
      <c r="F2713" t="s">
        <v>20</v>
      </c>
      <c r="G2713" s="4">
        <v>4</v>
      </c>
      <c r="H2713" s="1">
        <v>25567</v>
      </c>
      <c r="I2713" s="3" t="s">
        <v>15</v>
      </c>
      <c r="J2713" s="4">
        <v>1</v>
      </c>
    </row>
    <row r="2714" spans="1:10" x14ac:dyDescent="0.35">
      <c r="A2714" s="2" t="s">
        <v>2750</v>
      </c>
      <c r="B2714" s="4">
        <v>13</v>
      </c>
      <c r="C2714" t="s">
        <v>17</v>
      </c>
      <c r="D2714" t="s">
        <v>18</v>
      </c>
      <c r="E2714" t="s">
        <v>65</v>
      </c>
      <c r="F2714" t="s">
        <v>30</v>
      </c>
      <c r="G2714" s="4">
        <v>9</v>
      </c>
      <c r="H2714" s="1">
        <v>73811</v>
      </c>
      <c r="I2714" s="3" t="s">
        <v>21</v>
      </c>
      <c r="J2714" s="4">
        <v>4</v>
      </c>
    </row>
    <row r="2715" spans="1:10" x14ac:dyDescent="0.35">
      <c r="A2715" s="2" t="s">
        <v>2751</v>
      </c>
      <c r="B2715" s="4">
        <v>22</v>
      </c>
      <c r="C2715" t="s">
        <v>11</v>
      </c>
      <c r="D2715" t="s">
        <v>49</v>
      </c>
      <c r="E2715" t="s">
        <v>29</v>
      </c>
      <c r="F2715" t="s">
        <v>14</v>
      </c>
      <c r="G2715" s="4">
        <v>15</v>
      </c>
      <c r="H2715" s="1">
        <v>27284</v>
      </c>
      <c r="I2715" s="3" t="s">
        <v>15</v>
      </c>
      <c r="J2715" s="4">
        <v>5</v>
      </c>
    </row>
    <row r="2716" spans="1:10" x14ac:dyDescent="0.35">
      <c r="A2716" s="2" t="s">
        <v>2752</v>
      </c>
      <c r="B2716" s="4">
        <v>8</v>
      </c>
      <c r="C2716" t="s">
        <v>11</v>
      </c>
      <c r="D2716" t="s">
        <v>18</v>
      </c>
      <c r="E2716" t="s">
        <v>13</v>
      </c>
      <c r="F2716" t="s">
        <v>30</v>
      </c>
      <c r="G2716" s="4">
        <v>3</v>
      </c>
      <c r="H2716" s="1">
        <v>50328</v>
      </c>
      <c r="I2716" s="3" t="s">
        <v>15</v>
      </c>
      <c r="J2716" s="4">
        <v>1</v>
      </c>
    </row>
    <row r="2717" spans="1:10" x14ac:dyDescent="0.35">
      <c r="A2717" s="2" t="s">
        <v>2753</v>
      </c>
      <c r="B2717" s="4">
        <v>5</v>
      </c>
      <c r="C2717" t="s">
        <v>17</v>
      </c>
      <c r="D2717" t="s">
        <v>39</v>
      </c>
      <c r="E2717" t="s">
        <v>19</v>
      </c>
      <c r="F2717" t="s">
        <v>30</v>
      </c>
      <c r="G2717" s="4">
        <v>11</v>
      </c>
      <c r="H2717" s="1">
        <v>81750</v>
      </c>
      <c r="I2717" s="3" t="s">
        <v>15</v>
      </c>
      <c r="J2717" s="4">
        <v>4</v>
      </c>
    </row>
    <row r="2718" spans="1:10" x14ac:dyDescent="0.35">
      <c r="A2718" s="2" t="s">
        <v>2754</v>
      </c>
      <c r="B2718" s="4">
        <v>21</v>
      </c>
      <c r="C2718" t="s">
        <v>17</v>
      </c>
      <c r="D2718" t="s">
        <v>18</v>
      </c>
      <c r="E2718" t="s">
        <v>29</v>
      </c>
      <c r="F2718" t="s">
        <v>30</v>
      </c>
      <c r="G2718" s="4">
        <v>8</v>
      </c>
      <c r="H2718" s="1">
        <v>90229</v>
      </c>
      <c r="I2718" s="3" t="s">
        <v>15</v>
      </c>
      <c r="J2718" s="4">
        <v>4</v>
      </c>
    </row>
    <row r="2719" spans="1:10" x14ac:dyDescent="0.35">
      <c r="A2719" s="2" t="s">
        <v>2755</v>
      </c>
      <c r="B2719" s="4">
        <v>38</v>
      </c>
      <c r="C2719" t="s">
        <v>11</v>
      </c>
      <c r="D2719" t="s">
        <v>36</v>
      </c>
      <c r="E2719" t="s">
        <v>27</v>
      </c>
      <c r="F2719" t="s">
        <v>30</v>
      </c>
      <c r="G2719" s="4">
        <v>15</v>
      </c>
      <c r="H2719" s="1">
        <v>42337</v>
      </c>
      <c r="I2719" s="3" t="s">
        <v>15</v>
      </c>
      <c r="J2719" s="4">
        <v>4</v>
      </c>
    </row>
    <row r="2720" spans="1:10" x14ac:dyDescent="0.35">
      <c r="A2720" s="2" t="s">
        <v>2756</v>
      </c>
      <c r="B2720" s="4">
        <v>41</v>
      </c>
      <c r="C2720" t="s">
        <v>11</v>
      </c>
      <c r="D2720" t="s">
        <v>18</v>
      </c>
      <c r="E2720" t="s">
        <v>53</v>
      </c>
      <c r="F2720" t="s">
        <v>20</v>
      </c>
      <c r="G2720" s="4">
        <v>14</v>
      </c>
      <c r="H2720" s="1">
        <v>65813</v>
      </c>
      <c r="I2720" s="3" t="s">
        <v>21</v>
      </c>
      <c r="J2720" s="4">
        <v>2</v>
      </c>
    </row>
    <row r="2721" spans="1:10" x14ac:dyDescent="0.35">
      <c r="A2721" s="2" t="s">
        <v>2757</v>
      </c>
      <c r="B2721" s="4">
        <v>43</v>
      </c>
      <c r="C2721" t="s">
        <v>11</v>
      </c>
      <c r="D2721" t="s">
        <v>49</v>
      </c>
      <c r="E2721" t="s">
        <v>27</v>
      </c>
      <c r="F2721" t="s">
        <v>14</v>
      </c>
      <c r="G2721" s="4">
        <v>10</v>
      </c>
      <c r="H2721" s="1">
        <v>44964</v>
      </c>
      <c r="I2721" s="3" t="s">
        <v>15</v>
      </c>
      <c r="J2721" s="4">
        <v>5</v>
      </c>
    </row>
    <row r="2722" spans="1:10" x14ac:dyDescent="0.35">
      <c r="A2722" s="2" t="s">
        <v>2758</v>
      </c>
      <c r="B2722" s="4">
        <v>36</v>
      </c>
      <c r="C2722" t="s">
        <v>11</v>
      </c>
      <c r="D2722" t="s">
        <v>36</v>
      </c>
      <c r="E2722" t="s">
        <v>13</v>
      </c>
      <c r="F2722" t="s">
        <v>20</v>
      </c>
      <c r="G2722" s="4">
        <v>3</v>
      </c>
      <c r="H2722" s="1">
        <v>78051</v>
      </c>
      <c r="I2722" s="3" t="s">
        <v>21</v>
      </c>
      <c r="J2722" s="4">
        <v>4</v>
      </c>
    </row>
    <row r="2723" spans="1:10" x14ac:dyDescent="0.35">
      <c r="A2723" s="2" t="s">
        <v>2759</v>
      </c>
      <c r="B2723" s="4">
        <v>34</v>
      </c>
      <c r="C2723" t="s">
        <v>11</v>
      </c>
      <c r="D2723" t="s">
        <v>41</v>
      </c>
      <c r="E2723" t="s">
        <v>27</v>
      </c>
      <c r="F2723" t="s">
        <v>20</v>
      </c>
      <c r="G2723" s="4">
        <v>14</v>
      </c>
      <c r="H2723" s="1">
        <v>65628</v>
      </c>
      <c r="I2723" s="3" t="s">
        <v>15</v>
      </c>
      <c r="J2723" s="4">
        <v>2</v>
      </c>
    </row>
    <row r="2724" spans="1:10" x14ac:dyDescent="0.35">
      <c r="A2724" s="2" t="s">
        <v>2760</v>
      </c>
      <c r="B2724" s="4">
        <v>18</v>
      </c>
      <c r="C2724" t="s">
        <v>11</v>
      </c>
      <c r="D2724" t="s">
        <v>26</v>
      </c>
      <c r="E2724" t="s">
        <v>34</v>
      </c>
      <c r="F2724" t="s">
        <v>30</v>
      </c>
      <c r="G2724" s="4">
        <v>9</v>
      </c>
      <c r="H2724" s="1">
        <v>18964</v>
      </c>
      <c r="I2724" s="3" t="s">
        <v>15</v>
      </c>
      <c r="J2724" s="4">
        <v>5</v>
      </c>
    </row>
    <row r="2725" spans="1:10" x14ac:dyDescent="0.35">
      <c r="A2725" s="2" t="s">
        <v>2761</v>
      </c>
      <c r="B2725" s="4">
        <v>27</v>
      </c>
      <c r="C2725" t="s">
        <v>11</v>
      </c>
      <c r="D2725" t="s">
        <v>12</v>
      </c>
      <c r="E2725" t="s">
        <v>24</v>
      </c>
      <c r="F2725" t="s">
        <v>20</v>
      </c>
      <c r="G2725" s="4">
        <v>4</v>
      </c>
      <c r="H2725" s="1">
        <v>50870</v>
      </c>
      <c r="I2725" s="3" t="s">
        <v>21</v>
      </c>
      <c r="J2725" s="4">
        <v>2</v>
      </c>
    </row>
    <row r="2726" spans="1:10" x14ac:dyDescent="0.35">
      <c r="A2726" s="2" t="s">
        <v>2762</v>
      </c>
      <c r="B2726" s="4">
        <v>67</v>
      </c>
      <c r="C2726" t="s">
        <v>11</v>
      </c>
      <c r="D2726" t="s">
        <v>18</v>
      </c>
      <c r="E2726" t="s">
        <v>42</v>
      </c>
      <c r="F2726" t="s">
        <v>14</v>
      </c>
      <c r="G2726" s="4">
        <v>8</v>
      </c>
      <c r="H2726" s="1">
        <v>10514</v>
      </c>
      <c r="I2726" s="3" t="s">
        <v>21</v>
      </c>
      <c r="J2726" s="4">
        <v>3</v>
      </c>
    </row>
    <row r="2727" spans="1:10" x14ac:dyDescent="0.35">
      <c r="A2727" s="2" t="s">
        <v>2763</v>
      </c>
      <c r="B2727" s="4">
        <v>29</v>
      </c>
      <c r="C2727" t="s">
        <v>11</v>
      </c>
      <c r="D2727" t="s">
        <v>28</v>
      </c>
      <c r="E2727" t="s">
        <v>24</v>
      </c>
      <c r="F2727" t="s">
        <v>14</v>
      </c>
      <c r="G2727" s="4">
        <v>8</v>
      </c>
      <c r="H2727" s="1">
        <v>66999</v>
      </c>
      <c r="I2727" s="3" t="s">
        <v>15</v>
      </c>
      <c r="J2727" s="4">
        <v>3</v>
      </c>
    </row>
    <row r="2728" spans="1:10" x14ac:dyDescent="0.35">
      <c r="A2728" s="2" t="s">
        <v>2764</v>
      </c>
      <c r="B2728" s="4">
        <v>19</v>
      </c>
      <c r="C2728" t="s">
        <v>17</v>
      </c>
      <c r="D2728" t="s">
        <v>49</v>
      </c>
      <c r="E2728" t="s">
        <v>29</v>
      </c>
      <c r="F2728" t="s">
        <v>20</v>
      </c>
      <c r="G2728" s="4">
        <v>12</v>
      </c>
      <c r="H2728" s="1">
        <v>56994</v>
      </c>
      <c r="I2728" s="3" t="s">
        <v>15</v>
      </c>
      <c r="J2728" s="4">
        <v>3</v>
      </c>
    </row>
    <row r="2729" spans="1:10" x14ac:dyDescent="0.35">
      <c r="A2729" s="2" t="s">
        <v>2765</v>
      </c>
      <c r="B2729" s="4">
        <v>25</v>
      </c>
      <c r="C2729" t="s">
        <v>17</v>
      </c>
      <c r="D2729" t="s">
        <v>18</v>
      </c>
      <c r="E2729" t="s">
        <v>65</v>
      </c>
      <c r="F2729" t="s">
        <v>20</v>
      </c>
      <c r="G2729" s="4">
        <v>2</v>
      </c>
      <c r="H2729" s="1">
        <v>36327</v>
      </c>
      <c r="I2729" s="3" t="s">
        <v>15</v>
      </c>
      <c r="J2729" s="4">
        <v>1</v>
      </c>
    </row>
    <row r="2730" spans="1:10" x14ac:dyDescent="0.35">
      <c r="A2730" s="2" t="s">
        <v>2766</v>
      </c>
      <c r="B2730" s="4">
        <v>22</v>
      </c>
      <c r="C2730" t="s">
        <v>11</v>
      </c>
      <c r="D2730" t="s">
        <v>41</v>
      </c>
      <c r="E2730" t="s">
        <v>13</v>
      </c>
      <c r="F2730" t="s">
        <v>30</v>
      </c>
      <c r="G2730" s="4">
        <v>11</v>
      </c>
      <c r="H2730" s="1">
        <v>90605</v>
      </c>
      <c r="I2730" s="3" t="s">
        <v>15</v>
      </c>
      <c r="J2730" s="4">
        <v>5</v>
      </c>
    </row>
    <row r="2731" spans="1:10" x14ac:dyDescent="0.35">
      <c r="A2731" s="2" t="s">
        <v>2767</v>
      </c>
      <c r="B2731" s="4">
        <v>81</v>
      </c>
      <c r="C2731" t="s">
        <v>11</v>
      </c>
      <c r="D2731" t="s">
        <v>23</v>
      </c>
      <c r="E2731" t="s">
        <v>42</v>
      </c>
      <c r="F2731" t="s">
        <v>30</v>
      </c>
      <c r="G2731" s="4">
        <v>11</v>
      </c>
      <c r="H2731" s="1">
        <v>63427</v>
      </c>
      <c r="I2731" s="3" t="s">
        <v>21</v>
      </c>
      <c r="J2731" s="4">
        <v>1</v>
      </c>
    </row>
    <row r="2732" spans="1:10" x14ac:dyDescent="0.35">
      <c r="A2732" s="2" t="s">
        <v>2768</v>
      </c>
      <c r="B2732" s="4">
        <v>65</v>
      </c>
      <c r="C2732" t="s">
        <v>11</v>
      </c>
      <c r="D2732" t="s">
        <v>49</v>
      </c>
      <c r="E2732" t="s">
        <v>53</v>
      </c>
      <c r="F2732" t="s">
        <v>30</v>
      </c>
      <c r="G2732" s="4">
        <v>2</v>
      </c>
      <c r="H2732" s="1">
        <v>31327</v>
      </c>
      <c r="I2732" s="3" t="s">
        <v>15</v>
      </c>
      <c r="J2732" s="4">
        <v>4</v>
      </c>
    </row>
    <row r="2733" spans="1:10" x14ac:dyDescent="0.35">
      <c r="A2733" s="2" t="s">
        <v>2769</v>
      </c>
      <c r="B2733" s="4">
        <v>48</v>
      </c>
      <c r="C2733" t="s">
        <v>17</v>
      </c>
      <c r="D2733" t="s">
        <v>36</v>
      </c>
      <c r="E2733" t="s">
        <v>24</v>
      </c>
      <c r="F2733" t="s">
        <v>30</v>
      </c>
      <c r="G2733" s="4">
        <v>11</v>
      </c>
      <c r="H2733" s="1">
        <v>8331</v>
      </c>
      <c r="I2733" s="3" t="s">
        <v>15</v>
      </c>
      <c r="J2733" s="4">
        <v>1</v>
      </c>
    </row>
    <row r="2734" spans="1:10" x14ac:dyDescent="0.35">
      <c r="A2734" s="2" t="s">
        <v>2770</v>
      </c>
      <c r="B2734" s="4">
        <v>6</v>
      </c>
      <c r="C2734" t="s">
        <v>11</v>
      </c>
      <c r="D2734" t="s">
        <v>23</v>
      </c>
      <c r="E2734" t="s">
        <v>19</v>
      </c>
      <c r="F2734" t="s">
        <v>20</v>
      </c>
      <c r="G2734" s="4">
        <v>12</v>
      </c>
      <c r="H2734" s="1">
        <v>48557</v>
      </c>
      <c r="I2734" s="3" t="s">
        <v>21</v>
      </c>
      <c r="J2734" s="4">
        <v>5</v>
      </c>
    </row>
    <row r="2735" spans="1:10" x14ac:dyDescent="0.35">
      <c r="A2735" s="2" t="s">
        <v>2771</v>
      </c>
      <c r="B2735" s="4">
        <v>13</v>
      </c>
      <c r="C2735" t="s">
        <v>11</v>
      </c>
      <c r="D2735" t="s">
        <v>23</v>
      </c>
      <c r="E2735" t="s">
        <v>42</v>
      </c>
      <c r="F2735" t="s">
        <v>14</v>
      </c>
      <c r="G2735" s="4">
        <v>8</v>
      </c>
      <c r="H2735" s="1">
        <v>82642</v>
      </c>
      <c r="I2735" s="3" t="s">
        <v>21</v>
      </c>
      <c r="J2735" s="4">
        <v>3</v>
      </c>
    </row>
    <row r="2736" spans="1:10" x14ac:dyDescent="0.35">
      <c r="A2736" s="2" t="s">
        <v>2772</v>
      </c>
      <c r="B2736" s="4">
        <v>63</v>
      </c>
      <c r="C2736" t="s">
        <v>11</v>
      </c>
      <c r="D2736" t="s">
        <v>41</v>
      </c>
      <c r="E2736" t="s">
        <v>53</v>
      </c>
      <c r="F2736" t="s">
        <v>14</v>
      </c>
      <c r="G2736" s="4">
        <v>12</v>
      </c>
      <c r="H2736" s="1">
        <v>91316</v>
      </c>
      <c r="I2736" s="3" t="s">
        <v>21</v>
      </c>
      <c r="J2736" s="4">
        <v>4</v>
      </c>
    </row>
    <row r="2737" spans="1:10" x14ac:dyDescent="0.35">
      <c r="A2737" s="2" t="s">
        <v>2773</v>
      </c>
      <c r="B2737" s="4">
        <v>13</v>
      </c>
      <c r="C2737" t="s">
        <v>17</v>
      </c>
      <c r="D2737" t="s">
        <v>18</v>
      </c>
      <c r="E2737" t="s">
        <v>53</v>
      </c>
      <c r="F2737" t="s">
        <v>14</v>
      </c>
      <c r="G2737" s="4">
        <v>9</v>
      </c>
      <c r="H2737" s="1">
        <v>80684</v>
      </c>
      <c r="I2737" s="3" t="s">
        <v>15</v>
      </c>
      <c r="J2737" s="4">
        <v>4</v>
      </c>
    </row>
    <row r="2738" spans="1:10" x14ac:dyDescent="0.35">
      <c r="A2738" s="2" t="s">
        <v>2774</v>
      </c>
      <c r="B2738" s="4">
        <v>8</v>
      </c>
      <c r="C2738" t="s">
        <v>11</v>
      </c>
      <c r="D2738" t="s">
        <v>39</v>
      </c>
      <c r="E2738" t="s">
        <v>53</v>
      </c>
      <c r="F2738" t="s">
        <v>30</v>
      </c>
      <c r="G2738" s="4">
        <v>10</v>
      </c>
      <c r="H2738" s="1">
        <v>71450</v>
      </c>
      <c r="I2738" s="3" t="s">
        <v>21</v>
      </c>
      <c r="J2738" s="4">
        <v>4</v>
      </c>
    </row>
    <row r="2739" spans="1:10" x14ac:dyDescent="0.35">
      <c r="A2739" s="2" t="s">
        <v>2775</v>
      </c>
      <c r="B2739" s="4">
        <v>61</v>
      </c>
      <c r="C2739" t="s">
        <v>17</v>
      </c>
      <c r="D2739" t="s">
        <v>33</v>
      </c>
      <c r="E2739" t="s">
        <v>19</v>
      </c>
      <c r="F2739" t="s">
        <v>14</v>
      </c>
      <c r="G2739" s="4">
        <v>10</v>
      </c>
      <c r="H2739" s="1">
        <v>32434</v>
      </c>
      <c r="I2739" s="3" t="s">
        <v>15</v>
      </c>
      <c r="J2739" s="4">
        <v>4</v>
      </c>
    </row>
    <row r="2740" spans="1:10" x14ac:dyDescent="0.35">
      <c r="A2740" s="2" t="s">
        <v>2776</v>
      </c>
      <c r="B2740" s="4">
        <v>61</v>
      </c>
      <c r="C2740" t="s">
        <v>17</v>
      </c>
      <c r="D2740" t="s">
        <v>39</v>
      </c>
      <c r="E2740" t="s">
        <v>29</v>
      </c>
      <c r="F2740" t="s">
        <v>14</v>
      </c>
      <c r="G2740" s="4">
        <v>15</v>
      </c>
      <c r="H2740" s="1">
        <v>87443</v>
      </c>
      <c r="I2740" s="3" t="s">
        <v>15</v>
      </c>
      <c r="J2740" s="4">
        <v>3</v>
      </c>
    </row>
    <row r="2741" spans="1:10" x14ac:dyDescent="0.35">
      <c r="A2741" s="2" t="s">
        <v>2777</v>
      </c>
      <c r="B2741" s="4">
        <v>3</v>
      </c>
      <c r="C2741" t="s">
        <v>17</v>
      </c>
      <c r="D2741" t="s">
        <v>36</v>
      </c>
      <c r="E2741" t="s">
        <v>27</v>
      </c>
      <c r="F2741" t="s">
        <v>20</v>
      </c>
      <c r="G2741" s="4">
        <v>8</v>
      </c>
      <c r="H2741" s="1">
        <v>67743</v>
      </c>
      <c r="I2741" s="3" t="s">
        <v>15</v>
      </c>
      <c r="J2741" s="4">
        <v>3</v>
      </c>
    </row>
    <row r="2742" spans="1:10" x14ac:dyDescent="0.35">
      <c r="A2742" s="2" t="s">
        <v>2778</v>
      </c>
      <c r="B2742" s="4">
        <v>17</v>
      </c>
      <c r="C2742" t="s">
        <v>11</v>
      </c>
      <c r="D2742" t="s">
        <v>26</v>
      </c>
      <c r="E2742" t="s">
        <v>13</v>
      </c>
      <c r="F2742" t="s">
        <v>20</v>
      </c>
      <c r="G2742" s="4">
        <v>4</v>
      </c>
      <c r="H2742" s="1">
        <v>83379</v>
      </c>
      <c r="I2742" s="3" t="s">
        <v>15</v>
      </c>
      <c r="J2742" s="4">
        <v>5</v>
      </c>
    </row>
    <row r="2743" spans="1:10" x14ac:dyDescent="0.35">
      <c r="A2743" s="2" t="s">
        <v>2779</v>
      </c>
      <c r="B2743" s="4">
        <v>73</v>
      </c>
      <c r="C2743" t="s">
        <v>11</v>
      </c>
      <c r="D2743" t="s">
        <v>33</v>
      </c>
      <c r="E2743" t="s">
        <v>42</v>
      </c>
      <c r="F2743" t="s">
        <v>20</v>
      </c>
      <c r="G2743" s="4">
        <v>4</v>
      </c>
      <c r="H2743" s="1">
        <v>42595</v>
      </c>
      <c r="I2743" s="3" t="s">
        <v>15</v>
      </c>
      <c r="J2743" s="4">
        <v>4</v>
      </c>
    </row>
    <row r="2744" spans="1:10" x14ac:dyDescent="0.35">
      <c r="A2744" s="2" t="s">
        <v>2780</v>
      </c>
      <c r="B2744" s="4">
        <v>51</v>
      </c>
      <c r="C2744" t="s">
        <v>17</v>
      </c>
      <c r="D2744" t="s">
        <v>12</v>
      </c>
      <c r="E2744" t="s">
        <v>53</v>
      </c>
      <c r="F2744" t="s">
        <v>30</v>
      </c>
      <c r="G2744" s="4">
        <v>13</v>
      </c>
      <c r="H2744" s="1">
        <v>5446</v>
      </c>
      <c r="I2744" s="3" t="s">
        <v>21</v>
      </c>
      <c r="J2744" s="4">
        <v>1</v>
      </c>
    </row>
    <row r="2745" spans="1:10" x14ac:dyDescent="0.35">
      <c r="A2745" s="2" t="s">
        <v>2781</v>
      </c>
      <c r="B2745" s="4">
        <v>53</v>
      </c>
      <c r="C2745" t="s">
        <v>17</v>
      </c>
      <c r="D2745" t="s">
        <v>36</v>
      </c>
      <c r="E2745" t="s">
        <v>53</v>
      </c>
      <c r="F2745" t="s">
        <v>20</v>
      </c>
      <c r="G2745" s="4">
        <v>11</v>
      </c>
      <c r="H2745" s="1">
        <v>41236</v>
      </c>
      <c r="I2745" s="3" t="s">
        <v>15</v>
      </c>
      <c r="J2745" s="4">
        <v>3</v>
      </c>
    </row>
    <row r="2746" spans="1:10" x14ac:dyDescent="0.35">
      <c r="A2746" s="2" t="s">
        <v>2782</v>
      </c>
      <c r="B2746" s="4">
        <v>42</v>
      </c>
      <c r="C2746" t="s">
        <v>17</v>
      </c>
      <c r="D2746" t="s">
        <v>49</v>
      </c>
      <c r="E2746" t="s">
        <v>13</v>
      </c>
      <c r="F2746" t="s">
        <v>20</v>
      </c>
      <c r="G2746" s="4">
        <v>15</v>
      </c>
      <c r="H2746" s="1">
        <v>35161</v>
      </c>
      <c r="I2746" s="3" t="s">
        <v>21</v>
      </c>
      <c r="J2746" s="4">
        <v>2</v>
      </c>
    </row>
    <row r="2747" spans="1:10" x14ac:dyDescent="0.35">
      <c r="A2747" s="2" t="s">
        <v>2783</v>
      </c>
      <c r="B2747" s="4">
        <v>39</v>
      </c>
      <c r="C2747" t="s">
        <v>11</v>
      </c>
      <c r="D2747" t="s">
        <v>33</v>
      </c>
      <c r="E2747" t="s">
        <v>37</v>
      </c>
      <c r="F2747" t="s">
        <v>20</v>
      </c>
      <c r="G2747" s="4">
        <v>9</v>
      </c>
      <c r="H2747" s="1">
        <v>82366</v>
      </c>
      <c r="I2747" s="3" t="s">
        <v>21</v>
      </c>
      <c r="J2747" s="4">
        <v>4</v>
      </c>
    </row>
    <row r="2748" spans="1:10" x14ac:dyDescent="0.35">
      <c r="A2748" s="2" t="s">
        <v>2784</v>
      </c>
      <c r="B2748" s="4">
        <v>3</v>
      </c>
      <c r="C2748" t="s">
        <v>17</v>
      </c>
      <c r="D2748" t="s">
        <v>12</v>
      </c>
      <c r="E2748" t="s">
        <v>37</v>
      </c>
      <c r="F2748" t="s">
        <v>30</v>
      </c>
      <c r="G2748" s="4">
        <v>10</v>
      </c>
      <c r="H2748" s="1">
        <v>24667</v>
      </c>
      <c r="I2748" s="3" t="s">
        <v>15</v>
      </c>
      <c r="J2748" s="4">
        <v>3</v>
      </c>
    </row>
    <row r="2749" spans="1:10" x14ac:dyDescent="0.35">
      <c r="A2749" s="2" t="s">
        <v>2785</v>
      </c>
      <c r="B2749" s="4">
        <v>54</v>
      </c>
      <c r="C2749" t="s">
        <v>11</v>
      </c>
      <c r="D2749" t="s">
        <v>28</v>
      </c>
      <c r="E2749" t="s">
        <v>53</v>
      </c>
      <c r="F2749" t="s">
        <v>14</v>
      </c>
      <c r="G2749" s="4">
        <v>1</v>
      </c>
      <c r="H2749" s="1">
        <v>50196</v>
      </c>
      <c r="I2749" s="3" t="s">
        <v>21</v>
      </c>
      <c r="J2749" s="4">
        <v>4</v>
      </c>
    </row>
    <row r="2750" spans="1:10" x14ac:dyDescent="0.35">
      <c r="A2750" s="2" t="s">
        <v>2786</v>
      </c>
      <c r="B2750" s="4">
        <v>83</v>
      </c>
      <c r="C2750" t="s">
        <v>17</v>
      </c>
      <c r="D2750" t="s">
        <v>18</v>
      </c>
      <c r="E2750" t="s">
        <v>29</v>
      </c>
      <c r="F2750" t="s">
        <v>20</v>
      </c>
      <c r="G2750" s="4">
        <v>7</v>
      </c>
      <c r="H2750" s="1">
        <v>49676</v>
      </c>
      <c r="I2750" s="3" t="s">
        <v>15</v>
      </c>
      <c r="J2750" s="4">
        <v>1</v>
      </c>
    </row>
    <row r="2751" spans="1:10" x14ac:dyDescent="0.35">
      <c r="A2751" s="2" t="s">
        <v>2787</v>
      </c>
      <c r="B2751" s="4">
        <v>66</v>
      </c>
      <c r="C2751" t="s">
        <v>11</v>
      </c>
      <c r="D2751" t="s">
        <v>33</v>
      </c>
      <c r="E2751" t="s">
        <v>19</v>
      </c>
      <c r="F2751" t="s">
        <v>20</v>
      </c>
      <c r="G2751" s="4">
        <v>7</v>
      </c>
      <c r="H2751" s="1">
        <v>77865</v>
      </c>
      <c r="I2751" s="3" t="s">
        <v>21</v>
      </c>
      <c r="J2751" s="4">
        <v>2</v>
      </c>
    </row>
    <row r="2752" spans="1:10" x14ac:dyDescent="0.35">
      <c r="A2752" s="2" t="s">
        <v>2788</v>
      </c>
      <c r="B2752" s="4">
        <v>57</v>
      </c>
      <c r="C2752" t="s">
        <v>11</v>
      </c>
      <c r="D2752" t="s">
        <v>18</v>
      </c>
      <c r="E2752" t="s">
        <v>27</v>
      </c>
      <c r="F2752" t="s">
        <v>14</v>
      </c>
      <c r="G2752" s="4">
        <v>15</v>
      </c>
      <c r="H2752" s="1">
        <v>26173</v>
      </c>
      <c r="I2752" s="3" t="s">
        <v>21</v>
      </c>
      <c r="J2752" s="4">
        <v>4</v>
      </c>
    </row>
    <row r="2753" spans="1:10" x14ac:dyDescent="0.35">
      <c r="A2753" s="2" t="s">
        <v>2789</v>
      </c>
      <c r="B2753" s="4">
        <v>77</v>
      </c>
      <c r="C2753" t="s">
        <v>17</v>
      </c>
      <c r="D2753" t="s">
        <v>49</v>
      </c>
      <c r="E2753" t="s">
        <v>13</v>
      </c>
      <c r="F2753" t="s">
        <v>14</v>
      </c>
      <c r="G2753" s="4">
        <v>4</v>
      </c>
      <c r="H2753" s="1">
        <v>68065</v>
      </c>
      <c r="I2753" s="3" t="s">
        <v>15</v>
      </c>
      <c r="J2753" s="4">
        <v>1</v>
      </c>
    </row>
    <row r="2754" spans="1:10" x14ac:dyDescent="0.35">
      <c r="A2754" s="2" t="s">
        <v>2790</v>
      </c>
      <c r="B2754" s="4">
        <v>26</v>
      </c>
      <c r="C2754" t="s">
        <v>17</v>
      </c>
      <c r="D2754" t="s">
        <v>12</v>
      </c>
      <c r="E2754" t="s">
        <v>24</v>
      </c>
      <c r="F2754" t="s">
        <v>14</v>
      </c>
      <c r="G2754" s="4">
        <v>9</v>
      </c>
      <c r="H2754" s="1">
        <v>79027</v>
      </c>
      <c r="I2754" s="3" t="s">
        <v>21</v>
      </c>
      <c r="J2754" s="4">
        <v>4</v>
      </c>
    </row>
    <row r="2755" spans="1:10" x14ac:dyDescent="0.35">
      <c r="A2755" s="2" t="s">
        <v>2791</v>
      </c>
      <c r="B2755" s="4">
        <v>86</v>
      </c>
      <c r="C2755" t="s">
        <v>17</v>
      </c>
      <c r="D2755" t="s">
        <v>49</v>
      </c>
      <c r="E2755" t="s">
        <v>42</v>
      </c>
      <c r="F2755" t="s">
        <v>14</v>
      </c>
      <c r="G2755" s="4">
        <v>8</v>
      </c>
      <c r="H2755" s="1">
        <v>17206</v>
      </c>
      <c r="I2755" s="3" t="s">
        <v>15</v>
      </c>
      <c r="J2755" s="4">
        <v>3</v>
      </c>
    </row>
    <row r="2756" spans="1:10" x14ac:dyDescent="0.35">
      <c r="A2756" s="2" t="s">
        <v>2792</v>
      </c>
      <c r="B2756" s="4">
        <v>7</v>
      </c>
      <c r="C2756" t="s">
        <v>11</v>
      </c>
      <c r="D2756" t="s">
        <v>36</v>
      </c>
      <c r="E2756" t="s">
        <v>19</v>
      </c>
      <c r="F2756" t="s">
        <v>30</v>
      </c>
      <c r="G2756" s="4">
        <v>13</v>
      </c>
      <c r="H2756" s="1">
        <v>90733</v>
      </c>
      <c r="I2756" s="3" t="s">
        <v>15</v>
      </c>
      <c r="J2756" s="4">
        <v>4</v>
      </c>
    </row>
    <row r="2757" spans="1:10" x14ac:dyDescent="0.35">
      <c r="A2757" s="2" t="s">
        <v>2793</v>
      </c>
      <c r="B2757" s="4">
        <v>63</v>
      </c>
      <c r="C2757" t="s">
        <v>17</v>
      </c>
      <c r="D2757" t="s">
        <v>26</v>
      </c>
      <c r="E2757" t="s">
        <v>42</v>
      </c>
      <c r="F2757" t="s">
        <v>14</v>
      </c>
      <c r="G2757" s="4">
        <v>10</v>
      </c>
      <c r="H2757" s="1">
        <v>65963</v>
      </c>
      <c r="I2757" s="3" t="s">
        <v>21</v>
      </c>
      <c r="J2757" s="4">
        <v>2</v>
      </c>
    </row>
    <row r="2758" spans="1:10" x14ac:dyDescent="0.35">
      <c r="A2758" s="2" t="s">
        <v>2794</v>
      </c>
      <c r="B2758" s="4">
        <v>38</v>
      </c>
      <c r="C2758" t="s">
        <v>17</v>
      </c>
      <c r="D2758" t="s">
        <v>33</v>
      </c>
      <c r="E2758" t="s">
        <v>13</v>
      </c>
      <c r="F2758" t="s">
        <v>14</v>
      </c>
      <c r="G2758" s="4">
        <v>10</v>
      </c>
      <c r="H2758" s="1">
        <v>34614</v>
      </c>
      <c r="I2758" s="3" t="s">
        <v>15</v>
      </c>
      <c r="J2758" s="4">
        <v>3</v>
      </c>
    </row>
    <row r="2759" spans="1:10" x14ac:dyDescent="0.35">
      <c r="A2759" s="2" t="s">
        <v>2795</v>
      </c>
      <c r="B2759" s="4">
        <v>59</v>
      </c>
      <c r="C2759" t="s">
        <v>11</v>
      </c>
      <c r="D2759" t="s">
        <v>12</v>
      </c>
      <c r="E2759" t="s">
        <v>65</v>
      </c>
      <c r="F2759" t="s">
        <v>30</v>
      </c>
      <c r="G2759" s="4">
        <v>15</v>
      </c>
      <c r="H2759" s="1">
        <v>47255</v>
      </c>
      <c r="I2759" s="3" t="s">
        <v>15</v>
      </c>
      <c r="J2759" s="4">
        <v>3</v>
      </c>
    </row>
    <row r="2760" spans="1:10" x14ac:dyDescent="0.35">
      <c r="A2760" s="2" t="s">
        <v>2796</v>
      </c>
      <c r="B2760" s="4">
        <v>78</v>
      </c>
      <c r="C2760" t="s">
        <v>17</v>
      </c>
      <c r="D2760" t="s">
        <v>36</v>
      </c>
      <c r="E2760" t="s">
        <v>24</v>
      </c>
      <c r="F2760" t="s">
        <v>20</v>
      </c>
      <c r="G2760" s="4">
        <v>8</v>
      </c>
      <c r="H2760" s="1">
        <v>15537</v>
      </c>
      <c r="I2760" s="3" t="s">
        <v>15</v>
      </c>
      <c r="J2760" s="4">
        <v>4</v>
      </c>
    </row>
    <row r="2761" spans="1:10" x14ac:dyDescent="0.35">
      <c r="A2761" s="2" t="s">
        <v>2797</v>
      </c>
      <c r="B2761" s="4">
        <v>89</v>
      </c>
      <c r="C2761" t="s">
        <v>11</v>
      </c>
      <c r="D2761" t="s">
        <v>28</v>
      </c>
      <c r="E2761" t="s">
        <v>19</v>
      </c>
      <c r="F2761" t="s">
        <v>20</v>
      </c>
      <c r="G2761" s="4">
        <v>5</v>
      </c>
      <c r="H2761" s="1">
        <v>29568</v>
      </c>
      <c r="I2761" s="3" t="s">
        <v>21</v>
      </c>
      <c r="J2761" s="4">
        <v>3</v>
      </c>
    </row>
    <row r="2762" spans="1:10" x14ac:dyDescent="0.35">
      <c r="A2762" s="2" t="s">
        <v>2798</v>
      </c>
      <c r="B2762" s="4">
        <v>77</v>
      </c>
      <c r="C2762" t="s">
        <v>11</v>
      </c>
      <c r="D2762" t="s">
        <v>18</v>
      </c>
      <c r="E2762" t="s">
        <v>37</v>
      </c>
      <c r="F2762" t="s">
        <v>14</v>
      </c>
      <c r="G2762" s="4">
        <v>11</v>
      </c>
      <c r="H2762" s="1">
        <v>93292</v>
      </c>
      <c r="I2762" s="3" t="s">
        <v>21</v>
      </c>
      <c r="J2762" s="4">
        <v>1</v>
      </c>
    </row>
    <row r="2763" spans="1:10" x14ac:dyDescent="0.35">
      <c r="A2763" s="2" t="s">
        <v>2799</v>
      </c>
      <c r="B2763" s="4">
        <v>3</v>
      </c>
      <c r="C2763" t="s">
        <v>11</v>
      </c>
      <c r="D2763" t="s">
        <v>39</v>
      </c>
      <c r="E2763" t="s">
        <v>34</v>
      </c>
      <c r="F2763" t="s">
        <v>14</v>
      </c>
      <c r="G2763" s="4">
        <v>9</v>
      </c>
      <c r="H2763" s="1">
        <v>97569</v>
      </c>
      <c r="I2763" s="3" t="s">
        <v>15</v>
      </c>
      <c r="J2763" s="4">
        <v>1</v>
      </c>
    </row>
    <row r="2764" spans="1:10" x14ac:dyDescent="0.35">
      <c r="A2764" s="2" t="s">
        <v>2800</v>
      </c>
      <c r="B2764" s="4">
        <v>49</v>
      </c>
      <c r="C2764" t="s">
        <v>17</v>
      </c>
      <c r="D2764" t="s">
        <v>36</v>
      </c>
      <c r="E2764" t="s">
        <v>29</v>
      </c>
      <c r="F2764" t="s">
        <v>30</v>
      </c>
      <c r="G2764" s="4">
        <v>7</v>
      </c>
      <c r="H2764" s="1">
        <v>32295</v>
      </c>
      <c r="I2764" s="3" t="s">
        <v>21</v>
      </c>
      <c r="J2764" s="4">
        <v>2</v>
      </c>
    </row>
    <row r="2765" spans="1:10" x14ac:dyDescent="0.35">
      <c r="A2765" s="2" t="s">
        <v>2801</v>
      </c>
      <c r="B2765" s="4">
        <v>55</v>
      </c>
      <c r="C2765" t="s">
        <v>17</v>
      </c>
      <c r="D2765" t="s">
        <v>28</v>
      </c>
      <c r="E2765" t="s">
        <v>34</v>
      </c>
      <c r="F2765" t="s">
        <v>14</v>
      </c>
      <c r="G2765" s="4">
        <v>1</v>
      </c>
      <c r="H2765" s="1">
        <v>82906</v>
      </c>
      <c r="I2765" s="3" t="s">
        <v>21</v>
      </c>
      <c r="J2765" s="4">
        <v>2</v>
      </c>
    </row>
    <row r="2766" spans="1:10" x14ac:dyDescent="0.35">
      <c r="A2766" s="2" t="s">
        <v>2802</v>
      </c>
      <c r="B2766" s="4">
        <v>80</v>
      </c>
      <c r="C2766" t="s">
        <v>17</v>
      </c>
      <c r="D2766" t="s">
        <v>49</v>
      </c>
      <c r="E2766" t="s">
        <v>65</v>
      </c>
      <c r="F2766" t="s">
        <v>30</v>
      </c>
      <c r="G2766" s="4">
        <v>2</v>
      </c>
      <c r="H2766" s="1">
        <v>46028</v>
      </c>
      <c r="I2766" s="3" t="s">
        <v>15</v>
      </c>
      <c r="J2766" s="4">
        <v>3</v>
      </c>
    </row>
    <row r="2767" spans="1:10" x14ac:dyDescent="0.35">
      <c r="A2767" s="2" t="s">
        <v>2803</v>
      </c>
      <c r="B2767" s="4">
        <v>47</v>
      </c>
      <c r="C2767" t="s">
        <v>17</v>
      </c>
      <c r="D2767" t="s">
        <v>12</v>
      </c>
      <c r="E2767" t="s">
        <v>24</v>
      </c>
      <c r="F2767" t="s">
        <v>20</v>
      </c>
      <c r="G2767" s="4">
        <v>8</v>
      </c>
      <c r="H2767" s="1">
        <v>49556</v>
      </c>
      <c r="I2767" s="3" t="s">
        <v>21</v>
      </c>
      <c r="J2767" s="4">
        <v>2</v>
      </c>
    </row>
    <row r="2768" spans="1:10" x14ac:dyDescent="0.35">
      <c r="A2768" s="2" t="s">
        <v>2804</v>
      </c>
      <c r="B2768" s="4">
        <v>11</v>
      </c>
      <c r="C2768" t="s">
        <v>17</v>
      </c>
      <c r="D2768" t="s">
        <v>26</v>
      </c>
      <c r="E2768" t="s">
        <v>24</v>
      </c>
      <c r="F2768" t="s">
        <v>20</v>
      </c>
      <c r="G2768" s="4">
        <v>1</v>
      </c>
      <c r="H2768" s="1">
        <v>59525</v>
      </c>
      <c r="I2768" s="3" t="s">
        <v>21</v>
      </c>
      <c r="J2768" s="4">
        <v>3</v>
      </c>
    </row>
    <row r="2769" spans="1:10" x14ac:dyDescent="0.35">
      <c r="A2769" s="2" t="s">
        <v>2805</v>
      </c>
      <c r="B2769" s="4">
        <v>86</v>
      </c>
      <c r="C2769" t="s">
        <v>11</v>
      </c>
      <c r="D2769" t="s">
        <v>36</v>
      </c>
      <c r="E2769" t="s">
        <v>53</v>
      </c>
      <c r="F2769" t="s">
        <v>14</v>
      </c>
      <c r="G2769" s="4">
        <v>12</v>
      </c>
      <c r="H2769" s="1">
        <v>27761</v>
      </c>
      <c r="I2769" s="3" t="s">
        <v>21</v>
      </c>
      <c r="J2769" s="4">
        <v>2</v>
      </c>
    </row>
    <row r="2770" spans="1:10" x14ac:dyDescent="0.35">
      <c r="A2770" s="2" t="s">
        <v>2806</v>
      </c>
      <c r="B2770" s="4">
        <v>48</v>
      </c>
      <c r="C2770" t="s">
        <v>17</v>
      </c>
      <c r="D2770" t="s">
        <v>28</v>
      </c>
      <c r="E2770" t="s">
        <v>37</v>
      </c>
      <c r="F2770" t="s">
        <v>30</v>
      </c>
      <c r="G2770" s="4">
        <v>4</v>
      </c>
      <c r="H2770" s="1">
        <v>85285</v>
      </c>
      <c r="I2770" s="3" t="s">
        <v>21</v>
      </c>
      <c r="J2770" s="4">
        <v>2</v>
      </c>
    </row>
    <row r="2771" spans="1:10" x14ac:dyDescent="0.35">
      <c r="A2771" s="2" t="s">
        <v>2807</v>
      </c>
      <c r="B2771" s="4">
        <v>72</v>
      </c>
      <c r="C2771" t="s">
        <v>17</v>
      </c>
      <c r="D2771" t="s">
        <v>12</v>
      </c>
      <c r="E2771" t="s">
        <v>19</v>
      </c>
      <c r="F2771" t="s">
        <v>20</v>
      </c>
      <c r="G2771" s="4">
        <v>1</v>
      </c>
      <c r="H2771" s="1">
        <v>65833</v>
      </c>
      <c r="I2771" s="3" t="s">
        <v>15</v>
      </c>
      <c r="J2771" s="4">
        <v>4</v>
      </c>
    </row>
    <row r="2772" spans="1:10" x14ac:dyDescent="0.35">
      <c r="A2772" s="2" t="s">
        <v>2808</v>
      </c>
      <c r="B2772" s="4">
        <v>38</v>
      </c>
      <c r="C2772" t="s">
        <v>11</v>
      </c>
      <c r="D2772" t="s">
        <v>12</v>
      </c>
      <c r="E2772" t="s">
        <v>19</v>
      </c>
      <c r="F2772" t="s">
        <v>20</v>
      </c>
      <c r="G2772" s="4">
        <v>3</v>
      </c>
      <c r="H2772" s="1">
        <v>58622</v>
      </c>
      <c r="I2772" s="3" t="s">
        <v>21</v>
      </c>
      <c r="J2772" s="4">
        <v>4</v>
      </c>
    </row>
    <row r="2773" spans="1:10" x14ac:dyDescent="0.35">
      <c r="A2773" s="2" t="s">
        <v>2809</v>
      </c>
      <c r="B2773" s="4">
        <v>81</v>
      </c>
      <c r="C2773" t="s">
        <v>17</v>
      </c>
      <c r="D2773" t="s">
        <v>39</v>
      </c>
      <c r="E2773" t="s">
        <v>42</v>
      </c>
      <c r="F2773" t="s">
        <v>14</v>
      </c>
      <c r="G2773" s="4">
        <v>9</v>
      </c>
      <c r="H2773" s="1">
        <v>75284</v>
      </c>
      <c r="I2773" s="3" t="s">
        <v>15</v>
      </c>
      <c r="J2773" s="4">
        <v>4</v>
      </c>
    </row>
    <row r="2774" spans="1:10" x14ac:dyDescent="0.35">
      <c r="A2774" s="2" t="s">
        <v>2810</v>
      </c>
      <c r="B2774" s="4">
        <v>63</v>
      </c>
      <c r="C2774" t="s">
        <v>11</v>
      </c>
      <c r="D2774" t="s">
        <v>41</v>
      </c>
      <c r="E2774" t="s">
        <v>53</v>
      </c>
      <c r="F2774" t="s">
        <v>14</v>
      </c>
      <c r="G2774" s="4">
        <v>3</v>
      </c>
      <c r="H2774" s="1">
        <v>93246</v>
      </c>
      <c r="I2774" s="3" t="s">
        <v>15</v>
      </c>
      <c r="J2774" s="4">
        <v>1</v>
      </c>
    </row>
    <row r="2775" spans="1:10" x14ac:dyDescent="0.35">
      <c r="A2775" s="2" t="s">
        <v>2811</v>
      </c>
      <c r="B2775" s="4">
        <v>72</v>
      </c>
      <c r="C2775" t="s">
        <v>17</v>
      </c>
      <c r="D2775" t="s">
        <v>33</v>
      </c>
      <c r="E2775" t="s">
        <v>27</v>
      </c>
      <c r="F2775" t="s">
        <v>20</v>
      </c>
      <c r="G2775" s="4">
        <v>9</v>
      </c>
      <c r="H2775" s="1">
        <v>52658</v>
      </c>
      <c r="I2775" s="3" t="s">
        <v>15</v>
      </c>
      <c r="J2775" s="4">
        <v>2</v>
      </c>
    </row>
    <row r="2776" spans="1:10" x14ac:dyDescent="0.35">
      <c r="A2776" s="2" t="s">
        <v>2812</v>
      </c>
      <c r="B2776" s="4">
        <v>21</v>
      </c>
      <c r="C2776" t="s">
        <v>11</v>
      </c>
      <c r="D2776" t="s">
        <v>26</v>
      </c>
      <c r="E2776" t="s">
        <v>65</v>
      </c>
      <c r="F2776" t="s">
        <v>30</v>
      </c>
      <c r="G2776" s="4">
        <v>14</v>
      </c>
      <c r="H2776" s="1">
        <v>75476</v>
      </c>
      <c r="I2776" s="3" t="s">
        <v>15</v>
      </c>
      <c r="J2776" s="4">
        <v>5</v>
      </c>
    </row>
    <row r="2777" spans="1:10" x14ac:dyDescent="0.35">
      <c r="A2777" s="2" t="s">
        <v>2813</v>
      </c>
      <c r="B2777" s="4">
        <v>13</v>
      </c>
      <c r="C2777" t="s">
        <v>17</v>
      </c>
      <c r="D2777" t="s">
        <v>39</v>
      </c>
      <c r="E2777" t="s">
        <v>13</v>
      </c>
      <c r="F2777" t="s">
        <v>30</v>
      </c>
      <c r="G2777" s="4">
        <v>5</v>
      </c>
      <c r="H2777" s="1">
        <v>92837</v>
      </c>
      <c r="I2777" s="3" t="s">
        <v>15</v>
      </c>
      <c r="J2777" s="4">
        <v>3</v>
      </c>
    </row>
    <row r="2778" spans="1:10" x14ac:dyDescent="0.35">
      <c r="A2778" s="2" t="s">
        <v>2814</v>
      </c>
      <c r="B2778" s="4">
        <v>70</v>
      </c>
      <c r="C2778" t="s">
        <v>17</v>
      </c>
      <c r="D2778" t="s">
        <v>49</v>
      </c>
      <c r="E2778" t="s">
        <v>42</v>
      </c>
      <c r="F2778" t="s">
        <v>30</v>
      </c>
      <c r="G2778" s="4">
        <v>13</v>
      </c>
      <c r="H2778" s="1">
        <v>70808</v>
      </c>
      <c r="I2778" s="3" t="s">
        <v>21</v>
      </c>
      <c r="J2778" s="4">
        <v>1</v>
      </c>
    </row>
    <row r="2779" spans="1:10" x14ac:dyDescent="0.35">
      <c r="A2779" s="2" t="s">
        <v>2815</v>
      </c>
      <c r="B2779" s="4">
        <v>74</v>
      </c>
      <c r="C2779" t="s">
        <v>17</v>
      </c>
      <c r="D2779" t="s">
        <v>12</v>
      </c>
      <c r="E2779" t="s">
        <v>53</v>
      </c>
      <c r="F2779" t="s">
        <v>30</v>
      </c>
      <c r="G2779" s="4">
        <v>11</v>
      </c>
      <c r="H2779" s="1">
        <v>23442</v>
      </c>
      <c r="I2779" s="3" t="s">
        <v>15</v>
      </c>
      <c r="J2779" s="4">
        <v>3</v>
      </c>
    </row>
    <row r="2780" spans="1:10" x14ac:dyDescent="0.35">
      <c r="A2780" s="2" t="s">
        <v>2816</v>
      </c>
      <c r="B2780" s="4">
        <v>55</v>
      </c>
      <c r="C2780" t="s">
        <v>17</v>
      </c>
      <c r="D2780" t="s">
        <v>12</v>
      </c>
      <c r="E2780" t="s">
        <v>65</v>
      </c>
      <c r="F2780" t="s">
        <v>20</v>
      </c>
      <c r="G2780" s="4">
        <v>2</v>
      </c>
      <c r="H2780" s="1">
        <v>90717</v>
      </c>
      <c r="I2780" s="3" t="s">
        <v>21</v>
      </c>
      <c r="J2780" s="4">
        <v>5</v>
      </c>
    </row>
    <row r="2781" spans="1:10" x14ac:dyDescent="0.35">
      <c r="A2781" s="2" t="s">
        <v>2817</v>
      </c>
      <c r="B2781" s="4">
        <v>88</v>
      </c>
      <c r="C2781" t="s">
        <v>17</v>
      </c>
      <c r="D2781" t="s">
        <v>39</v>
      </c>
      <c r="E2781" t="s">
        <v>34</v>
      </c>
      <c r="F2781" t="s">
        <v>20</v>
      </c>
      <c r="G2781" s="4">
        <v>2</v>
      </c>
      <c r="H2781" s="1">
        <v>55432</v>
      </c>
      <c r="I2781" s="3" t="s">
        <v>21</v>
      </c>
      <c r="J2781" s="4">
        <v>5</v>
      </c>
    </row>
    <row r="2782" spans="1:10" x14ac:dyDescent="0.35">
      <c r="A2782" s="2" t="s">
        <v>2818</v>
      </c>
      <c r="B2782" s="4">
        <v>6</v>
      </c>
      <c r="C2782" t="s">
        <v>11</v>
      </c>
      <c r="D2782" t="s">
        <v>41</v>
      </c>
      <c r="E2782" t="s">
        <v>37</v>
      </c>
      <c r="F2782" t="s">
        <v>14</v>
      </c>
      <c r="G2782" s="4">
        <v>11</v>
      </c>
      <c r="H2782" s="1">
        <v>87295</v>
      </c>
      <c r="I2782" s="3" t="s">
        <v>21</v>
      </c>
      <c r="J2782" s="4">
        <v>3</v>
      </c>
    </row>
    <row r="2783" spans="1:10" x14ac:dyDescent="0.35">
      <c r="A2783" s="2" t="s">
        <v>2819</v>
      </c>
      <c r="B2783" s="4">
        <v>89</v>
      </c>
      <c r="C2783" t="s">
        <v>11</v>
      </c>
      <c r="D2783" t="s">
        <v>41</v>
      </c>
      <c r="E2783" t="s">
        <v>34</v>
      </c>
      <c r="F2783" t="s">
        <v>30</v>
      </c>
      <c r="G2783" s="4">
        <v>1</v>
      </c>
      <c r="H2783" s="1">
        <v>41937</v>
      </c>
      <c r="I2783" s="3" t="s">
        <v>15</v>
      </c>
      <c r="J2783" s="4">
        <v>1</v>
      </c>
    </row>
    <row r="2784" spans="1:10" x14ac:dyDescent="0.35">
      <c r="A2784" s="2" t="s">
        <v>2820</v>
      </c>
      <c r="B2784" s="4">
        <v>69</v>
      </c>
      <c r="C2784" t="s">
        <v>11</v>
      </c>
      <c r="D2784" t="s">
        <v>23</v>
      </c>
      <c r="E2784" t="s">
        <v>42</v>
      </c>
      <c r="F2784" t="s">
        <v>20</v>
      </c>
      <c r="G2784" s="4">
        <v>11</v>
      </c>
      <c r="H2784" s="1">
        <v>46544</v>
      </c>
      <c r="I2784" s="3" t="s">
        <v>15</v>
      </c>
      <c r="J2784" s="4">
        <v>1</v>
      </c>
    </row>
    <row r="2785" spans="1:10" x14ac:dyDescent="0.35">
      <c r="A2785" s="2" t="s">
        <v>2821</v>
      </c>
      <c r="B2785" s="4">
        <v>71</v>
      </c>
      <c r="C2785" t="s">
        <v>17</v>
      </c>
      <c r="D2785" t="s">
        <v>49</v>
      </c>
      <c r="E2785" t="s">
        <v>19</v>
      </c>
      <c r="F2785" t="s">
        <v>30</v>
      </c>
      <c r="G2785" s="4">
        <v>2</v>
      </c>
      <c r="H2785" s="1">
        <v>73514</v>
      </c>
      <c r="I2785" s="3" t="s">
        <v>21</v>
      </c>
      <c r="J2785" s="4">
        <v>3</v>
      </c>
    </row>
    <row r="2786" spans="1:10" x14ac:dyDescent="0.35">
      <c r="A2786" s="2" t="s">
        <v>2822</v>
      </c>
      <c r="B2786" s="4">
        <v>56</v>
      </c>
      <c r="C2786" t="s">
        <v>11</v>
      </c>
      <c r="D2786" t="s">
        <v>49</v>
      </c>
      <c r="E2786" t="s">
        <v>34</v>
      </c>
      <c r="F2786" t="s">
        <v>20</v>
      </c>
      <c r="G2786" s="4">
        <v>15</v>
      </c>
      <c r="H2786" s="1">
        <v>63735</v>
      </c>
      <c r="I2786" s="3" t="s">
        <v>15</v>
      </c>
      <c r="J2786" s="4">
        <v>2</v>
      </c>
    </row>
    <row r="2787" spans="1:10" x14ac:dyDescent="0.35">
      <c r="A2787" s="2" t="s">
        <v>2823</v>
      </c>
      <c r="B2787" s="4">
        <v>3</v>
      </c>
      <c r="C2787" t="s">
        <v>17</v>
      </c>
      <c r="D2787" t="s">
        <v>12</v>
      </c>
      <c r="E2787" t="s">
        <v>27</v>
      </c>
      <c r="F2787" t="s">
        <v>14</v>
      </c>
      <c r="G2787" s="4">
        <v>9</v>
      </c>
      <c r="H2787" s="1">
        <v>62651</v>
      </c>
      <c r="I2787" s="3" t="s">
        <v>15</v>
      </c>
      <c r="J2787" s="4">
        <v>5</v>
      </c>
    </row>
    <row r="2788" spans="1:10" x14ac:dyDescent="0.35">
      <c r="A2788" s="2" t="s">
        <v>2824</v>
      </c>
      <c r="B2788" s="4">
        <v>73</v>
      </c>
      <c r="C2788" t="s">
        <v>11</v>
      </c>
      <c r="D2788" t="s">
        <v>12</v>
      </c>
      <c r="E2788" t="s">
        <v>27</v>
      </c>
      <c r="F2788" t="s">
        <v>14</v>
      </c>
      <c r="G2788" s="4">
        <v>8</v>
      </c>
      <c r="H2788" s="1">
        <v>64264</v>
      </c>
      <c r="I2788" s="3" t="s">
        <v>21</v>
      </c>
      <c r="J2788" s="4">
        <v>4</v>
      </c>
    </row>
    <row r="2789" spans="1:10" x14ac:dyDescent="0.35">
      <c r="A2789" s="2" t="s">
        <v>2825</v>
      </c>
      <c r="B2789" s="4">
        <v>51</v>
      </c>
      <c r="C2789" t="s">
        <v>11</v>
      </c>
      <c r="D2789" t="s">
        <v>33</v>
      </c>
      <c r="E2789" t="s">
        <v>19</v>
      </c>
      <c r="F2789" t="s">
        <v>20</v>
      </c>
      <c r="G2789" s="4">
        <v>2</v>
      </c>
      <c r="H2789" s="1">
        <v>89685</v>
      </c>
      <c r="I2789" s="3" t="s">
        <v>21</v>
      </c>
      <c r="J2789" s="4">
        <v>4</v>
      </c>
    </row>
    <row r="2790" spans="1:10" x14ac:dyDescent="0.35">
      <c r="A2790" s="2" t="s">
        <v>2826</v>
      </c>
      <c r="B2790" s="4">
        <v>25</v>
      </c>
      <c r="C2790" t="s">
        <v>11</v>
      </c>
      <c r="D2790" t="s">
        <v>18</v>
      </c>
      <c r="E2790" t="s">
        <v>65</v>
      </c>
      <c r="F2790" t="s">
        <v>30</v>
      </c>
      <c r="G2790" s="4">
        <v>5</v>
      </c>
      <c r="H2790" s="1">
        <v>30181</v>
      </c>
      <c r="I2790" s="3" t="s">
        <v>21</v>
      </c>
      <c r="J2790" s="4">
        <v>5</v>
      </c>
    </row>
    <row r="2791" spans="1:10" x14ac:dyDescent="0.35">
      <c r="A2791" s="2" t="s">
        <v>2827</v>
      </c>
      <c r="B2791" s="4">
        <v>69</v>
      </c>
      <c r="C2791" t="s">
        <v>17</v>
      </c>
      <c r="D2791" t="s">
        <v>39</v>
      </c>
      <c r="E2791" t="s">
        <v>34</v>
      </c>
      <c r="F2791" t="s">
        <v>14</v>
      </c>
      <c r="G2791" s="4">
        <v>11</v>
      </c>
      <c r="H2791" s="1">
        <v>20644</v>
      </c>
      <c r="I2791" s="3" t="s">
        <v>21</v>
      </c>
      <c r="J2791" s="4">
        <v>5</v>
      </c>
    </row>
    <row r="2792" spans="1:10" x14ac:dyDescent="0.35">
      <c r="A2792" s="2" t="s">
        <v>2828</v>
      </c>
      <c r="B2792" s="4">
        <v>65</v>
      </c>
      <c r="C2792" t="s">
        <v>17</v>
      </c>
      <c r="D2792" t="s">
        <v>39</v>
      </c>
      <c r="E2792" t="s">
        <v>42</v>
      </c>
      <c r="F2792" t="s">
        <v>14</v>
      </c>
      <c r="G2792" s="4">
        <v>15</v>
      </c>
      <c r="H2792" s="1">
        <v>93916</v>
      </c>
      <c r="I2792" s="3" t="s">
        <v>15</v>
      </c>
      <c r="J2792" s="4">
        <v>4</v>
      </c>
    </row>
    <row r="2793" spans="1:10" x14ac:dyDescent="0.35">
      <c r="A2793" s="2" t="s">
        <v>2829</v>
      </c>
      <c r="B2793" s="4">
        <v>69</v>
      </c>
      <c r="C2793" t="s">
        <v>17</v>
      </c>
      <c r="D2793" t="s">
        <v>49</v>
      </c>
      <c r="E2793" t="s">
        <v>27</v>
      </c>
      <c r="F2793" t="s">
        <v>14</v>
      </c>
      <c r="G2793" s="4">
        <v>6</v>
      </c>
      <c r="H2793" s="1">
        <v>86495</v>
      </c>
      <c r="I2793" s="3" t="s">
        <v>21</v>
      </c>
      <c r="J2793" s="4">
        <v>4</v>
      </c>
    </row>
    <row r="2794" spans="1:10" x14ac:dyDescent="0.35">
      <c r="A2794" s="2" t="s">
        <v>2830</v>
      </c>
      <c r="B2794" s="4">
        <v>32</v>
      </c>
      <c r="C2794" t="s">
        <v>11</v>
      </c>
      <c r="D2794" t="s">
        <v>36</v>
      </c>
      <c r="E2794" t="s">
        <v>24</v>
      </c>
      <c r="F2794" t="s">
        <v>20</v>
      </c>
      <c r="G2794" s="4">
        <v>13</v>
      </c>
      <c r="H2794" s="1">
        <v>11400</v>
      </c>
      <c r="I2794" s="3" t="s">
        <v>21</v>
      </c>
      <c r="J2794" s="4">
        <v>5</v>
      </c>
    </row>
    <row r="2795" spans="1:10" x14ac:dyDescent="0.35">
      <c r="A2795" s="2" t="s">
        <v>2831</v>
      </c>
      <c r="B2795" s="4">
        <v>47</v>
      </c>
      <c r="C2795" t="s">
        <v>11</v>
      </c>
      <c r="D2795" t="s">
        <v>33</v>
      </c>
      <c r="E2795" t="s">
        <v>24</v>
      </c>
      <c r="F2795" t="s">
        <v>14</v>
      </c>
      <c r="G2795" s="4">
        <v>11</v>
      </c>
      <c r="H2795" s="1">
        <v>62305</v>
      </c>
      <c r="I2795" s="3" t="s">
        <v>21</v>
      </c>
      <c r="J2795" s="4">
        <v>2</v>
      </c>
    </row>
    <row r="2796" spans="1:10" x14ac:dyDescent="0.35">
      <c r="A2796" s="2" t="s">
        <v>2832</v>
      </c>
      <c r="B2796" s="4">
        <v>3</v>
      </c>
      <c r="C2796" t="s">
        <v>11</v>
      </c>
      <c r="D2796" t="s">
        <v>36</v>
      </c>
      <c r="E2796" t="s">
        <v>27</v>
      </c>
      <c r="F2796" t="s">
        <v>14</v>
      </c>
      <c r="G2796" s="4">
        <v>6</v>
      </c>
      <c r="H2796" s="1">
        <v>81578</v>
      </c>
      <c r="I2796" s="3" t="s">
        <v>15</v>
      </c>
      <c r="J2796" s="4">
        <v>1</v>
      </c>
    </row>
    <row r="2797" spans="1:10" x14ac:dyDescent="0.35">
      <c r="A2797" s="2" t="s">
        <v>2833</v>
      </c>
      <c r="B2797" s="4">
        <v>33</v>
      </c>
      <c r="C2797" t="s">
        <v>17</v>
      </c>
      <c r="D2797" t="s">
        <v>12</v>
      </c>
      <c r="E2797" t="s">
        <v>13</v>
      </c>
      <c r="F2797" t="s">
        <v>20</v>
      </c>
      <c r="G2797" s="4">
        <v>14</v>
      </c>
      <c r="H2797" s="1">
        <v>55012</v>
      </c>
      <c r="I2797" s="3" t="s">
        <v>21</v>
      </c>
      <c r="J2797" s="4">
        <v>4</v>
      </c>
    </row>
    <row r="2798" spans="1:10" x14ac:dyDescent="0.35">
      <c r="A2798" s="2" t="s">
        <v>2834</v>
      </c>
      <c r="B2798" s="4">
        <v>36</v>
      </c>
      <c r="C2798" t="s">
        <v>11</v>
      </c>
      <c r="D2798" t="s">
        <v>18</v>
      </c>
      <c r="E2798" t="s">
        <v>65</v>
      </c>
      <c r="F2798" t="s">
        <v>30</v>
      </c>
      <c r="G2798" s="4">
        <v>14</v>
      </c>
      <c r="H2798" s="1">
        <v>39179</v>
      </c>
      <c r="I2798" s="3" t="s">
        <v>15</v>
      </c>
      <c r="J2798" s="4">
        <v>2</v>
      </c>
    </row>
    <row r="2799" spans="1:10" x14ac:dyDescent="0.35">
      <c r="A2799" s="2" t="s">
        <v>2835</v>
      </c>
      <c r="B2799" s="4">
        <v>34</v>
      </c>
      <c r="C2799" t="s">
        <v>17</v>
      </c>
      <c r="D2799" t="s">
        <v>49</v>
      </c>
      <c r="E2799" t="s">
        <v>53</v>
      </c>
      <c r="F2799" t="s">
        <v>14</v>
      </c>
      <c r="G2799" s="4">
        <v>11</v>
      </c>
      <c r="H2799" s="1">
        <v>12489</v>
      </c>
      <c r="I2799" s="3" t="s">
        <v>15</v>
      </c>
      <c r="J2799" s="4">
        <v>1</v>
      </c>
    </row>
    <row r="2800" spans="1:10" x14ac:dyDescent="0.35">
      <c r="A2800" s="2" t="s">
        <v>2836</v>
      </c>
      <c r="B2800" s="4">
        <v>63</v>
      </c>
      <c r="C2800" t="s">
        <v>17</v>
      </c>
      <c r="D2800" t="s">
        <v>36</v>
      </c>
      <c r="E2800" t="s">
        <v>13</v>
      </c>
      <c r="F2800" t="s">
        <v>20</v>
      </c>
      <c r="G2800" s="4">
        <v>15</v>
      </c>
      <c r="H2800" s="1">
        <v>71536</v>
      </c>
      <c r="I2800" s="3" t="s">
        <v>21</v>
      </c>
      <c r="J2800" s="4">
        <v>4</v>
      </c>
    </row>
    <row r="2801" spans="1:10" x14ac:dyDescent="0.35">
      <c r="A2801" s="2" t="s">
        <v>2837</v>
      </c>
      <c r="B2801" s="4">
        <v>28</v>
      </c>
      <c r="C2801" t="s">
        <v>17</v>
      </c>
      <c r="D2801" t="s">
        <v>33</v>
      </c>
      <c r="E2801" t="s">
        <v>27</v>
      </c>
      <c r="F2801" t="s">
        <v>14</v>
      </c>
      <c r="G2801" s="4">
        <v>13</v>
      </c>
      <c r="H2801" s="1">
        <v>49719</v>
      </c>
      <c r="I2801" s="3" t="s">
        <v>21</v>
      </c>
      <c r="J2801" s="4">
        <v>3</v>
      </c>
    </row>
    <row r="2802" spans="1:10" x14ac:dyDescent="0.35">
      <c r="A2802" s="2" t="s">
        <v>2838</v>
      </c>
      <c r="B2802" s="4">
        <v>6</v>
      </c>
      <c r="C2802" t="s">
        <v>11</v>
      </c>
      <c r="D2802" t="s">
        <v>49</v>
      </c>
      <c r="E2802" t="s">
        <v>42</v>
      </c>
      <c r="F2802" t="s">
        <v>30</v>
      </c>
      <c r="G2802" s="4">
        <v>10</v>
      </c>
      <c r="H2802" s="1">
        <v>76897</v>
      </c>
      <c r="I2802" s="3" t="s">
        <v>21</v>
      </c>
      <c r="J2802" s="4">
        <v>1</v>
      </c>
    </row>
    <row r="2803" spans="1:10" x14ac:dyDescent="0.35">
      <c r="A2803" s="2" t="s">
        <v>2839</v>
      </c>
      <c r="B2803" s="4">
        <v>45</v>
      </c>
      <c r="C2803" t="s">
        <v>17</v>
      </c>
      <c r="D2803" t="s">
        <v>33</v>
      </c>
      <c r="E2803" t="s">
        <v>19</v>
      </c>
      <c r="F2803" t="s">
        <v>14</v>
      </c>
      <c r="G2803" s="4">
        <v>7</v>
      </c>
      <c r="H2803" s="1">
        <v>29884</v>
      </c>
      <c r="I2803" s="3" t="s">
        <v>21</v>
      </c>
      <c r="J2803" s="4">
        <v>2</v>
      </c>
    </row>
    <row r="2804" spans="1:10" x14ac:dyDescent="0.35">
      <c r="A2804" s="2" t="s">
        <v>2840</v>
      </c>
      <c r="B2804" s="4">
        <v>51</v>
      </c>
      <c r="C2804" t="s">
        <v>17</v>
      </c>
      <c r="D2804" t="s">
        <v>12</v>
      </c>
      <c r="E2804" t="s">
        <v>13</v>
      </c>
      <c r="F2804" t="s">
        <v>14</v>
      </c>
      <c r="G2804" s="4">
        <v>9</v>
      </c>
      <c r="H2804" s="1">
        <v>70244</v>
      </c>
      <c r="I2804" s="3" t="s">
        <v>21</v>
      </c>
      <c r="J2804" s="4">
        <v>4</v>
      </c>
    </row>
    <row r="2805" spans="1:10" x14ac:dyDescent="0.35">
      <c r="A2805" s="2" t="s">
        <v>2841</v>
      </c>
      <c r="B2805" s="4">
        <v>50</v>
      </c>
      <c r="C2805" t="s">
        <v>17</v>
      </c>
      <c r="D2805" t="s">
        <v>41</v>
      </c>
      <c r="E2805" t="s">
        <v>37</v>
      </c>
      <c r="F2805" t="s">
        <v>14</v>
      </c>
      <c r="G2805" s="4">
        <v>8</v>
      </c>
      <c r="H2805" s="1">
        <v>37353</v>
      </c>
      <c r="I2805" s="3" t="s">
        <v>21</v>
      </c>
      <c r="J2805" s="4">
        <v>5</v>
      </c>
    </row>
    <row r="2806" spans="1:10" x14ac:dyDescent="0.35">
      <c r="A2806" s="2" t="s">
        <v>2842</v>
      </c>
      <c r="B2806" s="4">
        <v>11</v>
      </c>
      <c r="C2806" t="s">
        <v>17</v>
      </c>
      <c r="D2806" t="s">
        <v>28</v>
      </c>
      <c r="E2806" t="s">
        <v>24</v>
      </c>
      <c r="F2806" t="s">
        <v>20</v>
      </c>
      <c r="G2806" s="4">
        <v>7</v>
      </c>
      <c r="H2806" s="1">
        <v>91156</v>
      </c>
      <c r="I2806" s="3" t="s">
        <v>15</v>
      </c>
      <c r="J2806" s="4">
        <v>5</v>
      </c>
    </row>
    <row r="2807" spans="1:10" x14ac:dyDescent="0.35">
      <c r="A2807" s="2" t="s">
        <v>2843</v>
      </c>
      <c r="B2807" s="4">
        <v>17</v>
      </c>
      <c r="C2807" t="s">
        <v>17</v>
      </c>
      <c r="D2807" t="s">
        <v>41</v>
      </c>
      <c r="E2807" t="s">
        <v>29</v>
      </c>
      <c r="F2807" t="s">
        <v>14</v>
      </c>
      <c r="G2807" s="4">
        <v>8</v>
      </c>
      <c r="H2807" s="1">
        <v>79274</v>
      </c>
      <c r="I2807" s="3" t="s">
        <v>15</v>
      </c>
      <c r="J2807" s="4">
        <v>2</v>
      </c>
    </row>
    <row r="2808" spans="1:10" x14ac:dyDescent="0.35">
      <c r="A2808" s="2" t="s">
        <v>2844</v>
      </c>
      <c r="B2808" s="4">
        <v>20</v>
      </c>
      <c r="C2808" t="s">
        <v>11</v>
      </c>
      <c r="D2808" t="s">
        <v>18</v>
      </c>
      <c r="E2808" t="s">
        <v>53</v>
      </c>
      <c r="F2808" t="s">
        <v>30</v>
      </c>
      <c r="G2808" s="4">
        <v>15</v>
      </c>
      <c r="H2808" s="1">
        <v>15416</v>
      </c>
      <c r="I2808" s="3" t="s">
        <v>21</v>
      </c>
      <c r="J2808" s="4">
        <v>3</v>
      </c>
    </row>
    <row r="2809" spans="1:10" x14ac:dyDescent="0.35">
      <c r="A2809" s="2" t="s">
        <v>2845</v>
      </c>
      <c r="B2809" s="4">
        <v>8</v>
      </c>
      <c r="C2809" t="s">
        <v>17</v>
      </c>
      <c r="D2809" t="s">
        <v>28</v>
      </c>
      <c r="E2809" t="s">
        <v>13</v>
      </c>
      <c r="F2809" t="s">
        <v>14</v>
      </c>
      <c r="G2809" s="4">
        <v>4</v>
      </c>
      <c r="H2809" s="1">
        <v>62793</v>
      </c>
      <c r="I2809" s="3" t="s">
        <v>15</v>
      </c>
      <c r="J2809" s="4">
        <v>2</v>
      </c>
    </row>
    <row r="2810" spans="1:10" x14ac:dyDescent="0.35">
      <c r="A2810" s="2" t="s">
        <v>2846</v>
      </c>
      <c r="B2810" s="4">
        <v>9</v>
      </c>
      <c r="C2810" t="s">
        <v>11</v>
      </c>
      <c r="D2810" t="s">
        <v>28</v>
      </c>
      <c r="E2810" t="s">
        <v>34</v>
      </c>
      <c r="F2810" t="s">
        <v>14</v>
      </c>
      <c r="G2810" s="4">
        <v>10</v>
      </c>
      <c r="H2810" s="1">
        <v>92566</v>
      </c>
      <c r="I2810" s="3" t="s">
        <v>21</v>
      </c>
      <c r="J2810" s="4">
        <v>5</v>
      </c>
    </row>
    <row r="2811" spans="1:10" x14ac:dyDescent="0.35">
      <c r="A2811" s="2" t="s">
        <v>2847</v>
      </c>
      <c r="B2811" s="4">
        <v>16</v>
      </c>
      <c r="C2811" t="s">
        <v>11</v>
      </c>
      <c r="D2811" t="s">
        <v>39</v>
      </c>
      <c r="E2811" t="s">
        <v>65</v>
      </c>
      <c r="F2811" t="s">
        <v>14</v>
      </c>
      <c r="G2811" s="4">
        <v>6</v>
      </c>
      <c r="H2811" s="1">
        <v>51205</v>
      </c>
      <c r="I2811" s="3" t="s">
        <v>21</v>
      </c>
      <c r="J2811" s="4">
        <v>1</v>
      </c>
    </row>
    <row r="2812" spans="1:10" x14ac:dyDescent="0.35">
      <c r="A2812" s="2" t="s">
        <v>2848</v>
      </c>
      <c r="B2812" s="4">
        <v>35</v>
      </c>
      <c r="C2812" t="s">
        <v>11</v>
      </c>
      <c r="D2812" t="s">
        <v>36</v>
      </c>
      <c r="E2812" t="s">
        <v>13</v>
      </c>
      <c r="F2812" t="s">
        <v>30</v>
      </c>
      <c r="G2812" s="4">
        <v>11</v>
      </c>
      <c r="H2812" s="1">
        <v>57039</v>
      </c>
      <c r="I2812" s="3" t="s">
        <v>15</v>
      </c>
      <c r="J2812" s="4">
        <v>2</v>
      </c>
    </row>
    <row r="2813" spans="1:10" x14ac:dyDescent="0.35">
      <c r="A2813" s="2" t="s">
        <v>2849</v>
      </c>
      <c r="B2813" s="4">
        <v>13</v>
      </c>
      <c r="C2813" t="s">
        <v>17</v>
      </c>
      <c r="D2813" t="s">
        <v>41</v>
      </c>
      <c r="E2813" t="s">
        <v>42</v>
      </c>
      <c r="F2813" t="s">
        <v>14</v>
      </c>
      <c r="G2813" s="4">
        <v>2</v>
      </c>
      <c r="H2813" s="1">
        <v>93903</v>
      </c>
      <c r="I2813" s="3" t="s">
        <v>15</v>
      </c>
      <c r="J2813" s="4">
        <v>2</v>
      </c>
    </row>
    <row r="2814" spans="1:10" x14ac:dyDescent="0.35">
      <c r="A2814" s="2" t="s">
        <v>2850</v>
      </c>
      <c r="B2814" s="4">
        <v>44</v>
      </c>
      <c r="C2814" t="s">
        <v>17</v>
      </c>
      <c r="D2814" t="s">
        <v>18</v>
      </c>
      <c r="E2814" t="s">
        <v>13</v>
      </c>
      <c r="F2814" t="s">
        <v>14</v>
      </c>
      <c r="G2814" s="4">
        <v>9</v>
      </c>
      <c r="H2814" s="1">
        <v>68196</v>
      </c>
      <c r="I2814" s="3" t="s">
        <v>21</v>
      </c>
      <c r="J2814" s="4">
        <v>5</v>
      </c>
    </row>
    <row r="2815" spans="1:10" x14ac:dyDescent="0.35">
      <c r="A2815" s="2" t="s">
        <v>2851</v>
      </c>
      <c r="B2815" s="4">
        <v>15</v>
      </c>
      <c r="C2815" t="s">
        <v>17</v>
      </c>
      <c r="D2815" t="s">
        <v>36</v>
      </c>
      <c r="E2815" t="s">
        <v>42</v>
      </c>
      <c r="F2815" t="s">
        <v>30</v>
      </c>
      <c r="G2815" s="4">
        <v>8</v>
      </c>
      <c r="H2815" s="1">
        <v>84530</v>
      </c>
      <c r="I2815" s="3" t="s">
        <v>15</v>
      </c>
      <c r="J2815" s="4">
        <v>4</v>
      </c>
    </row>
    <row r="2816" spans="1:10" x14ac:dyDescent="0.35">
      <c r="A2816" s="2" t="s">
        <v>2852</v>
      </c>
      <c r="B2816" s="4">
        <v>15</v>
      </c>
      <c r="C2816" t="s">
        <v>17</v>
      </c>
      <c r="D2816" t="s">
        <v>39</v>
      </c>
      <c r="E2816" t="s">
        <v>65</v>
      </c>
      <c r="F2816" t="s">
        <v>30</v>
      </c>
      <c r="G2816" s="4">
        <v>4</v>
      </c>
      <c r="H2816" s="1">
        <v>13283</v>
      </c>
      <c r="I2816" s="3" t="s">
        <v>21</v>
      </c>
      <c r="J2816" s="4">
        <v>1</v>
      </c>
    </row>
    <row r="2817" spans="1:10" x14ac:dyDescent="0.35">
      <c r="A2817" s="2" t="s">
        <v>2853</v>
      </c>
      <c r="B2817" s="4">
        <v>73</v>
      </c>
      <c r="C2817" t="s">
        <v>11</v>
      </c>
      <c r="D2817" t="s">
        <v>36</v>
      </c>
      <c r="E2817" t="s">
        <v>53</v>
      </c>
      <c r="F2817" t="s">
        <v>14</v>
      </c>
      <c r="G2817" s="4">
        <v>11</v>
      </c>
      <c r="H2817" s="1">
        <v>53721</v>
      </c>
      <c r="I2817" s="3" t="s">
        <v>21</v>
      </c>
      <c r="J2817" s="4">
        <v>2</v>
      </c>
    </row>
    <row r="2818" spans="1:10" x14ac:dyDescent="0.35">
      <c r="A2818" s="2" t="s">
        <v>2854</v>
      </c>
      <c r="B2818" s="4">
        <v>16</v>
      </c>
      <c r="C2818" t="s">
        <v>17</v>
      </c>
      <c r="D2818" t="s">
        <v>12</v>
      </c>
      <c r="E2818" t="s">
        <v>19</v>
      </c>
      <c r="F2818" t="s">
        <v>20</v>
      </c>
      <c r="G2818" s="4">
        <v>6</v>
      </c>
      <c r="H2818" s="1">
        <v>76353</v>
      </c>
      <c r="I2818" s="3" t="s">
        <v>15</v>
      </c>
      <c r="J2818" s="4">
        <v>1</v>
      </c>
    </row>
    <row r="2819" spans="1:10" x14ac:dyDescent="0.35">
      <c r="A2819" s="2" t="s">
        <v>2855</v>
      </c>
      <c r="B2819" s="4">
        <v>39</v>
      </c>
      <c r="C2819" t="s">
        <v>17</v>
      </c>
      <c r="D2819" t="s">
        <v>26</v>
      </c>
      <c r="E2819" t="s">
        <v>53</v>
      </c>
      <c r="F2819" t="s">
        <v>14</v>
      </c>
      <c r="G2819" s="4">
        <v>4</v>
      </c>
      <c r="H2819" s="1">
        <v>54024</v>
      </c>
      <c r="I2819" s="3" t="s">
        <v>15</v>
      </c>
      <c r="J2819" s="4">
        <v>2</v>
      </c>
    </row>
    <row r="2820" spans="1:10" x14ac:dyDescent="0.35">
      <c r="A2820" s="2" t="s">
        <v>2856</v>
      </c>
      <c r="B2820" s="4">
        <v>37</v>
      </c>
      <c r="C2820" t="s">
        <v>17</v>
      </c>
      <c r="D2820" t="s">
        <v>39</v>
      </c>
      <c r="E2820" t="s">
        <v>27</v>
      </c>
      <c r="F2820" t="s">
        <v>14</v>
      </c>
      <c r="G2820" s="4">
        <v>4</v>
      </c>
      <c r="H2820" s="1">
        <v>69653</v>
      </c>
      <c r="I2820" s="3" t="s">
        <v>21</v>
      </c>
      <c r="J2820" s="4">
        <v>3</v>
      </c>
    </row>
    <row r="2821" spans="1:10" x14ac:dyDescent="0.35">
      <c r="A2821" s="2" t="s">
        <v>2857</v>
      </c>
      <c r="B2821" s="4">
        <v>6</v>
      </c>
      <c r="C2821" t="s">
        <v>17</v>
      </c>
      <c r="D2821" t="s">
        <v>33</v>
      </c>
      <c r="E2821" t="s">
        <v>53</v>
      </c>
      <c r="F2821" t="s">
        <v>14</v>
      </c>
      <c r="G2821" s="4">
        <v>10</v>
      </c>
      <c r="H2821" s="1">
        <v>40343</v>
      </c>
      <c r="I2821" s="3" t="s">
        <v>21</v>
      </c>
      <c r="J2821" s="4">
        <v>3</v>
      </c>
    </row>
    <row r="2822" spans="1:10" x14ac:dyDescent="0.35">
      <c r="A2822" s="2" t="s">
        <v>2858</v>
      </c>
      <c r="B2822" s="4">
        <v>80</v>
      </c>
      <c r="C2822" t="s">
        <v>17</v>
      </c>
      <c r="D2822" t="s">
        <v>39</v>
      </c>
      <c r="E2822" t="s">
        <v>37</v>
      </c>
      <c r="F2822" t="s">
        <v>30</v>
      </c>
      <c r="G2822" s="4">
        <v>13</v>
      </c>
      <c r="H2822" s="1">
        <v>9799</v>
      </c>
      <c r="I2822" s="3" t="s">
        <v>21</v>
      </c>
      <c r="J2822" s="4">
        <v>2</v>
      </c>
    </row>
    <row r="2823" spans="1:10" x14ac:dyDescent="0.35">
      <c r="A2823" s="2" t="s">
        <v>2859</v>
      </c>
      <c r="B2823" s="4">
        <v>20</v>
      </c>
      <c r="C2823" t="s">
        <v>11</v>
      </c>
      <c r="D2823" t="s">
        <v>39</v>
      </c>
      <c r="E2823" t="s">
        <v>42</v>
      </c>
      <c r="F2823" t="s">
        <v>30</v>
      </c>
      <c r="G2823" s="4">
        <v>11</v>
      </c>
      <c r="H2823" s="1">
        <v>13656</v>
      </c>
      <c r="I2823" s="3" t="s">
        <v>15</v>
      </c>
      <c r="J2823" s="4">
        <v>1</v>
      </c>
    </row>
    <row r="2824" spans="1:10" x14ac:dyDescent="0.35">
      <c r="A2824" s="2" t="s">
        <v>2860</v>
      </c>
      <c r="B2824" s="4">
        <v>22</v>
      </c>
      <c r="C2824" t="s">
        <v>17</v>
      </c>
      <c r="D2824" t="s">
        <v>12</v>
      </c>
      <c r="E2824" t="s">
        <v>13</v>
      </c>
      <c r="F2824" t="s">
        <v>14</v>
      </c>
      <c r="G2824" s="4">
        <v>10</v>
      </c>
      <c r="H2824" s="1">
        <v>5360</v>
      </c>
      <c r="I2824" s="3" t="s">
        <v>15</v>
      </c>
      <c r="J2824" s="4">
        <v>4</v>
      </c>
    </row>
    <row r="2825" spans="1:10" x14ac:dyDescent="0.35">
      <c r="A2825" s="2" t="s">
        <v>2861</v>
      </c>
      <c r="B2825" s="4">
        <v>53</v>
      </c>
      <c r="C2825" t="s">
        <v>17</v>
      </c>
      <c r="D2825" t="s">
        <v>18</v>
      </c>
      <c r="E2825" t="s">
        <v>42</v>
      </c>
      <c r="F2825" t="s">
        <v>30</v>
      </c>
      <c r="G2825" s="4">
        <v>13</v>
      </c>
      <c r="H2825" s="1">
        <v>93257</v>
      </c>
      <c r="I2825" s="3" t="s">
        <v>15</v>
      </c>
      <c r="J2825" s="4">
        <v>1</v>
      </c>
    </row>
    <row r="2826" spans="1:10" x14ac:dyDescent="0.35">
      <c r="A2826" s="2" t="s">
        <v>2862</v>
      </c>
      <c r="B2826" s="4">
        <v>33</v>
      </c>
      <c r="C2826" t="s">
        <v>17</v>
      </c>
      <c r="D2826" t="s">
        <v>39</v>
      </c>
      <c r="E2826" t="s">
        <v>27</v>
      </c>
      <c r="F2826" t="s">
        <v>20</v>
      </c>
      <c r="G2826" s="4">
        <v>14</v>
      </c>
      <c r="H2826" s="1">
        <v>92370</v>
      </c>
      <c r="I2826" s="3" t="s">
        <v>21</v>
      </c>
      <c r="J2826" s="4">
        <v>2</v>
      </c>
    </row>
    <row r="2827" spans="1:10" x14ac:dyDescent="0.35">
      <c r="A2827" s="2" t="s">
        <v>2863</v>
      </c>
      <c r="B2827" s="4">
        <v>76</v>
      </c>
      <c r="C2827" t="s">
        <v>11</v>
      </c>
      <c r="D2827" t="s">
        <v>36</v>
      </c>
      <c r="E2827" t="s">
        <v>34</v>
      </c>
      <c r="F2827" t="s">
        <v>20</v>
      </c>
      <c r="G2827" s="4">
        <v>1</v>
      </c>
      <c r="H2827" s="1">
        <v>8469</v>
      </c>
      <c r="I2827" s="3" t="s">
        <v>21</v>
      </c>
      <c r="J2827" s="4">
        <v>5</v>
      </c>
    </row>
    <row r="2828" spans="1:10" x14ac:dyDescent="0.35">
      <c r="A2828" s="2" t="s">
        <v>2864</v>
      </c>
      <c r="B2828" s="4">
        <v>34</v>
      </c>
      <c r="C2828" t="s">
        <v>17</v>
      </c>
      <c r="D2828" t="s">
        <v>12</v>
      </c>
      <c r="E2828" t="s">
        <v>37</v>
      </c>
      <c r="F2828" t="s">
        <v>30</v>
      </c>
      <c r="G2828" s="4">
        <v>6</v>
      </c>
      <c r="H2828" s="1">
        <v>17415</v>
      </c>
      <c r="I2828" s="3" t="s">
        <v>15</v>
      </c>
      <c r="J2828" s="4">
        <v>1</v>
      </c>
    </row>
    <row r="2829" spans="1:10" x14ac:dyDescent="0.35">
      <c r="A2829" s="2" t="s">
        <v>2865</v>
      </c>
      <c r="B2829" s="4">
        <v>52</v>
      </c>
      <c r="C2829" t="s">
        <v>17</v>
      </c>
      <c r="D2829" t="s">
        <v>23</v>
      </c>
      <c r="E2829" t="s">
        <v>19</v>
      </c>
      <c r="F2829" t="s">
        <v>14</v>
      </c>
      <c r="G2829" s="4">
        <v>8</v>
      </c>
      <c r="H2829" s="1">
        <v>71906</v>
      </c>
      <c r="I2829" s="3" t="s">
        <v>15</v>
      </c>
      <c r="J2829" s="4">
        <v>5</v>
      </c>
    </row>
    <row r="2830" spans="1:10" x14ac:dyDescent="0.35">
      <c r="A2830" s="2" t="s">
        <v>2866</v>
      </c>
      <c r="B2830" s="4">
        <v>7</v>
      </c>
      <c r="C2830" t="s">
        <v>11</v>
      </c>
      <c r="D2830" t="s">
        <v>12</v>
      </c>
      <c r="E2830" t="s">
        <v>19</v>
      </c>
      <c r="F2830" t="s">
        <v>20</v>
      </c>
      <c r="G2830" s="4">
        <v>4</v>
      </c>
      <c r="H2830" s="1">
        <v>19881</v>
      </c>
      <c r="I2830" s="3" t="s">
        <v>21</v>
      </c>
      <c r="J2830" s="4">
        <v>4</v>
      </c>
    </row>
    <row r="2831" spans="1:10" x14ac:dyDescent="0.35">
      <c r="A2831" s="2" t="s">
        <v>2867</v>
      </c>
      <c r="B2831" s="4">
        <v>48</v>
      </c>
      <c r="C2831" t="s">
        <v>11</v>
      </c>
      <c r="D2831" t="s">
        <v>33</v>
      </c>
      <c r="E2831" t="s">
        <v>53</v>
      </c>
      <c r="F2831" t="s">
        <v>20</v>
      </c>
      <c r="G2831" s="4">
        <v>8</v>
      </c>
      <c r="H2831" s="1">
        <v>36409</v>
      </c>
      <c r="I2831" s="3" t="s">
        <v>15</v>
      </c>
      <c r="J2831" s="4">
        <v>1</v>
      </c>
    </row>
    <row r="2832" spans="1:10" x14ac:dyDescent="0.35">
      <c r="A2832" s="2" t="s">
        <v>2868</v>
      </c>
      <c r="B2832" s="4">
        <v>69</v>
      </c>
      <c r="C2832" t="s">
        <v>11</v>
      </c>
      <c r="D2832" t="s">
        <v>33</v>
      </c>
      <c r="E2832" t="s">
        <v>34</v>
      </c>
      <c r="F2832" t="s">
        <v>14</v>
      </c>
      <c r="G2832" s="4">
        <v>5</v>
      </c>
      <c r="H2832" s="1">
        <v>81434</v>
      </c>
      <c r="I2832" s="3" t="s">
        <v>21</v>
      </c>
      <c r="J2832" s="4">
        <v>4</v>
      </c>
    </row>
    <row r="2833" spans="1:10" x14ac:dyDescent="0.35">
      <c r="A2833" s="2" t="s">
        <v>2869</v>
      </c>
      <c r="B2833" s="4">
        <v>15</v>
      </c>
      <c r="C2833" t="s">
        <v>11</v>
      </c>
      <c r="D2833" t="s">
        <v>23</v>
      </c>
      <c r="E2833" t="s">
        <v>37</v>
      </c>
      <c r="F2833" t="s">
        <v>14</v>
      </c>
      <c r="G2833" s="4">
        <v>7</v>
      </c>
      <c r="H2833" s="1">
        <v>97591</v>
      </c>
      <c r="I2833" s="3" t="s">
        <v>15</v>
      </c>
      <c r="J2833" s="4">
        <v>5</v>
      </c>
    </row>
    <row r="2834" spans="1:10" x14ac:dyDescent="0.35">
      <c r="A2834" s="2" t="s">
        <v>2870</v>
      </c>
      <c r="B2834" s="4">
        <v>17</v>
      </c>
      <c r="C2834" t="s">
        <v>11</v>
      </c>
      <c r="D2834" t="s">
        <v>26</v>
      </c>
      <c r="E2834" t="s">
        <v>27</v>
      </c>
      <c r="F2834" t="s">
        <v>20</v>
      </c>
      <c r="G2834" s="4">
        <v>12</v>
      </c>
      <c r="H2834" s="1">
        <v>58884</v>
      </c>
      <c r="I2834" s="3" t="s">
        <v>15</v>
      </c>
      <c r="J2834" s="4">
        <v>5</v>
      </c>
    </row>
    <row r="2835" spans="1:10" x14ac:dyDescent="0.35">
      <c r="A2835" s="2" t="s">
        <v>2871</v>
      </c>
      <c r="B2835" s="4">
        <v>83</v>
      </c>
      <c r="C2835" t="s">
        <v>11</v>
      </c>
      <c r="D2835" t="s">
        <v>23</v>
      </c>
      <c r="E2835" t="s">
        <v>65</v>
      </c>
      <c r="F2835" t="s">
        <v>14</v>
      </c>
      <c r="G2835" s="4">
        <v>14</v>
      </c>
      <c r="H2835" s="1">
        <v>90018</v>
      </c>
      <c r="I2835" s="3" t="s">
        <v>15</v>
      </c>
      <c r="J2835" s="4">
        <v>4</v>
      </c>
    </row>
    <row r="2836" spans="1:10" x14ac:dyDescent="0.35">
      <c r="A2836" s="2" t="s">
        <v>2872</v>
      </c>
      <c r="B2836" s="4">
        <v>21</v>
      </c>
      <c r="C2836" t="s">
        <v>17</v>
      </c>
      <c r="D2836" t="s">
        <v>12</v>
      </c>
      <c r="E2836" t="s">
        <v>65</v>
      </c>
      <c r="F2836" t="s">
        <v>20</v>
      </c>
      <c r="G2836" s="4">
        <v>4</v>
      </c>
      <c r="H2836" s="1">
        <v>50276</v>
      </c>
      <c r="I2836" s="3" t="s">
        <v>15</v>
      </c>
      <c r="J2836" s="4">
        <v>2</v>
      </c>
    </row>
    <row r="2837" spans="1:10" x14ac:dyDescent="0.35">
      <c r="A2837" s="2" t="s">
        <v>2873</v>
      </c>
      <c r="B2837" s="4">
        <v>2</v>
      </c>
      <c r="C2837" t="s">
        <v>11</v>
      </c>
      <c r="D2837" t="s">
        <v>28</v>
      </c>
      <c r="E2837" t="s">
        <v>37</v>
      </c>
      <c r="F2837" t="s">
        <v>30</v>
      </c>
      <c r="G2837" s="4">
        <v>1</v>
      </c>
      <c r="H2837" s="1">
        <v>73714</v>
      </c>
      <c r="I2837" s="3" t="s">
        <v>21</v>
      </c>
      <c r="J2837" s="4">
        <v>2</v>
      </c>
    </row>
    <row r="2838" spans="1:10" x14ac:dyDescent="0.35">
      <c r="A2838" s="2" t="s">
        <v>2874</v>
      </c>
      <c r="B2838" s="4">
        <v>50</v>
      </c>
      <c r="C2838" t="s">
        <v>11</v>
      </c>
      <c r="D2838" t="s">
        <v>18</v>
      </c>
      <c r="E2838" t="s">
        <v>65</v>
      </c>
      <c r="F2838" t="s">
        <v>30</v>
      </c>
      <c r="G2838" s="4">
        <v>1</v>
      </c>
      <c r="H2838" s="1">
        <v>52690</v>
      </c>
      <c r="I2838" s="3" t="s">
        <v>15</v>
      </c>
      <c r="J2838" s="4">
        <v>2</v>
      </c>
    </row>
    <row r="2839" spans="1:10" x14ac:dyDescent="0.35">
      <c r="A2839" s="2" t="s">
        <v>2875</v>
      </c>
      <c r="B2839" s="4">
        <v>69</v>
      </c>
      <c r="C2839" t="s">
        <v>17</v>
      </c>
      <c r="D2839" t="s">
        <v>28</v>
      </c>
      <c r="E2839" t="s">
        <v>24</v>
      </c>
      <c r="F2839" t="s">
        <v>30</v>
      </c>
      <c r="G2839" s="4">
        <v>15</v>
      </c>
      <c r="H2839" s="1">
        <v>17007</v>
      </c>
      <c r="I2839" s="3" t="s">
        <v>15</v>
      </c>
      <c r="J2839" s="4">
        <v>4</v>
      </c>
    </row>
    <row r="2840" spans="1:10" x14ac:dyDescent="0.35">
      <c r="A2840" s="2" t="s">
        <v>2876</v>
      </c>
      <c r="B2840" s="4">
        <v>85</v>
      </c>
      <c r="C2840" t="s">
        <v>17</v>
      </c>
      <c r="D2840" t="s">
        <v>49</v>
      </c>
      <c r="E2840" t="s">
        <v>27</v>
      </c>
      <c r="F2840" t="s">
        <v>30</v>
      </c>
      <c r="G2840" s="4">
        <v>3</v>
      </c>
      <c r="H2840" s="1">
        <v>62075</v>
      </c>
      <c r="I2840" s="3" t="s">
        <v>15</v>
      </c>
      <c r="J2840" s="4">
        <v>2</v>
      </c>
    </row>
    <row r="2841" spans="1:10" x14ac:dyDescent="0.35">
      <c r="A2841" s="2" t="s">
        <v>2877</v>
      </c>
      <c r="B2841" s="4">
        <v>89</v>
      </c>
      <c r="C2841" t="s">
        <v>17</v>
      </c>
      <c r="D2841" t="s">
        <v>28</v>
      </c>
      <c r="E2841" t="s">
        <v>42</v>
      </c>
      <c r="F2841" t="s">
        <v>20</v>
      </c>
      <c r="G2841" s="4">
        <v>6</v>
      </c>
      <c r="H2841" s="1">
        <v>81289</v>
      </c>
      <c r="I2841" s="3" t="s">
        <v>15</v>
      </c>
      <c r="J2841" s="4">
        <v>2</v>
      </c>
    </row>
    <row r="2842" spans="1:10" x14ac:dyDescent="0.35">
      <c r="A2842" s="2" t="s">
        <v>2878</v>
      </c>
      <c r="B2842" s="4">
        <v>47</v>
      </c>
      <c r="C2842" t="s">
        <v>17</v>
      </c>
      <c r="D2842" t="s">
        <v>49</v>
      </c>
      <c r="E2842" t="s">
        <v>65</v>
      </c>
      <c r="F2842" t="s">
        <v>14</v>
      </c>
      <c r="G2842" s="4">
        <v>6</v>
      </c>
      <c r="H2842" s="1">
        <v>35875</v>
      </c>
      <c r="I2842" s="3" t="s">
        <v>15</v>
      </c>
      <c r="J2842" s="4">
        <v>1</v>
      </c>
    </row>
    <row r="2843" spans="1:10" x14ac:dyDescent="0.35">
      <c r="A2843" s="2" t="s">
        <v>2879</v>
      </c>
      <c r="B2843" s="4">
        <v>85</v>
      </c>
      <c r="C2843" t="s">
        <v>11</v>
      </c>
      <c r="D2843" t="s">
        <v>26</v>
      </c>
      <c r="E2843" t="s">
        <v>65</v>
      </c>
      <c r="F2843" t="s">
        <v>30</v>
      </c>
      <c r="G2843" s="4">
        <v>13</v>
      </c>
      <c r="H2843" s="1">
        <v>9883</v>
      </c>
      <c r="I2843" s="3" t="s">
        <v>15</v>
      </c>
      <c r="J2843" s="4">
        <v>2</v>
      </c>
    </row>
    <row r="2844" spans="1:10" x14ac:dyDescent="0.35">
      <c r="A2844" s="2" t="s">
        <v>2880</v>
      </c>
      <c r="B2844" s="4">
        <v>3</v>
      </c>
      <c r="C2844" t="s">
        <v>17</v>
      </c>
      <c r="D2844" t="s">
        <v>39</v>
      </c>
      <c r="E2844" t="s">
        <v>27</v>
      </c>
      <c r="F2844" t="s">
        <v>14</v>
      </c>
      <c r="G2844" s="4">
        <v>15</v>
      </c>
      <c r="H2844" s="1">
        <v>83013</v>
      </c>
      <c r="I2844" s="3" t="s">
        <v>21</v>
      </c>
      <c r="J2844" s="4">
        <v>4</v>
      </c>
    </row>
    <row r="2845" spans="1:10" x14ac:dyDescent="0.35">
      <c r="A2845" s="2" t="s">
        <v>2881</v>
      </c>
      <c r="B2845" s="4">
        <v>79</v>
      </c>
      <c r="C2845" t="s">
        <v>17</v>
      </c>
      <c r="D2845" t="s">
        <v>26</v>
      </c>
      <c r="E2845" t="s">
        <v>19</v>
      </c>
      <c r="F2845" t="s">
        <v>20</v>
      </c>
      <c r="G2845" s="4">
        <v>12</v>
      </c>
      <c r="H2845" s="1">
        <v>37153</v>
      </c>
      <c r="I2845" s="3" t="s">
        <v>15</v>
      </c>
      <c r="J2845" s="4">
        <v>2</v>
      </c>
    </row>
    <row r="2846" spans="1:10" x14ac:dyDescent="0.35">
      <c r="A2846" s="2" t="s">
        <v>2882</v>
      </c>
      <c r="B2846" s="4">
        <v>45</v>
      </c>
      <c r="C2846" t="s">
        <v>11</v>
      </c>
      <c r="D2846" t="s">
        <v>28</v>
      </c>
      <c r="E2846" t="s">
        <v>42</v>
      </c>
      <c r="F2846" t="s">
        <v>20</v>
      </c>
      <c r="G2846" s="4">
        <v>5</v>
      </c>
      <c r="H2846" s="1">
        <v>96889</v>
      </c>
      <c r="I2846" s="3" t="s">
        <v>21</v>
      </c>
      <c r="J2846" s="4">
        <v>5</v>
      </c>
    </row>
    <row r="2847" spans="1:10" x14ac:dyDescent="0.35">
      <c r="A2847" s="2" t="s">
        <v>2883</v>
      </c>
      <c r="B2847" s="4">
        <v>13</v>
      </c>
      <c r="C2847" t="s">
        <v>11</v>
      </c>
      <c r="D2847" t="s">
        <v>28</v>
      </c>
      <c r="E2847" t="s">
        <v>42</v>
      </c>
      <c r="F2847" t="s">
        <v>30</v>
      </c>
      <c r="G2847" s="4">
        <v>11</v>
      </c>
      <c r="H2847" s="1">
        <v>15968</v>
      </c>
      <c r="I2847" s="3" t="s">
        <v>21</v>
      </c>
      <c r="J2847" s="4">
        <v>3</v>
      </c>
    </row>
    <row r="2848" spans="1:10" x14ac:dyDescent="0.35">
      <c r="A2848" s="2" t="s">
        <v>2884</v>
      </c>
      <c r="B2848" s="4">
        <v>60</v>
      </c>
      <c r="C2848" t="s">
        <v>17</v>
      </c>
      <c r="D2848" t="s">
        <v>18</v>
      </c>
      <c r="E2848" t="s">
        <v>53</v>
      </c>
      <c r="F2848" t="s">
        <v>14</v>
      </c>
      <c r="G2848" s="4">
        <v>14</v>
      </c>
      <c r="H2848" s="1">
        <v>41210</v>
      </c>
      <c r="I2848" s="3" t="s">
        <v>21</v>
      </c>
      <c r="J2848" s="4">
        <v>3</v>
      </c>
    </row>
    <row r="2849" spans="1:10" x14ac:dyDescent="0.35">
      <c r="A2849" s="2" t="s">
        <v>2885</v>
      </c>
      <c r="B2849" s="4">
        <v>4</v>
      </c>
      <c r="C2849" t="s">
        <v>11</v>
      </c>
      <c r="D2849" t="s">
        <v>41</v>
      </c>
      <c r="E2849" t="s">
        <v>13</v>
      </c>
      <c r="F2849" t="s">
        <v>20</v>
      </c>
      <c r="G2849" s="4">
        <v>8</v>
      </c>
      <c r="H2849" s="1">
        <v>76990</v>
      </c>
      <c r="I2849" s="3" t="s">
        <v>15</v>
      </c>
      <c r="J2849" s="4">
        <v>4</v>
      </c>
    </row>
    <row r="2850" spans="1:10" x14ac:dyDescent="0.35">
      <c r="A2850" s="2" t="s">
        <v>2886</v>
      </c>
      <c r="B2850" s="4">
        <v>42</v>
      </c>
      <c r="C2850" t="s">
        <v>17</v>
      </c>
      <c r="D2850" t="s">
        <v>23</v>
      </c>
      <c r="E2850" t="s">
        <v>34</v>
      </c>
      <c r="F2850" t="s">
        <v>20</v>
      </c>
      <c r="G2850" s="4">
        <v>8</v>
      </c>
      <c r="H2850" s="1">
        <v>70231</v>
      </c>
      <c r="I2850" s="3" t="s">
        <v>15</v>
      </c>
      <c r="J2850" s="4">
        <v>3</v>
      </c>
    </row>
    <row r="2851" spans="1:10" x14ac:dyDescent="0.35">
      <c r="A2851" s="2" t="s">
        <v>2887</v>
      </c>
      <c r="B2851" s="4">
        <v>81</v>
      </c>
      <c r="C2851" t="s">
        <v>11</v>
      </c>
      <c r="D2851" t="s">
        <v>36</v>
      </c>
      <c r="E2851" t="s">
        <v>65</v>
      </c>
      <c r="F2851" t="s">
        <v>20</v>
      </c>
      <c r="G2851" s="4">
        <v>11</v>
      </c>
      <c r="H2851" s="1">
        <v>39272</v>
      </c>
      <c r="I2851" s="3" t="s">
        <v>15</v>
      </c>
      <c r="J2851" s="4">
        <v>4</v>
      </c>
    </row>
    <row r="2852" spans="1:10" x14ac:dyDescent="0.35">
      <c r="A2852" s="2" t="s">
        <v>2888</v>
      </c>
      <c r="B2852" s="4">
        <v>41</v>
      </c>
      <c r="C2852" t="s">
        <v>11</v>
      </c>
      <c r="D2852" t="s">
        <v>28</v>
      </c>
      <c r="E2852" t="s">
        <v>37</v>
      </c>
      <c r="F2852" t="s">
        <v>30</v>
      </c>
      <c r="G2852" s="4">
        <v>2</v>
      </c>
      <c r="H2852" s="1">
        <v>31399</v>
      </c>
      <c r="I2852" s="3" t="s">
        <v>15</v>
      </c>
      <c r="J2852" s="4">
        <v>4</v>
      </c>
    </row>
    <row r="2853" spans="1:10" x14ac:dyDescent="0.35">
      <c r="A2853" s="2" t="s">
        <v>2889</v>
      </c>
      <c r="B2853" s="4">
        <v>74</v>
      </c>
      <c r="C2853" t="s">
        <v>11</v>
      </c>
      <c r="D2853" t="s">
        <v>12</v>
      </c>
      <c r="E2853" t="s">
        <v>19</v>
      </c>
      <c r="F2853" t="s">
        <v>20</v>
      </c>
      <c r="G2853" s="4">
        <v>8</v>
      </c>
      <c r="H2853" s="1">
        <v>69005</v>
      </c>
      <c r="I2853" s="3" t="s">
        <v>21</v>
      </c>
      <c r="J2853" s="4">
        <v>2</v>
      </c>
    </row>
    <row r="2854" spans="1:10" x14ac:dyDescent="0.35">
      <c r="A2854" s="2" t="s">
        <v>2890</v>
      </c>
      <c r="B2854" s="4">
        <v>18</v>
      </c>
      <c r="C2854" t="s">
        <v>17</v>
      </c>
      <c r="D2854" t="s">
        <v>33</v>
      </c>
      <c r="E2854" t="s">
        <v>65</v>
      </c>
      <c r="F2854" t="s">
        <v>14</v>
      </c>
      <c r="G2854" s="4">
        <v>13</v>
      </c>
      <c r="H2854" s="1">
        <v>34226</v>
      </c>
      <c r="I2854" s="3" t="s">
        <v>15</v>
      </c>
      <c r="J2854" s="4">
        <v>2</v>
      </c>
    </row>
    <row r="2855" spans="1:10" x14ac:dyDescent="0.35">
      <c r="A2855" s="2" t="s">
        <v>2891</v>
      </c>
      <c r="B2855" s="4">
        <v>18</v>
      </c>
      <c r="C2855" t="s">
        <v>11</v>
      </c>
      <c r="D2855" t="s">
        <v>23</v>
      </c>
      <c r="E2855" t="s">
        <v>65</v>
      </c>
      <c r="F2855" t="s">
        <v>30</v>
      </c>
      <c r="G2855" s="4">
        <v>1</v>
      </c>
      <c r="H2855" s="1">
        <v>13720</v>
      </c>
      <c r="I2855" s="3" t="s">
        <v>15</v>
      </c>
      <c r="J2855" s="4">
        <v>5</v>
      </c>
    </row>
    <row r="2856" spans="1:10" x14ac:dyDescent="0.35">
      <c r="A2856" s="2" t="s">
        <v>2892</v>
      </c>
      <c r="B2856" s="4">
        <v>64</v>
      </c>
      <c r="C2856" t="s">
        <v>17</v>
      </c>
      <c r="D2856" t="s">
        <v>36</v>
      </c>
      <c r="E2856" t="s">
        <v>13</v>
      </c>
      <c r="F2856" t="s">
        <v>30</v>
      </c>
      <c r="G2856" s="4">
        <v>12</v>
      </c>
      <c r="H2856" s="1">
        <v>17207</v>
      </c>
      <c r="I2856" s="3" t="s">
        <v>15</v>
      </c>
      <c r="J2856" s="4">
        <v>5</v>
      </c>
    </row>
    <row r="2857" spans="1:10" x14ac:dyDescent="0.35">
      <c r="A2857" s="2" t="s">
        <v>2893</v>
      </c>
      <c r="B2857" s="4">
        <v>30</v>
      </c>
      <c r="C2857" t="s">
        <v>11</v>
      </c>
      <c r="D2857" t="s">
        <v>33</v>
      </c>
      <c r="E2857" t="s">
        <v>24</v>
      </c>
      <c r="F2857" t="s">
        <v>14</v>
      </c>
      <c r="G2857" s="4">
        <v>15</v>
      </c>
      <c r="H2857" s="1">
        <v>58147</v>
      </c>
      <c r="I2857" s="3" t="s">
        <v>15</v>
      </c>
      <c r="J2857" s="4">
        <v>3</v>
      </c>
    </row>
    <row r="2858" spans="1:10" x14ac:dyDescent="0.35">
      <c r="A2858" s="2" t="s">
        <v>2894</v>
      </c>
      <c r="B2858" s="4">
        <v>8</v>
      </c>
      <c r="C2858" t="s">
        <v>11</v>
      </c>
      <c r="D2858" t="s">
        <v>33</v>
      </c>
      <c r="E2858" t="s">
        <v>65</v>
      </c>
      <c r="F2858" t="s">
        <v>14</v>
      </c>
      <c r="G2858" s="4">
        <v>7</v>
      </c>
      <c r="H2858" s="1">
        <v>97646</v>
      </c>
      <c r="I2858" s="3" t="s">
        <v>21</v>
      </c>
      <c r="J2858" s="4">
        <v>2</v>
      </c>
    </row>
    <row r="2859" spans="1:10" x14ac:dyDescent="0.35">
      <c r="A2859" s="2" t="s">
        <v>2895</v>
      </c>
      <c r="B2859" s="4">
        <v>35</v>
      </c>
      <c r="C2859" t="s">
        <v>17</v>
      </c>
      <c r="D2859" t="s">
        <v>28</v>
      </c>
      <c r="E2859" t="s">
        <v>13</v>
      </c>
      <c r="F2859" t="s">
        <v>30</v>
      </c>
      <c r="G2859" s="4">
        <v>8</v>
      </c>
      <c r="H2859" s="1">
        <v>22719</v>
      </c>
      <c r="I2859" s="3" t="s">
        <v>15</v>
      </c>
      <c r="J2859" s="4">
        <v>4</v>
      </c>
    </row>
    <row r="2860" spans="1:10" x14ac:dyDescent="0.35">
      <c r="A2860" s="2" t="s">
        <v>2896</v>
      </c>
      <c r="B2860" s="4">
        <v>33</v>
      </c>
      <c r="C2860" t="s">
        <v>11</v>
      </c>
      <c r="D2860" t="s">
        <v>18</v>
      </c>
      <c r="E2860" t="s">
        <v>29</v>
      </c>
      <c r="F2860" t="s">
        <v>20</v>
      </c>
      <c r="G2860" s="4">
        <v>14</v>
      </c>
      <c r="H2860" s="1">
        <v>27477</v>
      </c>
      <c r="I2860" s="3" t="s">
        <v>15</v>
      </c>
      <c r="J2860" s="4">
        <v>2</v>
      </c>
    </row>
    <row r="2861" spans="1:10" x14ac:dyDescent="0.35">
      <c r="A2861" s="2" t="s">
        <v>2897</v>
      </c>
      <c r="B2861" s="4">
        <v>57</v>
      </c>
      <c r="C2861" t="s">
        <v>11</v>
      </c>
      <c r="D2861" t="s">
        <v>49</v>
      </c>
      <c r="E2861" t="s">
        <v>27</v>
      </c>
      <c r="F2861" t="s">
        <v>14</v>
      </c>
      <c r="G2861" s="4">
        <v>1</v>
      </c>
      <c r="H2861" s="1">
        <v>71451</v>
      </c>
      <c r="I2861" s="3" t="s">
        <v>15</v>
      </c>
      <c r="J2861" s="4">
        <v>5</v>
      </c>
    </row>
    <row r="2862" spans="1:10" x14ac:dyDescent="0.35">
      <c r="A2862" s="2" t="s">
        <v>2898</v>
      </c>
      <c r="B2862" s="4">
        <v>16</v>
      </c>
      <c r="C2862" t="s">
        <v>17</v>
      </c>
      <c r="D2862" t="s">
        <v>36</v>
      </c>
      <c r="E2862" t="s">
        <v>29</v>
      </c>
      <c r="F2862" t="s">
        <v>14</v>
      </c>
      <c r="G2862" s="4">
        <v>9</v>
      </c>
      <c r="H2862" s="1">
        <v>43975</v>
      </c>
      <c r="I2862" s="3" t="s">
        <v>21</v>
      </c>
      <c r="J2862" s="4">
        <v>2</v>
      </c>
    </row>
    <row r="2863" spans="1:10" x14ac:dyDescent="0.35">
      <c r="A2863" s="2" t="s">
        <v>2899</v>
      </c>
      <c r="B2863" s="4">
        <v>83</v>
      </c>
      <c r="C2863" t="s">
        <v>17</v>
      </c>
      <c r="D2863" t="s">
        <v>33</v>
      </c>
      <c r="E2863" t="s">
        <v>37</v>
      </c>
      <c r="F2863" t="s">
        <v>20</v>
      </c>
      <c r="G2863" s="4">
        <v>7</v>
      </c>
      <c r="H2863" s="1">
        <v>52458</v>
      </c>
      <c r="I2863" s="3" t="s">
        <v>15</v>
      </c>
      <c r="J2863" s="4">
        <v>1</v>
      </c>
    </row>
    <row r="2864" spans="1:10" x14ac:dyDescent="0.35">
      <c r="A2864" s="2" t="s">
        <v>2900</v>
      </c>
      <c r="B2864" s="4">
        <v>74</v>
      </c>
      <c r="C2864" t="s">
        <v>11</v>
      </c>
      <c r="D2864" t="s">
        <v>18</v>
      </c>
      <c r="E2864" t="s">
        <v>42</v>
      </c>
      <c r="F2864" t="s">
        <v>30</v>
      </c>
      <c r="G2864" s="4">
        <v>9</v>
      </c>
      <c r="H2864" s="1">
        <v>35215</v>
      </c>
      <c r="I2864" s="3" t="s">
        <v>21</v>
      </c>
      <c r="J2864" s="4">
        <v>4</v>
      </c>
    </row>
    <row r="2865" spans="1:10" x14ac:dyDescent="0.35">
      <c r="A2865" s="2" t="s">
        <v>2901</v>
      </c>
      <c r="B2865" s="4">
        <v>87</v>
      </c>
      <c r="C2865" t="s">
        <v>11</v>
      </c>
      <c r="D2865" t="s">
        <v>28</v>
      </c>
      <c r="E2865" t="s">
        <v>34</v>
      </c>
      <c r="F2865" t="s">
        <v>30</v>
      </c>
      <c r="G2865" s="4">
        <v>10</v>
      </c>
      <c r="H2865" s="1">
        <v>86638</v>
      </c>
      <c r="I2865" s="3" t="s">
        <v>15</v>
      </c>
      <c r="J2865" s="4">
        <v>5</v>
      </c>
    </row>
    <row r="2866" spans="1:10" x14ac:dyDescent="0.35">
      <c r="A2866" s="2" t="s">
        <v>2902</v>
      </c>
      <c r="B2866" s="4">
        <v>90</v>
      </c>
      <c r="C2866" t="s">
        <v>17</v>
      </c>
      <c r="D2866" t="s">
        <v>49</v>
      </c>
      <c r="E2866" t="s">
        <v>53</v>
      </c>
      <c r="F2866" t="s">
        <v>20</v>
      </c>
      <c r="G2866" s="4">
        <v>7</v>
      </c>
      <c r="H2866" s="1">
        <v>59612</v>
      </c>
      <c r="I2866" s="3" t="s">
        <v>15</v>
      </c>
      <c r="J2866" s="4">
        <v>4</v>
      </c>
    </row>
    <row r="2867" spans="1:10" x14ac:dyDescent="0.35">
      <c r="A2867" s="2" t="s">
        <v>2903</v>
      </c>
      <c r="B2867" s="4">
        <v>46</v>
      </c>
      <c r="C2867" t="s">
        <v>17</v>
      </c>
      <c r="D2867" t="s">
        <v>12</v>
      </c>
      <c r="E2867" t="s">
        <v>34</v>
      </c>
      <c r="F2867" t="s">
        <v>14</v>
      </c>
      <c r="G2867" s="4">
        <v>8</v>
      </c>
      <c r="H2867" s="1">
        <v>47263</v>
      </c>
      <c r="I2867" s="3" t="s">
        <v>15</v>
      </c>
      <c r="J2867" s="4">
        <v>1</v>
      </c>
    </row>
    <row r="2868" spans="1:10" x14ac:dyDescent="0.35">
      <c r="A2868" s="2" t="s">
        <v>2904</v>
      </c>
      <c r="B2868" s="4">
        <v>78</v>
      </c>
      <c r="C2868" t="s">
        <v>17</v>
      </c>
      <c r="D2868" t="s">
        <v>18</v>
      </c>
      <c r="E2868" t="s">
        <v>27</v>
      </c>
      <c r="F2868" t="s">
        <v>30</v>
      </c>
      <c r="G2868" s="4">
        <v>2</v>
      </c>
      <c r="H2868" s="1">
        <v>7320</v>
      </c>
      <c r="I2868" s="3" t="s">
        <v>21</v>
      </c>
      <c r="J2868" s="4">
        <v>2</v>
      </c>
    </row>
    <row r="2869" spans="1:10" x14ac:dyDescent="0.35">
      <c r="A2869" s="2" t="s">
        <v>2905</v>
      </c>
      <c r="B2869" s="4">
        <v>82</v>
      </c>
      <c r="C2869" t="s">
        <v>11</v>
      </c>
      <c r="D2869" t="s">
        <v>26</v>
      </c>
      <c r="E2869" t="s">
        <v>53</v>
      </c>
      <c r="F2869" t="s">
        <v>20</v>
      </c>
      <c r="G2869" s="4">
        <v>5</v>
      </c>
      <c r="H2869" s="1">
        <v>92279</v>
      </c>
      <c r="I2869" s="3" t="s">
        <v>21</v>
      </c>
      <c r="J2869" s="4">
        <v>5</v>
      </c>
    </row>
    <row r="2870" spans="1:10" x14ac:dyDescent="0.35">
      <c r="A2870" s="2" t="s">
        <v>2906</v>
      </c>
      <c r="B2870" s="4">
        <v>10</v>
      </c>
      <c r="C2870" t="s">
        <v>17</v>
      </c>
      <c r="D2870" t="s">
        <v>18</v>
      </c>
      <c r="E2870" t="s">
        <v>29</v>
      </c>
      <c r="F2870" t="s">
        <v>20</v>
      </c>
      <c r="G2870" s="4">
        <v>10</v>
      </c>
      <c r="H2870" s="1">
        <v>6897</v>
      </c>
      <c r="I2870" s="3" t="s">
        <v>21</v>
      </c>
      <c r="J2870" s="4">
        <v>4</v>
      </c>
    </row>
    <row r="2871" spans="1:10" x14ac:dyDescent="0.35">
      <c r="A2871" s="2" t="s">
        <v>2907</v>
      </c>
      <c r="B2871" s="4">
        <v>59</v>
      </c>
      <c r="C2871" t="s">
        <v>17</v>
      </c>
      <c r="D2871" t="s">
        <v>41</v>
      </c>
      <c r="E2871" t="s">
        <v>13</v>
      </c>
      <c r="F2871" t="s">
        <v>20</v>
      </c>
      <c r="G2871" s="4">
        <v>14</v>
      </c>
      <c r="H2871" s="1">
        <v>97868</v>
      </c>
      <c r="I2871" s="3" t="s">
        <v>15</v>
      </c>
      <c r="J2871" s="4">
        <v>1</v>
      </c>
    </row>
    <row r="2872" spans="1:10" x14ac:dyDescent="0.35">
      <c r="A2872" s="2" t="s">
        <v>2908</v>
      </c>
      <c r="B2872" s="4">
        <v>27</v>
      </c>
      <c r="C2872" t="s">
        <v>17</v>
      </c>
      <c r="D2872" t="s">
        <v>18</v>
      </c>
      <c r="E2872" t="s">
        <v>24</v>
      </c>
      <c r="F2872" t="s">
        <v>20</v>
      </c>
      <c r="G2872" s="4">
        <v>10</v>
      </c>
      <c r="H2872" s="1">
        <v>75936</v>
      </c>
      <c r="I2872" s="3" t="s">
        <v>15</v>
      </c>
      <c r="J2872" s="4">
        <v>2</v>
      </c>
    </row>
    <row r="2873" spans="1:10" x14ac:dyDescent="0.35">
      <c r="A2873" s="2" t="s">
        <v>2909</v>
      </c>
      <c r="B2873" s="4">
        <v>72</v>
      </c>
      <c r="C2873" t="s">
        <v>11</v>
      </c>
      <c r="D2873" t="s">
        <v>33</v>
      </c>
      <c r="E2873" t="s">
        <v>27</v>
      </c>
      <c r="F2873" t="s">
        <v>20</v>
      </c>
      <c r="G2873" s="4">
        <v>10</v>
      </c>
      <c r="H2873" s="1">
        <v>83473</v>
      </c>
      <c r="I2873" s="3" t="s">
        <v>21</v>
      </c>
      <c r="J2873" s="4">
        <v>3</v>
      </c>
    </row>
    <row r="2874" spans="1:10" x14ac:dyDescent="0.35">
      <c r="A2874" s="2" t="s">
        <v>2910</v>
      </c>
      <c r="B2874" s="4">
        <v>5</v>
      </c>
      <c r="C2874" t="s">
        <v>11</v>
      </c>
      <c r="D2874" t="s">
        <v>26</v>
      </c>
      <c r="E2874" t="s">
        <v>42</v>
      </c>
      <c r="F2874" t="s">
        <v>30</v>
      </c>
      <c r="G2874" s="4">
        <v>5</v>
      </c>
      <c r="H2874" s="1">
        <v>84630</v>
      </c>
      <c r="I2874" s="3" t="s">
        <v>21</v>
      </c>
      <c r="J2874" s="4">
        <v>3</v>
      </c>
    </row>
    <row r="2875" spans="1:10" x14ac:dyDescent="0.35">
      <c r="A2875" s="2" t="s">
        <v>2911</v>
      </c>
      <c r="B2875" s="4">
        <v>13</v>
      </c>
      <c r="C2875" t="s">
        <v>11</v>
      </c>
      <c r="D2875" t="s">
        <v>39</v>
      </c>
      <c r="E2875" t="s">
        <v>65</v>
      </c>
      <c r="F2875" t="s">
        <v>20</v>
      </c>
      <c r="G2875" s="4">
        <v>3</v>
      </c>
      <c r="H2875" s="1">
        <v>7729</v>
      </c>
      <c r="I2875" s="3" t="s">
        <v>21</v>
      </c>
      <c r="J2875" s="4">
        <v>5</v>
      </c>
    </row>
    <row r="2876" spans="1:10" x14ac:dyDescent="0.35">
      <c r="A2876" s="2" t="s">
        <v>2912</v>
      </c>
      <c r="B2876" s="4">
        <v>50</v>
      </c>
      <c r="C2876" t="s">
        <v>17</v>
      </c>
      <c r="D2876" t="s">
        <v>33</v>
      </c>
      <c r="E2876" t="s">
        <v>24</v>
      </c>
      <c r="F2876" t="s">
        <v>30</v>
      </c>
      <c r="G2876" s="4">
        <v>7</v>
      </c>
      <c r="H2876" s="1">
        <v>46031</v>
      </c>
      <c r="I2876" s="3" t="s">
        <v>15</v>
      </c>
      <c r="J2876" s="4">
        <v>5</v>
      </c>
    </row>
    <row r="2877" spans="1:10" x14ac:dyDescent="0.35">
      <c r="A2877" s="2" t="s">
        <v>2913</v>
      </c>
      <c r="B2877" s="4">
        <v>89</v>
      </c>
      <c r="C2877" t="s">
        <v>17</v>
      </c>
      <c r="D2877" t="s">
        <v>33</v>
      </c>
      <c r="E2877" t="s">
        <v>19</v>
      </c>
      <c r="F2877" t="s">
        <v>30</v>
      </c>
      <c r="G2877" s="4">
        <v>12</v>
      </c>
      <c r="H2877" s="1">
        <v>48731</v>
      </c>
      <c r="I2877" s="3" t="s">
        <v>15</v>
      </c>
      <c r="J2877" s="4">
        <v>5</v>
      </c>
    </row>
    <row r="2878" spans="1:10" x14ac:dyDescent="0.35">
      <c r="A2878" s="2" t="s">
        <v>2914</v>
      </c>
      <c r="B2878" s="4">
        <v>86</v>
      </c>
      <c r="C2878" t="s">
        <v>11</v>
      </c>
      <c r="D2878" t="s">
        <v>36</v>
      </c>
      <c r="E2878" t="s">
        <v>19</v>
      </c>
      <c r="F2878" t="s">
        <v>30</v>
      </c>
      <c r="G2878" s="4">
        <v>9</v>
      </c>
      <c r="H2878" s="1">
        <v>12914</v>
      </c>
      <c r="I2878" s="3" t="s">
        <v>21</v>
      </c>
      <c r="J2878" s="4">
        <v>4</v>
      </c>
    </row>
    <row r="2879" spans="1:10" x14ac:dyDescent="0.35">
      <c r="A2879" s="2" t="s">
        <v>2915</v>
      </c>
      <c r="B2879" s="4">
        <v>4</v>
      </c>
      <c r="C2879" t="s">
        <v>17</v>
      </c>
      <c r="D2879" t="s">
        <v>26</v>
      </c>
      <c r="E2879" t="s">
        <v>27</v>
      </c>
      <c r="F2879" t="s">
        <v>14</v>
      </c>
      <c r="G2879" s="4">
        <v>4</v>
      </c>
      <c r="H2879" s="1">
        <v>28404</v>
      </c>
      <c r="I2879" s="3" t="s">
        <v>15</v>
      </c>
      <c r="J2879" s="4">
        <v>5</v>
      </c>
    </row>
    <row r="2880" spans="1:10" x14ac:dyDescent="0.35">
      <c r="A2880" s="2" t="s">
        <v>2916</v>
      </c>
      <c r="B2880" s="4">
        <v>34</v>
      </c>
      <c r="C2880" t="s">
        <v>17</v>
      </c>
      <c r="D2880" t="s">
        <v>12</v>
      </c>
      <c r="E2880" t="s">
        <v>13</v>
      </c>
      <c r="F2880" t="s">
        <v>30</v>
      </c>
      <c r="G2880" s="4">
        <v>13</v>
      </c>
      <c r="H2880" s="1">
        <v>94062</v>
      </c>
      <c r="I2880" s="3" t="s">
        <v>15</v>
      </c>
      <c r="J2880" s="4">
        <v>1</v>
      </c>
    </row>
    <row r="2881" spans="1:10" x14ac:dyDescent="0.35">
      <c r="A2881" s="2" t="s">
        <v>2917</v>
      </c>
      <c r="B2881" s="4">
        <v>87</v>
      </c>
      <c r="C2881" t="s">
        <v>17</v>
      </c>
      <c r="D2881" t="s">
        <v>12</v>
      </c>
      <c r="E2881" t="s">
        <v>37</v>
      </c>
      <c r="F2881" t="s">
        <v>20</v>
      </c>
      <c r="G2881" s="4">
        <v>4</v>
      </c>
      <c r="H2881" s="1">
        <v>14418</v>
      </c>
      <c r="I2881" s="3" t="s">
        <v>21</v>
      </c>
      <c r="J2881" s="4">
        <v>2</v>
      </c>
    </row>
    <row r="2882" spans="1:10" x14ac:dyDescent="0.35">
      <c r="A2882" s="2" t="s">
        <v>2918</v>
      </c>
      <c r="B2882" s="4">
        <v>3</v>
      </c>
      <c r="C2882" t="s">
        <v>17</v>
      </c>
      <c r="D2882" t="s">
        <v>33</v>
      </c>
      <c r="E2882" t="s">
        <v>27</v>
      </c>
      <c r="F2882" t="s">
        <v>30</v>
      </c>
      <c r="G2882" s="4">
        <v>6</v>
      </c>
      <c r="H2882" s="1">
        <v>93852</v>
      </c>
      <c r="I2882" s="3" t="s">
        <v>21</v>
      </c>
      <c r="J2882" s="4">
        <v>1</v>
      </c>
    </row>
    <row r="2883" spans="1:10" x14ac:dyDescent="0.35">
      <c r="A2883" s="2" t="s">
        <v>2919</v>
      </c>
      <c r="B2883" s="4">
        <v>83</v>
      </c>
      <c r="C2883" t="s">
        <v>11</v>
      </c>
      <c r="D2883" t="s">
        <v>39</v>
      </c>
      <c r="E2883" t="s">
        <v>29</v>
      </c>
      <c r="F2883" t="s">
        <v>30</v>
      </c>
      <c r="G2883" s="4">
        <v>5</v>
      </c>
      <c r="H2883" s="1">
        <v>35437</v>
      </c>
      <c r="I2883" s="3" t="s">
        <v>15</v>
      </c>
      <c r="J2883" s="4">
        <v>2</v>
      </c>
    </row>
    <row r="2884" spans="1:10" x14ac:dyDescent="0.35">
      <c r="A2884" s="2" t="s">
        <v>2920</v>
      </c>
      <c r="B2884" s="4">
        <v>13</v>
      </c>
      <c r="C2884" t="s">
        <v>11</v>
      </c>
      <c r="D2884" t="s">
        <v>28</v>
      </c>
      <c r="E2884" t="s">
        <v>27</v>
      </c>
      <c r="F2884" t="s">
        <v>14</v>
      </c>
      <c r="G2884" s="4">
        <v>11</v>
      </c>
      <c r="H2884" s="1">
        <v>64239</v>
      </c>
      <c r="I2884" s="3" t="s">
        <v>15</v>
      </c>
      <c r="J2884" s="4">
        <v>3</v>
      </c>
    </row>
    <row r="2885" spans="1:10" x14ac:dyDescent="0.35">
      <c r="A2885" s="2" t="s">
        <v>2921</v>
      </c>
      <c r="B2885" s="4">
        <v>52</v>
      </c>
      <c r="C2885" t="s">
        <v>11</v>
      </c>
      <c r="D2885" t="s">
        <v>28</v>
      </c>
      <c r="E2885" t="s">
        <v>37</v>
      </c>
      <c r="F2885" t="s">
        <v>14</v>
      </c>
      <c r="G2885" s="4">
        <v>9</v>
      </c>
      <c r="H2885" s="1">
        <v>74910</v>
      </c>
      <c r="I2885" s="3" t="s">
        <v>21</v>
      </c>
      <c r="J2885" s="4">
        <v>4</v>
      </c>
    </row>
    <row r="2886" spans="1:10" x14ac:dyDescent="0.35">
      <c r="A2886" s="2" t="s">
        <v>2922</v>
      </c>
      <c r="B2886" s="4">
        <v>32</v>
      </c>
      <c r="C2886" t="s">
        <v>17</v>
      </c>
      <c r="D2886" t="s">
        <v>18</v>
      </c>
      <c r="E2886" t="s">
        <v>65</v>
      </c>
      <c r="F2886" t="s">
        <v>30</v>
      </c>
      <c r="G2886" s="4">
        <v>1</v>
      </c>
      <c r="H2886" s="1">
        <v>51095</v>
      </c>
      <c r="I2886" s="3" t="s">
        <v>21</v>
      </c>
      <c r="J2886" s="4">
        <v>4</v>
      </c>
    </row>
    <row r="2887" spans="1:10" x14ac:dyDescent="0.35">
      <c r="A2887" s="2" t="s">
        <v>2923</v>
      </c>
      <c r="B2887" s="4">
        <v>90</v>
      </c>
      <c r="C2887" t="s">
        <v>11</v>
      </c>
      <c r="D2887" t="s">
        <v>28</v>
      </c>
      <c r="E2887" t="s">
        <v>34</v>
      </c>
      <c r="F2887" t="s">
        <v>30</v>
      </c>
      <c r="G2887" s="4">
        <v>4</v>
      </c>
      <c r="H2887" s="1">
        <v>42654</v>
      </c>
      <c r="I2887" s="3" t="s">
        <v>15</v>
      </c>
      <c r="J2887" s="4">
        <v>3</v>
      </c>
    </row>
    <row r="2888" spans="1:10" x14ac:dyDescent="0.35">
      <c r="A2888" s="2" t="s">
        <v>2924</v>
      </c>
      <c r="B2888" s="4">
        <v>9</v>
      </c>
      <c r="C2888" t="s">
        <v>17</v>
      </c>
      <c r="D2888" t="s">
        <v>33</v>
      </c>
      <c r="E2888" t="s">
        <v>24</v>
      </c>
      <c r="F2888" t="s">
        <v>20</v>
      </c>
      <c r="G2888" s="4">
        <v>5</v>
      </c>
      <c r="H2888" s="1">
        <v>80651</v>
      </c>
      <c r="I2888" s="3" t="s">
        <v>21</v>
      </c>
      <c r="J2888" s="4">
        <v>3</v>
      </c>
    </row>
    <row r="2889" spans="1:10" x14ac:dyDescent="0.35">
      <c r="A2889" s="2" t="s">
        <v>2925</v>
      </c>
      <c r="B2889" s="4">
        <v>1</v>
      </c>
      <c r="C2889" t="s">
        <v>11</v>
      </c>
      <c r="D2889" t="s">
        <v>28</v>
      </c>
      <c r="E2889" t="s">
        <v>29</v>
      </c>
      <c r="F2889" t="s">
        <v>30</v>
      </c>
      <c r="G2889" s="4">
        <v>6</v>
      </c>
      <c r="H2889" s="1">
        <v>31944</v>
      </c>
      <c r="I2889" s="3" t="s">
        <v>21</v>
      </c>
      <c r="J2889" s="4">
        <v>3</v>
      </c>
    </row>
    <row r="2890" spans="1:10" x14ac:dyDescent="0.35">
      <c r="A2890" s="2" t="s">
        <v>2926</v>
      </c>
      <c r="B2890" s="4">
        <v>6</v>
      </c>
      <c r="C2890" t="s">
        <v>11</v>
      </c>
      <c r="D2890" t="s">
        <v>41</v>
      </c>
      <c r="E2890" t="s">
        <v>42</v>
      </c>
      <c r="F2890" t="s">
        <v>30</v>
      </c>
      <c r="G2890" s="4">
        <v>4</v>
      </c>
      <c r="H2890" s="1">
        <v>69581</v>
      </c>
      <c r="I2890" s="3" t="s">
        <v>15</v>
      </c>
      <c r="J2890" s="4">
        <v>3</v>
      </c>
    </row>
    <row r="2891" spans="1:10" x14ac:dyDescent="0.35">
      <c r="A2891" s="2" t="s">
        <v>2927</v>
      </c>
      <c r="B2891" s="4">
        <v>13</v>
      </c>
      <c r="C2891" t="s">
        <v>17</v>
      </c>
      <c r="D2891" t="s">
        <v>36</v>
      </c>
      <c r="E2891" t="s">
        <v>19</v>
      </c>
      <c r="F2891" t="s">
        <v>14</v>
      </c>
      <c r="G2891" s="4">
        <v>9</v>
      </c>
      <c r="H2891" s="1">
        <v>32032</v>
      </c>
      <c r="I2891" s="3" t="s">
        <v>21</v>
      </c>
      <c r="J2891" s="4">
        <v>5</v>
      </c>
    </row>
    <row r="2892" spans="1:10" x14ac:dyDescent="0.35">
      <c r="A2892" s="2" t="s">
        <v>2928</v>
      </c>
      <c r="B2892" s="4">
        <v>68</v>
      </c>
      <c r="C2892" t="s">
        <v>17</v>
      </c>
      <c r="D2892" t="s">
        <v>41</v>
      </c>
      <c r="E2892" t="s">
        <v>24</v>
      </c>
      <c r="F2892" t="s">
        <v>20</v>
      </c>
      <c r="G2892" s="4">
        <v>9</v>
      </c>
      <c r="H2892" s="1">
        <v>39241</v>
      </c>
      <c r="I2892" s="3" t="s">
        <v>15</v>
      </c>
      <c r="J2892" s="4">
        <v>4</v>
      </c>
    </row>
    <row r="2893" spans="1:10" x14ac:dyDescent="0.35">
      <c r="A2893" s="2" t="s">
        <v>2929</v>
      </c>
      <c r="B2893" s="4">
        <v>50</v>
      </c>
      <c r="C2893" t="s">
        <v>17</v>
      </c>
      <c r="D2893" t="s">
        <v>39</v>
      </c>
      <c r="E2893" t="s">
        <v>27</v>
      </c>
      <c r="F2893" t="s">
        <v>30</v>
      </c>
      <c r="G2893" s="4">
        <v>5</v>
      </c>
      <c r="H2893" s="1">
        <v>97240</v>
      </c>
      <c r="I2893" s="3" t="s">
        <v>21</v>
      </c>
      <c r="J2893" s="4">
        <v>5</v>
      </c>
    </row>
    <row r="2894" spans="1:10" x14ac:dyDescent="0.35">
      <c r="A2894" s="2" t="s">
        <v>2930</v>
      </c>
      <c r="B2894" s="4">
        <v>44</v>
      </c>
      <c r="C2894" t="s">
        <v>17</v>
      </c>
      <c r="D2894" t="s">
        <v>26</v>
      </c>
      <c r="E2894" t="s">
        <v>24</v>
      </c>
      <c r="F2894" t="s">
        <v>20</v>
      </c>
      <c r="G2894" s="4">
        <v>14</v>
      </c>
      <c r="H2894" s="1">
        <v>22545</v>
      </c>
      <c r="I2894" s="3" t="s">
        <v>15</v>
      </c>
      <c r="J2894" s="4">
        <v>3</v>
      </c>
    </row>
    <row r="2895" spans="1:10" x14ac:dyDescent="0.35">
      <c r="A2895" s="2" t="s">
        <v>2931</v>
      </c>
      <c r="B2895" s="4">
        <v>43</v>
      </c>
      <c r="C2895" t="s">
        <v>17</v>
      </c>
      <c r="D2895" t="s">
        <v>33</v>
      </c>
      <c r="E2895" t="s">
        <v>24</v>
      </c>
      <c r="F2895" t="s">
        <v>14</v>
      </c>
      <c r="G2895" s="4">
        <v>4</v>
      </c>
      <c r="H2895" s="1">
        <v>22698</v>
      </c>
      <c r="I2895" s="3" t="s">
        <v>15</v>
      </c>
      <c r="J2895" s="4">
        <v>3</v>
      </c>
    </row>
    <row r="2896" spans="1:10" x14ac:dyDescent="0.35">
      <c r="A2896" s="2" t="s">
        <v>2932</v>
      </c>
      <c r="B2896" s="4">
        <v>57</v>
      </c>
      <c r="C2896" t="s">
        <v>17</v>
      </c>
      <c r="D2896" t="s">
        <v>39</v>
      </c>
      <c r="E2896" t="s">
        <v>65</v>
      </c>
      <c r="F2896" t="s">
        <v>20</v>
      </c>
      <c r="G2896" s="4">
        <v>5</v>
      </c>
      <c r="H2896" s="1">
        <v>78635</v>
      </c>
      <c r="I2896" s="3" t="s">
        <v>15</v>
      </c>
      <c r="J2896" s="4">
        <v>2</v>
      </c>
    </row>
    <row r="2897" spans="1:10" x14ac:dyDescent="0.35">
      <c r="A2897" s="2" t="s">
        <v>2933</v>
      </c>
      <c r="B2897" s="4">
        <v>71</v>
      </c>
      <c r="C2897" t="s">
        <v>11</v>
      </c>
      <c r="D2897" t="s">
        <v>41</v>
      </c>
      <c r="E2897" t="s">
        <v>53</v>
      </c>
      <c r="F2897" t="s">
        <v>30</v>
      </c>
      <c r="G2897" s="4">
        <v>13</v>
      </c>
      <c r="H2897" s="1">
        <v>38116</v>
      </c>
      <c r="I2897" s="3" t="s">
        <v>21</v>
      </c>
      <c r="J2897" s="4">
        <v>5</v>
      </c>
    </row>
    <row r="2898" spans="1:10" x14ac:dyDescent="0.35">
      <c r="A2898" s="2" t="s">
        <v>2934</v>
      </c>
      <c r="B2898" s="4">
        <v>90</v>
      </c>
      <c r="C2898" t="s">
        <v>17</v>
      </c>
      <c r="D2898" t="s">
        <v>49</v>
      </c>
      <c r="E2898" t="s">
        <v>27</v>
      </c>
      <c r="F2898" t="s">
        <v>14</v>
      </c>
      <c r="G2898" s="4">
        <v>3</v>
      </c>
      <c r="H2898" s="1">
        <v>37274</v>
      </c>
      <c r="I2898" s="3" t="s">
        <v>21</v>
      </c>
      <c r="J2898" s="4">
        <v>5</v>
      </c>
    </row>
    <row r="2899" spans="1:10" x14ac:dyDescent="0.35">
      <c r="A2899" s="2" t="s">
        <v>2935</v>
      </c>
      <c r="B2899" s="4">
        <v>77</v>
      </c>
      <c r="C2899" t="s">
        <v>11</v>
      </c>
      <c r="D2899" t="s">
        <v>33</v>
      </c>
      <c r="E2899" t="s">
        <v>37</v>
      </c>
      <c r="F2899" t="s">
        <v>14</v>
      </c>
      <c r="G2899" s="4">
        <v>11</v>
      </c>
      <c r="H2899" s="1">
        <v>78764</v>
      </c>
      <c r="I2899" s="3" t="s">
        <v>21</v>
      </c>
      <c r="J2899" s="4">
        <v>4</v>
      </c>
    </row>
    <row r="2900" spans="1:10" x14ac:dyDescent="0.35">
      <c r="A2900" s="2" t="s">
        <v>2936</v>
      </c>
      <c r="B2900" s="4">
        <v>38</v>
      </c>
      <c r="C2900" t="s">
        <v>11</v>
      </c>
      <c r="D2900" t="s">
        <v>26</v>
      </c>
      <c r="E2900" t="s">
        <v>34</v>
      </c>
      <c r="F2900" t="s">
        <v>20</v>
      </c>
      <c r="G2900" s="4">
        <v>4</v>
      </c>
      <c r="H2900" s="1">
        <v>18264</v>
      </c>
      <c r="I2900" s="3" t="s">
        <v>15</v>
      </c>
      <c r="J2900" s="4">
        <v>1</v>
      </c>
    </row>
    <row r="2901" spans="1:10" x14ac:dyDescent="0.35">
      <c r="A2901" s="2" t="s">
        <v>2937</v>
      </c>
      <c r="B2901" s="4">
        <v>55</v>
      </c>
      <c r="C2901" t="s">
        <v>17</v>
      </c>
      <c r="D2901" t="s">
        <v>49</v>
      </c>
      <c r="E2901" t="s">
        <v>27</v>
      </c>
      <c r="F2901" t="s">
        <v>20</v>
      </c>
      <c r="G2901" s="4">
        <v>11</v>
      </c>
      <c r="H2901" s="1">
        <v>82383</v>
      </c>
      <c r="I2901" s="3" t="s">
        <v>15</v>
      </c>
      <c r="J2901" s="4">
        <v>1</v>
      </c>
    </row>
    <row r="2902" spans="1:10" x14ac:dyDescent="0.35">
      <c r="A2902" s="2" t="s">
        <v>2938</v>
      </c>
      <c r="B2902" s="4">
        <v>59</v>
      </c>
      <c r="C2902" t="s">
        <v>17</v>
      </c>
      <c r="D2902" t="s">
        <v>26</v>
      </c>
      <c r="E2902" t="s">
        <v>24</v>
      </c>
      <c r="F2902" t="s">
        <v>14</v>
      </c>
      <c r="G2902" s="4">
        <v>2</v>
      </c>
      <c r="H2902" s="1">
        <v>7452</v>
      </c>
      <c r="I2902" s="3" t="s">
        <v>15</v>
      </c>
      <c r="J2902" s="4">
        <v>3</v>
      </c>
    </row>
    <row r="2903" spans="1:10" x14ac:dyDescent="0.35">
      <c r="A2903" s="2" t="s">
        <v>2939</v>
      </c>
      <c r="B2903" s="4">
        <v>40</v>
      </c>
      <c r="C2903" t="s">
        <v>17</v>
      </c>
      <c r="D2903" t="s">
        <v>33</v>
      </c>
      <c r="E2903" t="s">
        <v>29</v>
      </c>
      <c r="F2903" t="s">
        <v>30</v>
      </c>
      <c r="G2903" s="4">
        <v>1</v>
      </c>
      <c r="H2903" s="1">
        <v>52832</v>
      </c>
      <c r="I2903" s="3" t="s">
        <v>15</v>
      </c>
      <c r="J2903" s="4">
        <v>5</v>
      </c>
    </row>
    <row r="2904" spans="1:10" x14ac:dyDescent="0.35">
      <c r="A2904" s="2" t="s">
        <v>2940</v>
      </c>
      <c r="B2904" s="4">
        <v>83</v>
      </c>
      <c r="C2904" t="s">
        <v>17</v>
      </c>
      <c r="D2904" t="s">
        <v>28</v>
      </c>
      <c r="E2904" t="s">
        <v>24</v>
      </c>
      <c r="F2904" t="s">
        <v>30</v>
      </c>
      <c r="G2904" s="4">
        <v>6</v>
      </c>
      <c r="H2904" s="1">
        <v>87294</v>
      </c>
      <c r="I2904" s="3" t="s">
        <v>15</v>
      </c>
      <c r="J2904" s="4">
        <v>1</v>
      </c>
    </row>
    <row r="2905" spans="1:10" x14ac:dyDescent="0.35">
      <c r="A2905" s="2" t="s">
        <v>2941</v>
      </c>
      <c r="B2905" s="4">
        <v>69</v>
      </c>
      <c r="C2905" t="s">
        <v>11</v>
      </c>
      <c r="D2905" t="s">
        <v>33</v>
      </c>
      <c r="E2905" t="s">
        <v>29</v>
      </c>
      <c r="F2905" t="s">
        <v>14</v>
      </c>
      <c r="G2905" s="4">
        <v>4</v>
      </c>
      <c r="H2905" s="1">
        <v>76244</v>
      </c>
      <c r="I2905" s="3" t="s">
        <v>15</v>
      </c>
      <c r="J2905" s="4">
        <v>2</v>
      </c>
    </row>
    <row r="2906" spans="1:10" x14ac:dyDescent="0.35">
      <c r="A2906" s="2" t="s">
        <v>2942</v>
      </c>
      <c r="B2906" s="4">
        <v>5</v>
      </c>
      <c r="C2906" t="s">
        <v>11</v>
      </c>
      <c r="D2906" t="s">
        <v>18</v>
      </c>
      <c r="E2906" t="s">
        <v>53</v>
      </c>
      <c r="F2906" t="s">
        <v>14</v>
      </c>
      <c r="G2906" s="4">
        <v>5</v>
      </c>
      <c r="H2906" s="1">
        <v>55029</v>
      </c>
      <c r="I2906" s="3" t="s">
        <v>15</v>
      </c>
      <c r="J2906" s="4">
        <v>1</v>
      </c>
    </row>
    <row r="2907" spans="1:10" x14ac:dyDescent="0.35">
      <c r="A2907" s="2" t="s">
        <v>2943</v>
      </c>
      <c r="B2907" s="4">
        <v>12</v>
      </c>
      <c r="C2907" t="s">
        <v>11</v>
      </c>
      <c r="D2907" t="s">
        <v>12</v>
      </c>
      <c r="E2907" t="s">
        <v>27</v>
      </c>
      <c r="F2907" t="s">
        <v>20</v>
      </c>
      <c r="G2907" s="4">
        <v>15</v>
      </c>
      <c r="H2907" s="1">
        <v>32707</v>
      </c>
      <c r="I2907" s="3" t="s">
        <v>15</v>
      </c>
      <c r="J2907" s="4">
        <v>1</v>
      </c>
    </row>
    <row r="2908" spans="1:10" x14ac:dyDescent="0.35">
      <c r="A2908" s="2" t="s">
        <v>2944</v>
      </c>
      <c r="B2908" s="4">
        <v>56</v>
      </c>
      <c r="C2908" t="s">
        <v>11</v>
      </c>
      <c r="D2908" t="s">
        <v>26</v>
      </c>
      <c r="E2908" t="s">
        <v>13</v>
      </c>
      <c r="F2908" t="s">
        <v>20</v>
      </c>
      <c r="G2908" s="4">
        <v>9</v>
      </c>
      <c r="H2908" s="1">
        <v>36777</v>
      </c>
      <c r="I2908" s="3" t="s">
        <v>15</v>
      </c>
      <c r="J2908" s="4">
        <v>2</v>
      </c>
    </row>
    <row r="2909" spans="1:10" x14ac:dyDescent="0.35">
      <c r="A2909" s="2" t="s">
        <v>2945</v>
      </c>
      <c r="B2909" s="4">
        <v>87</v>
      </c>
      <c r="C2909" t="s">
        <v>11</v>
      </c>
      <c r="D2909" t="s">
        <v>26</v>
      </c>
      <c r="E2909" t="s">
        <v>19</v>
      </c>
      <c r="F2909" t="s">
        <v>20</v>
      </c>
      <c r="G2909" s="4">
        <v>11</v>
      </c>
      <c r="H2909" s="1">
        <v>45588</v>
      </c>
      <c r="I2909" s="3" t="s">
        <v>15</v>
      </c>
      <c r="J2909" s="4">
        <v>2</v>
      </c>
    </row>
    <row r="2910" spans="1:10" x14ac:dyDescent="0.35">
      <c r="A2910" s="2" t="s">
        <v>2946</v>
      </c>
      <c r="B2910" s="4">
        <v>8</v>
      </c>
      <c r="C2910" t="s">
        <v>11</v>
      </c>
      <c r="D2910" t="s">
        <v>41</v>
      </c>
      <c r="E2910" t="s">
        <v>34</v>
      </c>
      <c r="F2910" t="s">
        <v>30</v>
      </c>
      <c r="G2910" s="4">
        <v>14</v>
      </c>
      <c r="H2910" s="1">
        <v>92395</v>
      </c>
      <c r="I2910" s="3" t="s">
        <v>21</v>
      </c>
      <c r="J2910" s="4">
        <v>5</v>
      </c>
    </row>
    <row r="2911" spans="1:10" x14ac:dyDescent="0.35">
      <c r="A2911" s="2" t="s">
        <v>2947</v>
      </c>
      <c r="B2911" s="4">
        <v>46</v>
      </c>
      <c r="C2911" t="s">
        <v>11</v>
      </c>
      <c r="D2911" t="s">
        <v>41</v>
      </c>
      <c r="E2911" t="s">
        <v>53</v>
      </c>
      <c r="F2911" t="s">
        <v>14</v>
      </c>
      <c r="G2911" s="4">
        <v>3</v>
      </c>
      <c r="H2911" s="1">
        <v>82752</v>
      </c>
      <c r="I2911" s="3" t="s">
        <v>21</v>
      </c>
      <c r="J2911" s="4">
        <v>4</v>
      </c>
    </row>
    <row r="2912" spans="1:10" x14ac:dyDescent="0.35">
      <c r="A2912" s="2" t="s">
        <v>2948</v>
      </c>
      <c r="B2912" s="4">
        <v>24</v>
      </c>
      <c r="C2912" t="s">
        <v>11</v>
      </c>
      <c r="D2912" t="s">
        <v>26</v>
      </c>
      <c r="E2912" t="s">
        <v>19</v>
      </c>
      <c r="F2912" t="s">
        <v>14</v>
      </c>
      <c r="G2912" s="4">
        <v>1</v>
      </c>
      <c r="H2912" s="1">
        <v>94893</v>
      </c>
      <c r="I2912" s="3" t="s">
        <v>15</v>
      </c>
      <c r="J2912" s="4">
        <v>1</v>
      </c>
    </row>
    <row r="2913" spans="1:10" x14ac:dyDescent="0.35">
      <c r="A2913" s="2" t="s">
        <v>2949</v>
      </c>
      <c r="B2913" s="4">
        <v>76</v>
      </c>
      <c r="C2913" t="s">
        <v>17</v>
      </c>
      <c r="D2913" t="s">
        <v>33</v>
      </c>
      <c r="E2913" t="s">
        <v>42</v>
      </c>
      <c r="F2913" t="s">
        <v>30</v>
      </c>
      <c r="G2913" s="4">
        <v>11</v>
      </c>
      <c r="H2913" s="1">
        <v>41154</v>
      </c>
      <c r="I2913" s="3" t="s">
        <v>15</v>
      </c>
      <c r="J2913" s="4">
        <v>2</v>
      </c>
    </row>
    <row r="2914" spans="1:10" x14ac:dyDescent="0.35">
      <c r="A2914" s="2" t="s">
        <v>2950</v>
      </c>
      <c r="B2914" s="4">
        <v>45</v>
      </c>
      <c r="C2914" t="s">
        <v>11</v>
      </c>
      <c r="D2914" t="s">
        <v>41</v>
      </c>
      <c r="E2914" t="s">
        <v>53</v>
      </c>
      <c r="F2914" t="s">
        <v>20</v>
      </c>
      <c r="G2914" s="4">
        <v>4</v>
      </c>
      <c r="H2914" s="1">
        <v>54695</v>
      </c>
      <c r="I2914" s="3" t="s">
        <v>21</v>
      </c>
      <c r="J2914" s="4">
        <v>1</v>
      </c>
    </row>
    <row r="2915" spans="1:10" x14ac:dyDescent="0.35">
      <c r="A2915" s="2" t="s">
        <v>2951</v>
      </c>
      <c r="B2915" s="4">
        <v>28</v>
      </c>
      <c r="C2915" t="s">
        <v>11</v>
      </c>
      <c r="D2915" t="s">
        <v>23</v>
      </c>
      <c r="E2915" t="s">
        <v>37</v>
      </c>
      <c r="F2915" t="s">
        <v>20</v>
      </c>
      <c r="G2915" s="4">
        <v>13</v>
      </c>
      <c r="H2915" s="1">
        <v>73031</v>
      </c>
      <c r="I2915" s="3" t="s">
        <v>21</v>
      </c>
      <c r="J2915" s="4">
        <v>5</v>
      </c>
    </row>
    <row r="2916" spans="1:10" x14ac:dyDescent="0.35">
      <c r="A2916" s="2" t="s">
        <v>2952</v>
      </c>
      <c r="B2916" s="4">
        <v>69</v>
      </c>
      <c r="C2916" t="s">
        <v>11</v>
      </c>
      <c r="D2916" t="s">
        <v>39</v>
      </c>
      <c r="E2916" t="s">
        <v>37</v>
      </c>
      <c r="F2916" t="s">
        <v>20</v>
      </c>
      <c r="G2916" s="4">
        <v>11</v>
      </c>
      <c r="H2916" s="1">
        <v>19170</v>
      </c>
      <c r="I2916" s="3" t="s">
        <v>15</v>
      </c>
      <c r="J2916" s="4">
        <v>5</v>
      </c>
    </row>
    <row r="2917" spans="1:10" x14ac:dyDescent="0.35">
      <c r="A2917" s="2" t="s">
        <v>2953</v>
      </c>
      <c r="B2917" s="4">
        <v>53</v>
      </c>
      <c r="C2917" t="s">
        <v>11</v>
      </c>
      <c r="D2917" t="s">
        <v>26</v>
      </c>
      <c r="E2917" t="s">
        <v>53</v>
      </c>
      <c r="F2917" t="s">
        <v>20</v>
      </c>
      <c r="G2917" s="4">
        <v>9</v>
      </c>
      <c r="H2917" s="1">
        <v>39704</v>
      </c>
      <c r="I2917" s="3" t="s">
        <v>21</v>
      </c>
      <c r="J2917" s="4">
        <v>1</v>
      </c>
    </row>
    <row r="2918" spans="1:10" x14ac:dyDescent="0.35">
      <c r="A2918" s="2" t="s">
        <v>2954</v>
      </c>
      <c r="B2918" s="4">
        <v>29</v>
      </c>
      <c r="C2918" t="s">
        <v>11</v>
      </c>
      <c r="D2918" t="s">
        <v>36</v>
      </c>
      <c r="E2918" t="s">
        <v>27</v>
      </c>
      <c r="F2918" t="s">
        <v>20</v>
      </c>
      <c r="G2918" s="4">
        <v>13</v>
      </c>
      <c r="H2918" s="1">
        <v>18127</v>
      </c>
      <c r="I2918" s="3" t="s">
        <v>21</v>
      </c>
      <c r="J2918" s="4">
        <v>4</v>
      </c>
    </row>
    <row r="2919" spans="1:10" x14ac:dyDescent="0.35">
      <c r="A2919" s="2" t="s">
        <v>2955</v>
      </c>
      <c r="B2919" s="4">
        <v>9</v>
      </c>
      <c r="C2919" t="s">
        <v>11</v>
      </c>
      <c r="D2919" t="s">
        <v>26</v>
      </c>
      <c r="E2919" t="s">
        <v>34</v>
      </c>
      <c r="F2919" t="s">
        <v>30</v>
      </c>
      <c r="G2919" s="4">
        <v>6</v>
      </c>
      <c r="H2919" s="1">
        <v>22349</v>
      </c>
      <c r="I2919" s="3" t="s">
        <v>21</v>
      </c>
      <c r="J2919" s="4">
        <v>1</v>
      </c>
    </row>
    <row r="2920" spans="1:10" x14ac:dyDescent="0.35">
      <c r="A2920" s="2" t="s">
        <v>2956</v>
      </c>
      <c r="B2920" s="4">
        <v>78</v>
      </c>
      <c r="C2920" t="s">
        <v>11</v>
      </c>
      <c r="D2920" t="s">
        <v>49</v>
      </c>
      <c r="E2920" t="s">
        <v>24</v>
      </c>
      <c r="F2920" t="s">
        <v>14</v>
      </c>
      <c r="G2920" s="4">
        <v>15</v>
      </c>
      <c r="H2920" s="1">
        <v>30252</v>
      </c>
      <c r="I2920" s="3" t="s">
        <v>21</v>
      </c>
      <c r="J2920" s="4">
        <v>4</v>
      </c>
    </row>
    <row r="2921" spans="1:10" x14ac:dyDescent="0.35">
      <c r="A2921" s="2" t="s">
        <v>2957</v>
      </c>
      <c r="B2921" s="4">
        <v>70</v>
      </c>
      <c r="C2921" t="s">
        <v>11</v>
      </c>
      <c r="D2921" t="s">
        <v>36</v>
      </c>
      <c r="E2921" t="s">
        <v>13</v>
      </c>
      <c r="F2921" t="s">
        <v>14</v>
      </c>
      <c r="G2921" s="4">
        <v>3</v>
      </c>
      <c r="H2921" s="1">
        <v>26902</v>
      </c>
      <c r="I2921" s="3" t="s">
        <v>15</v>
      </c>
      <c r="J2921" s="4">
        <v>5</v>
      </c>
    </row>
    <row r="2922" spans="1:10" x14ac:dyDescent="0.35">
      <c r="A2922" s="2" t="s">
        <v>2958</v>
      </c>
      <c r="B2922" s="4">
        <v>83</v>
      </c>
      <c r="C2922" t="s">
        <v>11</v>
      </c>
      <c r="D2922" t="s">
        <v>18</v>
      </c>
      <c r="E2922" t="s">
        <v>37</v>
      </c>
      <c r="F2922" t="s">
        <v>20</v>
      </c>
      <c r="G2922" s="4">
        <v>12</v>
      </c>
      <c r="H2922" s="1">
        <v>75607</v>
      </c>
      <c r="I2922" s="3" t="s">
        <v>21</v>
      </c>
      <c r="J2922" s="4">
        <v>4</v>
      </c>
    </row>
    <row r="2923" spans="1:10" x14ac:dyDescent="0.35">
      <c r="A2923" s="2" t="s">
        <v>2959</v>
      </c>
      <c r="B2923" s="4">
        <v>71</v>
      </c>
      <c r="C2923" t="s">
        <v>11</v>
      </c>
      <c r="D2923" t="s">
        <v>12</v>
      </c>
      <c r="E2923" t="s">
        <v>34</v>
      </c>
      <c r="F2923" t="s">
        <v>14</v>
      </c>
      <c r="G2923" s="4">
        <v>6</v>
      </c>
      <c r="H2923" s="1">
        <v>14344</v>
      </c>
      <c r="I2923" s="3" t="s">
        <v>15</v>
      </c>
      <c r="J2923" s="4">
        <v>1</v>
      </c>
    </row>
    <row r="2924" spans="1:10" x14ac:dyDescent="0.35">
      <c r="A2924" s="2" t="s">
        <v>2960</v>
      </c>
      <c r="B2924" s="4">
        <v>67</v>
      </c>
      <c r="C2924" t="s">
        <v>11</v>
      </c>
      <c r="D2924" t="s">
        <v>18</v>
      </c>
      <c r="E2924" t="s">
        <v>53</v>
      </c>
      <c r="F2924" t="s">
        <v>14</v>
      </c>
      <c r="G2924" s="4">
        <v>6</v>
      </c>
      <c r="H2924" s="1">
        <v>48045</v>
      </c>
      <c r="I2924" s="3" t="s">
        <v>15</v>
      </c>
      <c r="J2924" s="4">
        <v>1</v>
      </c>
    </row>
    <row r="2925" spans="1:10" x14ac:dyDescent="0.35">
      <c r="A2925" s="2" t="s">
        <v>2961</v>
      </c>
      <c r="B2925" s="4">
        <v>34</v>
      </c>
      <c r="C2925" t="s">
        <v>17</v>
      </c>
      <c r="D2925" t="s">
        <v>23</v>
      </c>
      <c r="E2925" t="s">
        <v>34</v>
      </c>
      <c r="F2925" t="s">
        <v>14</v>
      </c>
      <c r="G2925" s="4">
        <v>4</v>
      </c>
      <c r="H2925" s="1">
        <v>44905</v>
      </c>
      <c r="I2925" s="3" t="s">
        <v>15</v>
      </c>
      <c r="J2925" s="4">
        <v>4</v>
      </c>
    </row>
    <row r="2926" spans="1:10" x14ac:dyDescent="0.35">
      <c r="A2926" s="2" t="s">
        <v>2962</v>
      </c>
      <c r="B2926" s="4">
        <v>71</v>
      </c>
      <c r="C2926" t="s">
        <v>11</v>
      </c>
      <c r="D2926" t="s">
        <v>12</v>
      </c>
      <c r="E2926" t="s">
        <v>34</v>
      </c>
      <c r="F2926" t="s">
        <v>20</v>
      </c>
      <c r="G2926" s="4">
        <v>8</v>
      </c>
      <c r="H2926" s="1">
        <v>82325</v>
      </c>
      <c r="I2926" s="3" t="s">
        <v>21</v>
      </c>
      <c r="J2926" s="4">
        <v>4</v>
      </c>
    </row>
    <row r="2927" spans="1:10" x14ac:dyDescent="0.35">
      <c r="A2927" s="2" t="s">
        <v>2963</v>
      </c>
      <c r="B2927" s="4">
        <v>36</v>
      </c>
      <c r="C2927" t="s">
        <v>17</v>
      </c>
      <c r="D2927" t="s">
        <v>41</v>
      </c>
      <c r="E2927" t="s">
        <v>42</v>
      </c>
      <c r="F2927" t="s">
        <v>20</v>
      </c>
      <c r="G2927" s="4">
        <v>13</v>
      </c>
      <c r="H2927" s="1">
        <v>15740</v>
      </c>
      <c r="I2927" s="3" t="s">
        <v>15</v>
      </c>
      <c r="J2927" s="4">
        <v>1</v>
      </c>
    </row>
    <row r="2928" spans="1:10" x14ac:dyDescent="0.35">
      <c r="A2928" s="2" t="s">
        <v>2964</v>
      </c>
      <c r="B2928" s="4">
        <v>27</v>
      </c>
      <c r="C2928" t="s">
        <v>11</v>
      </c>
      <c r="D2928" t="s">
        <v>28</v>
      </c>
      <c r="E2928" t="s">
        <v>27</v>
      </c>
      <c r="F2928" t="s">
        <v>20</v>
      </c>
      <c r="G2928" s="4">
        <v>14</v>
      </c>
      <c r="H2928" s="1">
        <v>99273</v>
      </c>
      <c r="I2928" s="3" t="s">
        <v>15</v>
      </c>
      <c r="J2928" s="4">
        <v>5</v>
      </c>
    </row>
    <row r="2929" spans="1:10" x14ac:dyDescent="0.35">
      <c r="A2929" s="2" t="s">
        <v>2965</v>
      </c>
      <c r="B2929" s="4">
        <v>11</v>
      </c>
      <c r="C2929" t="s">
        <v>17</v>
      </c>
      <c r="D2929" t="s">
        <v>28</v>
      </c>
      <c r="E2929" t="s">
        <v>13</v>
      </c>
      <c r="F2929" t="s">
        <v>30</v>
      </c>
      <c r="G2929" s="4">
        <v>13</v>
      </c>
      <c r="H2929" s="1">
        <v>85886</v>
      </c>
      <c r="I2929" s="3" t="s">
        <v>21</v>
      </c>
      <c r="J2929" s="4">
        <v>1</v>
      </c>
    </row>
    <row r="2930" spans="1:10" x14ac:dyDescent="0.35">
      <c r="A2930" s="2" t="s">
        <v>2966</v>
      </c>
      <c r="B2930" s="4">
        <v>66</v>
      </c>
      <c r="C2930" t="s">
        <v>11</v>
      </c>
      <c r="D2930" t="s">
        <v>41</v>
      </c>
      <c r="E2930" t="s">
        <v>53</v>
      </c>
      <c r="F2930" t="s">
        <v>14</v>
      </c>
      <c r="G2930" s="4">
        <v>9</v>
      </c>
      <c r="H2930" s="1">
        <v>24340</v>
      </c>
      <c r="I2930" s="3" t="s">
        <v>15</v>
      </c>
      <c r="J2930" s="4">
        <v>2</v>
      </c>
    </row>
    <row r="2931" spans="1:10" x14ac:dyDescent="0.35">
      <c r="A2931" s="2" t="s">
        <v>2967</v>
      </c>
      <c r="B2931" s="4">
        <v>10</v>
      </c>
      <c r="C2931" t="s">
        <v>17</v>
      </c>
      <c r="D2931" t="s">
        <v>41</v>
      </c>
      <c r="E2931" t="s">
        <v>34</v>
      </c>
      <c r="F2931" t="s">
        <v>20</v>
      </c>
      <c r="G2931" s="4">
        <v>4</v>
      </c>
      <c r="H2931" s="1">
        <v>27419</v>
      </c>
      <c r="I2931" s="3" t="s">
        <v>15</v>
      </c>
      <c r="J2931" s="4">
        <v>1</v>
      </c>
    </row>
    <row r="2932" spans="1:10" x14ac:dyDescent="0.35">
      <c r="A2932" s="2" t="s">
        <v>2968</v>
      </c>
      <c r="B2932" s="4">
        <v>87</v>
      </c>
      <c r="C2932" t="s">
        <v>11</v>
      </c>
      <c r="D2932" t="s">
        <v>36</v>
      </c>
      <c r="E2932" t="s">
        <v>29</v>
      </c>
      <c r="F2932" t="s">
        <v>30</v>
      </c>
      <c r="G2932" s="4">
        <v>8</v>
      </c>
      <c r="H2932" s="1">
        <v>43596</v>
      </c>
      <c r="I2932" s="3" t="s">
        <v>21</v>
      </c>
      <c r="J2932" s="4">
        <v>3</v>
      </c>
    </row>
    <row r="2933" spans="1:10" x14ac:dyDescent="0.35">
      <c r="A2933" s="2" t="s">
        <v>2969</v>
      </c>
      <c r="B2933" s="4">
        <v>68</v>
      </c>
      <c r="C2933" t="s">
        <v>17</v>
      </c>
      <c r="D2933" t="s">
        <v>33</v>
      </c>
      <c r="E2933" t="s">
        <v>19</v>
      </c>
      <c r="F2933" t="s">
        <v>20</v>
      </c>
      <c r="G2933" s="4">
        <v>15</v>
      </c>
      <c r="H2933" s="1">
        <v>10482</v>
      </c>
      <c r="I2933" s="3" t="s">
        <v>21</v>
      </c>
      <c r="J2933" s="4">
        <v>5</v>
      </c>
    </row>
    <row r="2934" spans="1:10" x14ac:dyDescent="0.35">
      <c r="A2934" s="2" t="s">
        <v>2970</v>
      </c>
      <c r="B2934" s="4">
        <v>52</v>
      </c>
      <c r="C2934" t="s">
        <v>11</v>
      </c>
      <c r="D2934" t="s">
        <v>36</v>
      </c>
      <c r="E2934" t="s">
        <v>53</v>
      </c>
      <c r="F2934" t="s">
        <v>30</v>
      </c>
      <c r="G2934" s="4">
        <v>4</v>
      </c>
      <c r="H2934" s="1">
        <v>84402</v>
      </c>
      <c r="I2934" s="3" t="s">
        <v>15</v>
      </c>
      <c r="J2934" s="4">
        <v>5</v>
      </c>
    </row>
    <row r="2935" spans="1:10" x14ac:dyDescent="0.35">
      <c r="A2935" s="2" t="s">
        <v>2971</v>
      </c>
      <c r="B2935" s="4">
        <v>42</v>
      </c>
      <c r="C2935" t="s">
        <v>17</v>
      </c>
      <c r="D2935" t="s">
        <v>23</v>
      </c>
      <c r="E2935" t="s">
        <v>65</v>
      </c>
      <c r="F2935" t="s">
        <v>30</v>
      </c>
      <c r="G2935" s="4">
        <v>7</v>
      </c>
      <c r="H2935" s="1">
        <v>78261</v>
      </c>
      <c r="I2935" s="3" t="s">
        <v>15</v>
      </c>
      <c r="J2935" s="4">
        <v>5</v>
      </c>
    </row>
    <row r="2936" spans="1:10" x14ac:dyDescent="0.35">
      <c r="A2936" s="2" t="s">
        <v>2972</v>
      </c>
      <c r="B2936" s="4">
        <v>10</v>
      </c>
      <c r="C2936" t="s">
        <v>11</v>
      </c>
      <c r="D2936" t="s">
        <v>39</v>
      </c>
      <c r="E2936" t="s">
        <v>42</v>
      </c>
      <c r="F2936" t="s">
        <v>14</v>
      </c>
      <c r="G2936" s="4">
        <v>13</v>
      </c>
      <c r="H2936" s="1">
        <v>62773</v>
      </c>
      <c r="I2936" s="3" t="s">
        <v>15</v>
      </c>
      <c r="J2936" s="4">
        <v>3</v>
      </c>
    </row>
    <row r="2937" spans="1:10" x14ac:dyDescent="0.35">
      <c r="A2937" s="2" t="s">
        <v>2973</v>
      </c>
      <c r="B2937" s="4">
        <v>40</v>
      </c>
      <c r="C2937" t="s">
        <v>17</v>
      </c>
      <c r="D2937" t="s">
        <v>49</v>
      </c>
      <c r="E2937" t="s">
        <v>27</v>
      </c>
      <c r="F2937" t="s">
        <v>30</v>
      </c>
      <c r="G2937" s="4">
        <v>13</v>
      </c>
      <c r="H2937" s="1">
        <v>48388</v>
      </c>
      <c r="I2937" s="3" t="s">
        <v>15</v>
      </c>
      <c r="J2937" s="4">
        <v>2</v>
      </c>
    </row>
    <row r="2938" spans="1:10" x14ac:dyDescent="0.35">
      <c r="A2938" s="2" t="s">
        <v>2974</v>
      </c>
      <c r="B2938" s="4">
        <v>43</v>
      </c>
      <c r="C2938" t="s">
        <v>11</v>
      </c>
      <c r="D2938" t="s">
        <v>39</v>
      </c>
      <c r="E2938" t="s">
        <v>13</v>
      </c>
      <c r="F2938" t="s">
        <v>14</v>
      </c>
      <c r="G2938" s="4">
        <v>2</v>
      </c>
      <c r="H2938" s="1">
        <v>38480</v>
      </c>
      <c r="I2938" s="3" t="s">
        <v>15</v>
      </c>
      <c r="J2938" s="4">
        <v>4</v>
      </c>
    </row>
    <row r="2939" spans="1:10" x14ac:dyDescent="0.35">
      <c r="A2939" s="2" t="s">
        <v>2975</v>
      </c>
      <c r="B2939" s="4">
        <v>78</v>
      </c>
      <c r="C2939" t="s">
        <v>17</v>
      </c>
      <c r="D2939" t="s">
        <v>39</v>
      </c>
      <c r="E2939" t="s">
        <v>27</v>
      </c>
      <c r="F2939" t="s">
        <v>30</v>
      </c>
      <c r="G2939" s="4">
        <v>13</v>
      </c>
      <c r="H2939" s="1">
        <v>46633</v>
      </c>
      <c r="I2939" s="3" t="s">
        <v>15</v>
      </c>
      <c r="J2939" s="4">
        <v>4</v>
      </c>
    </row>
    <row r="2940" spans="1:10" x14ac:dyDescent="0.35">
      <c r="A2940" s="2" t="s">
        <v>2976</v>
      </c>
      <c r="B2940" s="4">
        <v>88</v>
      </c>
      <c r="C2940" t="s">
        <v>11</v>
      </c>
      <c r="D2940" t="s">
        <v>26</v>
      </c>
      <c r="E2940" t="s">
        <v>24</v>
      </c>
      <c r="F2940" t="s">
        <v>20</v>
      </c>
      <c r="G2940" s="4">
        <v>13</v>
      </c>
      <c r="H2940" s="1">
        <v>11286</v>
      </c>
      <c r="I2940" s="3" t="s">
        <v>15</v>
      </c>
      <c r="J2940" s="4">
        <v>1</v>
      </c>
    </row>
    <row r="2941" spans="1:10" x14ac:dyDescent="0.35">
      <c r="A2941" s="2" t="s">
        <v>2977</v>
      </c>
      <c r="B2941" s="4">
        <v>40</v>
      </c>
      <c r="C2941" t="s">
        <v>17</v>
      </c>
      <c r="D2941" t="s">
        <v>23</v>
      </c>
      <c r="E2941" t="s">
        <v>24</v>
      </c>
      <c r="F2941" t="s">
        <v>14</v>
      </c>
      <c r="G2941" s="4">
        <v>4</v>
      </c>
      <c r="H2941" s="1">
        <v>22210</v>
      </c>
      <c r="I2941" s="3" t="s">
        <v>15</v>
      </c>
      <c r="J2941" s="4">
        <v>4</v>
      </c>
    </row>
    <row r="2942" spans="1:10" x14ac:dyDescent="0.35">
      <c r="A2942" s="2" t="s">
        <v>2978</v>
      </c>
      <c r="B2942" s="4">
        <v>41</v>
      </c>
      <c r="C2942" t="s">
        <v>17</v>
      </c>
      <c r="D2942" t="s">
        <v>33</v>
      </c>
      <c r="E2942" t="s">
        <v>24</v>
      </c>
      <c r="F2942" t="s">
        <v>30</v>
      </c>
      <c r="G2942" s="4">
        <v>3</v>
      </c>
      <c r="H2942" s="1">
        <v>92288</v>
      </c>
      <c r="I2942" s="3" t="s">
        <v>21</v>
      </c>
      <c r="J2942" s="4">
        <v>3</v>
      </c>
    </row>
    <row r="2943" spans="1:10" x14ac:dyDescent="0.35">
      <c r="A2943" s="2" t="s">
        <v>2979</v>
      </c>
      <c r="B2943" s="4">
        <v>58</v>
      </c>
      <c r="C2943" t="s">
        <v>11</v>
      </c>
      <c r="D2943" t="s">
        <v>36</v>
      </c>
      <c r="E2943" t="s">
        <v>37</v>
      </c>
      <c r="F2943" t="s">
        <v>14</v>
      </c>
      <c r="G2943" s="4">
        <v>8</v>
      </c>
      <c r="H2943" s="1">
        <v>24195</v>
      </c>
      <c r="I2943" s="3" t="s">
        <v>21</v>
      </c>
      <c r="J2943" s="4">
        <v>1</v>
      </c>
    </row>
    <row r="2944" spans="1:10" x14ac:dyDescent="0.35">
      <c r="A2944" s="2" t="s">
        <v>2980</v>
      </c>
      <c r="B2944" s="4">
        <v>30</v>
      </c>
      <c r="C2944" t="s">
        <v>11</v>
      </c>
      <c r="D2944" t="s">
        <v>49</v>
      </c>
      <c r="E2944" t="s">
        <v>24</v>
      </c>
      <c r="F2944" t="s">
        <v>30</v>
      </c>
      <c r="G2944" s="4">
        <v>4</v>
      </c>
      <c r="H2944" s="1">
        <v>79469</v>
      </c>
      <c r="I2944" s="3" t="s">
        <v>15</v>
      </c>
      <c r="J2944" s="4">
        <v>5</v>
      </c>
    </row>
    <row r="2945" spans="1:10" x14ac:dyDescent="0.35">
      <c r="A2945" s="2" t="s">
        <v>2981</v>
      </c>
      <c r="B2945" s="4">
        <v>46</v>
      </c>
      <c r="C2945" t="s">
        <v>17</v>
      </c>
      <c r="D2945" t="s">
        <v>41</v>
      </c>
      <c r="E2945" t="s">
        <v>29</v>
      </c>
      <c r="F2945" t="s">
        <v>20</v>
      </c>
      <c r="G2945" s="4">
        <v>13</v>
      </c>
      <c r="H2945" s="1">
        <v>31925</v>
      </c>
      <c r="I2945" s="3" t="s">
        <v>21</v>
      </c>
      <c r="J2945" s="4">
        <v>2</v>
      </c>
    </row>
    <row r="2946" spans="1:10" x14ac:dyDescent="0.35">
      <c r="A2946" s="2" t="s">
        <v>2982</v>
      </c>
      <c r="B2946" s="4">
        <v>21</v>
      </c>
      <c r="C2946" t="s">
        <v>11</v>
      </c>
      <c r="D2946" t="s">
        <v>33</v>
      </c>
      <c r="E2946" t="s">
        <v>42</v>
      </c>
      <c r="F2946" t="s">
        <v>14</v>
      </c>
      <c r="G2946" s="4">
        <v>13</v>
      </c>
      <c r="H2946" s="1">
        <v>59138</v>
      </c>
      <c r="I2946" s="3" t="s">
        <v>15</v>
      </c>
      <c r="J2946" s="4">
        <v>1</v>
      </c>
    </row>
    <row r="2947" spans="1:10" x14ac:dyDescent="0.35">
      <c r="A2947" s="2" t="s">
        <v>2983</v>
      </c>
      <c r="B2947" s="4">
        <v>4</v>
      </c>
      <c r="C2947" t="s">
        <v>17</v>
      </c>
      <c r="D2947" t="s">
        <v>12</v>
      </c>
      <c r="E2947" t="s">
        <v>27</v>
      </c>
      <c r="F2947" t="s">
        <v>30</v>
      </c>
      <c r="G2947" s="4">
        <v>2</v>
      </c>
      <c r="H2947" s="1">
        <v>46981</v>
      </c>
      <c r="I2947" s="3" t="s">
        <v>21</v>
      </c>
      <c r="J2947" s="4">
        <v>2</v>
      </c>
    </row>
    <row r="2948" spans="1:10" x14ac:dyDescent="0.35">
      <c r="A2948" s="2" t="s">
        <v>2984</v>
      </c>
      <c r="B2948" s="4">
        <v>54</v>
      </c>
      <c r="C2948" t="s">
        <v>17</v>
      </c>
      <c r="D2948" t="s">
        <v>18</v>
      </c>
      <c r="E2948" t="s">
        <v>19</v>
      </c>
      <c r="F2948" t="s">
        <v>20</v>
      </c>
      <c r="G2948" s="4">
        <v>8</v>
      </c>
      <c r="H2948" s="1">
        <v>74606</v>
      </c>
      <c r="I2948" s="3" t="s">
        <v>15</v>
      </c>
      <c r="J2948" s="4">
        <v>1</v>
      </c>
    </row>
    <row r="2949" spans="1:10" x14ac:dyDescent="0.35">
      <c r="A2949" s="2" t="s">
        <v>2985</v>
      </c>
      <c r="B2949" s="4">
        <v>39</v>
      </c>
      <c r="C2949" t="s">
        <v>17</v>
      </c>
      <c r="D2949" t="s">
        <v>18</v>
      </c>
      <c r="E2949" t="s">
        <v>19</v>
      </c>
      <c r="F2949" t="s">
        <v>30</v>
      </c>
      <c r="G2949" s="4">
        <v>3</v>
      </c>
      <c r="H2949" s="1">
        <v>59380</v>
      </c>
      <c r="I2949" s="3" t="s">
        <v>21</v>
      </c>
      <c r="J2949" s="4">
        <v>2</v>
      </c>
    </row>
    <row r="2950" spans="1:10" x14ac:dyDescent="0.35">
      <c r="A2950" s="2" t="s">
        <v>2986</v>
      </c>
      <c r="B2950" s="4">
        <v>73</v>
      </c>
      <c r="C2950" t="s">
        <v>17</v>
      </c>
      <c r="D2950" t="s">
        <v>12</v>
      </c>
      <c r="E2950" t="s">
        <v>53</v>
      </c>
      <c r="F2950" t="s">
        <v>30</v>
      </c>
      <c r="G2950" s="4">
        <v>8</v>
      </c>
      <c r="H2950" s="1">
        <v>53632</v>
      </c>
      <c r="I2950" s="3" t="s">
        <v>21</v>
      </c>
      <c r="J2950" s="4">
        <v>5</v>
      </c>
    </row>
    <row r="2951" spans="1:10" x14ac:dyDescent="0.35">
      <c r="A2951" s="2" t="s">
        <v>2987</v>
      </c>
      <c r="B2951" s="4">
        <v>77</v>
      </c>
      <c r="C2951" t="s">
        <v>11</v>
      </c>
      <c r="D2951" t="s">
        <v>49</v>
      </c>
      <c r="E2951" t="s">
        <v>34</v>
      </c>
      <c r="F2951" t="s">
        <v>14</v>
      </c>
      <c r="G2951" s="4">
        <v>4</v>
      </c>
      <c r="H2951" s="1">
        <v>22395</v>
      </c>
      <c r="I2951" s="3" t="s">
        <v>15</v>
      </c>
      <c r="J2951" s="4">
        <v>2</v>
      </c>
    </row>
    <row r="2952" spans="1:10" x14ac:dyDescent="0.35">
      <c r="A2952" s="2" t="s">
        <v>2988</v>
      </c>
      <c r="B2952" s="4">
        <v>31</v>
      </c>
      <c r="C2952" t="s">
        <v>11</v>
      </c>
      <c r="D2952" t="s">
        <v>39</v>
      </c>
      <c r="E2952" t="s">
        <v>65</v>
      </c>
      <c r="F2952" t="s">
        <v>20</v>
      </c>
      <c r="G2952" s="4">
        <v>13</v>
      </c>
      <c r="H2952" s="1">
        <v>16814</v>
      </c>
      <c r="I2952" s="3" t="s">
        <v>15</v>
      </c>
      <c r="J2952" s="4">
        <v>1</v>
      </c>
    </row>
    <row r="2953" spans="1:10" x14ac:dyDescent="0.35">
      <c r="A2953" s="2" t="s">
        <v>2989</v>
      </c>
      <c r="B2953" s="4">
        <v>50</v>
      </c>
      <c r="C2953" t="s">
        <v>17</v>
      </c>
      <c r="D2953" t="s">
        <v>41</v>
      </c>
      <c r="E2953" t="s">
        <v>34</v>
      </c>
      <c r="F2953" t="s">
        <v>14</v>
      </c>
      <c r="G2953" s="4">
        <v>14</v>
      </c>
      <c r="H2953" s="1">
        <v>67173</v>
      </c>
      <c r="I2953" s="3" t="s">
        <v>21</v>
      </c>
      <c r="J2953" s="4">
        <v>4</v>
      </c>
    </row>
    <row r="2954" spans="1:10" x14ac:dyDescent="0.35">
      <c r="A2954" s="2" t="s">
        <v>2990</v>
      </c>
      <c r="B2954" s="4">
        <v>24</v>
      </c>
      <c r="C2954" t="s">
        <v>11</v>
      </c>
      <c r="D2954" t="s">
        <v>49</v>
      </c>
      <c r="E2954" t="s">
        <v>29</v>
      </c>
      <c r="F2954" t="s">
        <v>14</v>
      </c>
      <c r="G2954" s="4">
        <v>9</v>
      </c>
      <c r="H2954" s="1">
        <v>84876</v>
      </c>
      <c r="I2954" s="3" t="s">
        <v>21</v>
      </c>
      <c r="J2954" s="4">
        <v>3</v>
      </c>
    </row>
    <row r="2955" spans="1:10" x14ac:dyDescent="0.35">
      <c r="A2955" s="2" t="s">
        <v>2991</v>
      </c>
      <c r="B2955" s="4">
        <v>55</v>
      </c>
      <c r="C2955" t="s">
        <v>11</v>
      </c>
      <c r="D2955" t="s">
        <v>36</v>
      </c>
      <c r="E2955" t="s">
        <v>53</v>
      </c>
      <c r="F2955" t="s">
        <v>20</v>
      </c>
      <c r="G2955" s="4">
        <v>3</v>
      </c>
      <c r="H2955" s="1">
        <v>26079</v>
      </c>
      <c r="I2955" s="3" t="s">
        <v>21</v>
      </c>
      <c r="J2955" s="4">
        <v>5</v>
      </c>
    </row>
    <row r="2956" spans="1:10" x14ac:dyDescent="0.35">
      <c r="A2956" s="2" t="s">
        <v>2992</v>
      </c>
      <c r="B2956" s="4">
        <v>75</v>
      </c>
      <c r="C2956" t="s">
        <v>11</v>
      </c>
      <c r="D2956" t="s">
        <v>39</v>
      </c>
      <c r="E2956" t="s">
        <v>34</v>
      </c>
      <c r="F2956" t="s">
        <v>14</v>
      </c>
      <c r="G2956" s="4">
        <v>12</v>
      </c>
      <c r="H2956" s="1">
        <v>32118</v>
      </c>
      <c r="I2956" s="3" t="s">
        <v>21</v>
      </c>
      <c r="J2956" s="4">
        <v>2</v>
      </c>
    </row>
    <row r="2957" spans="1:10" x14ac:dyDescent="0.35">
      <c r="A2957" s="2" t="s">
        <v>2993</v>
      </c>
      <c r="B2957" s="4">
        <v>4</v>
      </c>
      <c r="C2957" t="s">
        <v>17</v>
      </c>
      <c r="D2957" t="s">
        <v>26</v>
      </c>
      <c r="E2957" t="s">
        <v>53</v>
      </c>
      <c r="F2957" t="s">
        <v>14</v>
      </c>
      <c r="G2957" s="4">
        <v>5</v>
      </c>
      <c r="H2957" s="1">
        <v>54119</v>
      </c>
      <c r="I2957" s="3" t="s">
        <v>21</v>
      </c>
      <c r="J2957" s="4">
        <v>4</v>
      </c>
    </row>
    <row r="2958" spans="1:10" x14ac:dyDescent="0.35">
      <c r="A2958" s="2" t="s">
        <v>2994</v>
      </c>
      <c r="B2958" s="4">
        <v>14</v>
      </c>
      <c r="C2958" t="s">
        <v>11</v>
      </c>
      <c r="D2958" t="s">
        <v>26</v>
      </c>
      <c r="E2958" t="s">
        <v>29</v>
      </c>
      <c r="F2958" t="s">
        <v>14</v>
      </c>
      <c r="G2958" s="4">
        <v>13</v>
      </c>
      <c r="H2958" s="1">
        <v>96242</v>
      </c>
      <c r="I2958" s="3" t="s">
        <v>15</v>
      </c>
      <c r="J2958" s="4">
        <v>4</v>
      </c>
    </row>
    <row r="2959" spans="1:10" x14ac:dyDescent="0.35">
      <c r="A2959" s="2" t="s">
        <v>2995</v>
      </c>
      <c r="B2959" s="4">
        <v>77</v>
      </c>
      <c r="C2959" t="s">
        <v>11</v>
      </c>
      <c r="D2959" t="s">
        <v>41</v>
      </c>
      <c r="E2959" t="s">
        <v>13</v>
      </c>
      <c r="F2959" t="s">
        <v>14</v>
      </c>
      <c r="G2959" s="4">
        <v>14</v>
      </c>
      <c r="H2959" s="1">
        <v>43459</v>
      </c>
      <c r="I2959" s="3" t="s">
        <v>21</v>
      </c>
      <c r="J2959" s="4">
        <v>4</v>
      </c>
    </row>
    <row r="2960" spans="1:10" x14ac:dyDescent="0.35">
      <c r="A2960" s="2" t="s">
        <v>2996</v>
      </c>
      <c r="B2960" s="4">
        <v>1</v>
      </c>
      <c r="C2960" t="s">
        <v>17</v>
      </c>
      <c r="D2960" t="s">
        <v>36</v>
      </c>
      <c r="E2960" t="s">
        <v>34</v>
      </c>
      <c r="F2960" t="s">
        <v>20</v>
      </c>
      <c r="G2960" s="4">
        <v>13</v>
      </c>
      <c r="H2960" s="1">
        <v>23707</v>
      </c>
      <c r="I2960" s="3" t="s">
        <v>15</v>
      </c>
      <c r="J2960" s="4">
        <v>5</v>
      </c>
    </row>
    <row r="2961" spans="1:10" x14ac:dyDescent="0.35">
      <c r="A2961" s="2" t="s">
        <v>2997</v>
      </c>
      <c r="B2961" s="4">
        <v>57</v>
      </c>
      <c r="C2961" t="s">
        <v>11</v>
      </c>
      <c r="D2961" t="s">
        <v>12</v>
      </c>
      <c r="E2961" t="s">
        <v>24</v>
      </c>
      <c r="F2961" t="s">
        <v>14</v>
      </c>
      <c r="G2961" s="4">
        <v>2</v>
      </c>
      <c r="H2961" s="1">
        <v>35696</v>
      </c>
      <c r="I2961" s="3" t="s">
        <v>21</v>
      </c>
      <c r="J2961" s="4">
        <v>5</v>
      </c>
    </row>
    <row r="2962" spans="1:10" x14ac:dyDescent="0.35">
      <c r="A2962" s="2" t="s">
        <v>2998</v>
      </c>
      <c r="B2962" s="4">
        <v>16</v>
      </c>
      <c r="C2962" t="s">
        <v>11</v>
      </c>
      <c r="D2962" t="s">
        <v>41</v>
      </c>
      <c r="E2962" t="s">
        <v>24</v>
      </c>
      <c r="F2962" t="s">
        <v>20</v>
      </c>
      <c r="G2962" s="4">
        <v>9</v>
      </c>
      <c r="H2962" s="1">
        <v>74889</v>
      </c>
      <c r="I2962" s="3" t="s">
        <v>21</v>
      </c>
      <c r="J2962" s="4">
        <v>4</v>
      </c>
    </row>
    <row r="2963" spans="1:10" x14ac:dyDescent="0.35">
      <c r="A2963" s="2" t="s">
        <v>2999</v>
      </c>
      <c r="B2963" s="4">
        <v>5</v>
      </c>
      <c r="C2963" t="s">
        <v>11</v>
      </c>
      <c r="D2963" t="s">
        <v>33</v>
      </c>
      <c r="E2963" t="s">
        <v>37</v>
      </c>
      <c r="F2963" t="s">
        <v>30</v>
      </c>
      <c r="G2963" s="4">
        <v>14</v>
      </c>
      <c r="H2963" s="1">
        <v>96774</v>
      </c>
      <c r="I2963" s="3" t="s">
        <v>15</v>
      </c>
      <c r="J2963" s="4">
        <v>5</v>
      </c>
    </row>
    <row r="2964" spans="1:10" x14ac:dyDescent="0.35">
      <c r="A2964" s="2" t="s">
        <v>3000</v>
      </c>
      <c r="B2964" s="4">
        <v>23</v>
      </c>
      <c r="C2964" t="s">
        <v>11</v>
      </c>
      <c r="D2964" t="s">
        <v>41</v>
      </c>
      <c r="E2964" t="s">
        <v>42</v>
      </c>
      <c r="F2964" t="s">
        <v>30</v>
      </c>
      <c r="G2964" s="4">
        <v>9</v>
      </c>
      <c r="H2964" s="1">
        <v>65079</v>
      </c>
      <c r="I2964" s="3" t="s">
        <v>15</v>
      </c>
      <c r="J2964" s="4">
        <v>5</v>
      </c>
    </row>
    <row r="2965" spans="1:10" x14ac:dyDescent="0.35">
      <c r="A2965" s="2" t="s">
        <v>3001</v>
      </c>
      <c r="B2965" s="4">
        <v>50</v>
      </c>
      <c r="C2965" t="s">
        <v>11</v>
      </c>
      <c r="D2965" t="s">
        <v>12</v>
      </c>
      <c r="E2965" t="s">
        <v>24</v>
      </c>
      <c r="F2965" t="s">
        <v>30</v>
      </c>
      <c r="G2965" s="4">
        <v>4</v>
      </c>
      <c r="H2965" s="1">
        <v>83628</v>
      </c>
      <c r="I2965" s="3" t="s">
        <v>21</v>
      </c>
      <c r="J2965" s="4">
        <v>3</v>
      </c>
    </row>
    <row r="2966" spans="1:10" x14ac:dyDescent="0.35">
      <c r="A2966" s="2" t="s">
        <v>3002</v>
      </c>
      <c r="B2966" s="4">
        <v>43</v>
      </c>
      <c r="C2966" t="s">
        <v>11</v>
      </c>
      <c r="D2966" t="s">
        <v>12</v>
      </c>
      <c r="E2966" t="s">
        <v>65</v>
      </c>
      <c r="F2966" t="s">
        <v>14</v>
      </c>
      <c r="G2966" s="4">
        <v>4</v>
      </c>
      <c r="H2966" s="1">
        <v>26261</v>
      </c>
      <c r="I2966" s="3" t="s">
        <v>15</v>
      </c>
      <c r="J2966" s="4">
        <v>4</v>
      </c>
    </row>
    <row r="2967" spans="1:10" x14ac:dyDescent="0.35">
      <c r="A2967" s="2" t="s">
        <v>3003</v>
      </c>
      <c r="B2967" s="4">
        <v>38</v>
      </c>
      <c r="C2967" t="s">
        <v>17</v>
      </c>
      <c r="D2967" t="s">
        <v>18</v>
      </c>
      <c r="E2967" t="s">
        <v>42</v>
      </c>
      <c r="F2967" t="s">
        <v>20</v>
      </c>
      <c r="G2967" s="4">
        <v>11</v>
      </c>
      <c r="H2967" s="1">
        <v>10550</v>
      </c>
      <c r="I2967" s="3" t="s">
        <v>15</v>
      </c>
      <c r="J2967" s="4">
        <v>1</v>
      </c>
    </row>
    <row r="2968" spans="1:10" x14ac:dyDescent="0.35">
      <c r="A2968" s="2" t="s">
        <v>3004</v>
      </c>
      <c r="B2968" s="4">
        <v>75</v>
      </c>
      <c r="C2968" t="s">
        <v>11</v>
      </c>
      <c r="D2968" t="s">
        <v>39</v>
      </c>
      <c r="E2968" t="s">
        <v>37</v>
      </c>
      <c r="F2968" t="s">
        <v>30</v>
      </c>
      <c r="G2968" s="4">
        <v>12</v>
      </c>
      <c r="H2968" s="1">
        <v>56314</v>
      </c>
      <c r="I2968" s="3" t="s">
        <v>21</v>
      </c>
      <c r="J2968" s="4">
        <v>2</v>
      </c>
    </row>
    <row r="2969" spans="1:10" x14ac:dyDescent="0.35">
      <c r="A2969" s="2" t="s">
        <v>3005</v>
      </c>
      <c r="B2969" s="4">
        <v>67</v>
      </c>
      <c r="C2969" t="s">
        <v>17</v>
      </c>
      <c r="D2969" t="s">
        <v>28</v>
      </c>
      <c r="E2969" t="s">
        <v>53</v>
      </c>
      <c r="F2969" t="s">
        <v>20</v>
      </c>
      <c r="G2969" s="4">
        <v>13</v>
      </c>
      <c r="H2969" s="1">
        <v>25654</v>
      </c>
      <c r="I2969" s="3" t="s">
        <v>15</v>
      </c>
      <c r="J2969" s="4">
        <v>2</v>
      </c>
    </row>
    <row r="2970" spans="1:10" x14ac:dyDescent="0.35">
      <c r="A2970" s="2" t="s">
        <v>3006</v>
      </c>
      <c r="B2970" s="4">
        <v>3</v>
      </c>
      <c r="C2970" t="s">
        <v>11</v>
      </c>
      <c r="D2970" t="s">
        <v>36</v>
      </c>
      <c r="E2970" t="s">
        <v>42</v>
      </c>
      <c r="F2970" t="s">
        <v>20</v>
      </c>
      <c r="G2970" s="4">
        <v>7</v>
      </c>
      <c r="H2970" s="1">
        <v>49298</v>
      </c>
      <c r="I2970" s="3" t="s">
        <v>15</v>
      </c>
      <c r="J2970" s="4">
        <v>5</v>
      </c>
    </row>
    <row r="2971" spans="1:10" x14ac:dyDescent="0.35">
      <c r="A2971" s="2" t="s">
        <v>3007</v>
      </c>
      <c r="B2971" s="4">
        <v>54</v>
      </c>
      <c r="C2971" t="s">
        <v>17</v>
      </c>
      <c r="D2971" t="s">
        <v>33</v>
      </c>
      <c r="E2971" t="s">
        <v>24</v>
      </c>
      <c r="F2971" t="s">
        <v>14</v>
      </c>
      <c r="G2971" s="4">
        <v>9</v>
      </c>
      <c r="H2971" s="1">
        <v>27851</v>
      </c>
      <c r="I2971" s="3" t="s">
        <v>21</v>
      </c>
      <c r="J2971" s="4">
        <v>4</v>
      </c>
    </row>
    <row r="2972" spans="1:10" x14ac:dyDescent="0.35">
      <c r="A2972" s="2" t="s">
        <v>3008</v>
      </c>
      <c r="B2972" s="4">
        <v>35</v>
      </c>
      <c r="C2972" t="s">
        <v>17</v>
      </c>
      <c r="D2972" t="s">
        <v>12</v>
      </c>
      <c r="E2972" t="s">
        <v>27</v>
      </c>
      <c r="F2972" t="s">
        <v>14</v>
      </c>
      <c r="G2972" s="4">
        <v>1</v>
      </c>
      <c r="H2972" s="1">
        <v>25832</v>
      </c>
      <c r="I2972" s="3" t="s">
        <v>21</v>
      </c>
      <c r="J2972" s="4">
        <v>2</v>
      </c>
    </row>
    <row r="2973" spans="1:10" x14ac:dyDescent="0.35">
      <c r="A2973" s="2" t="s">
        <v>3009</v>
      </c>
      <c r="B2973" s="4">
        <v>14</v>
      </c>
      <c r="C2973" t="s">
        <v>17</v>
      </c>
      <c r="D2973" t="s">
        <v>49</v>
      </c>
      <c r="E2973" t="s">
        <v>13</v>
      </c>
      <c r="F2973" t="s">
        <v>30</v>
      </c>
      <c r="G2973" s="4">
        <v>15</v>
      </c>
      <c r="H2973" s="1">
        <v>40103</v>
      </c>
      <c r="I2973" s="3" t="s">
        <v>21</v>
      </c>
      <c r="J2973" s="4">
        <v>5</v>
      </c>
    </row>
    <row r="2974" spans="1:10" x14ac:dyDescent="0.35">
      <c r="A2974" s="2" t="s">
        <v>3010</v>
      </c>
      <c r="B2974" s="4">
        <v>10</v>
      </c>
      <c r="C2974" t="s">
        <v>11</v>
      </c>
      <c r="D2974" t="s">
        <v>36</v>
      </c>
      <c r="E2974" t="s">
        <v>27</v>
      </c>
      <c r="F2974" t="s">
        <v>14</v>
      </c>
      <c r="G2974" s="4">
        <v>4</v>
      </c>
      <c r="H2974" s="1">
        <v>69158</v>
      </c>
      <c r="I2974" s="3" t="s">
        <v>15</v>
      </c>
      <c r="J2974" s="4">
        <v>5</v>
      </c>
    </row>
    <row r="2975" spans="1:10" x14ac:dyDescent="0.35">
      <c r="A2975" s="2" t="s">
        <v>3011</v>
      </c>
      <c r="B2975" s="4">
        <v>16</v>
      </c>
      <c r="C2975" t="s">
        <v>11</v>
      </c>
      <c r="D2975" t="s">
        <v>49</v>
      </c>
      <c r="E2975" t="s">
        <v>24</v>
      </c>
      <c r="F2975" t="s">
        <v>20</v>
      </c>
      <c r="G2975" s="4">
        <v>11</v>
      </c>
      <c r="H2975" s="1">
        <v>87656</v>
      </c>
      <c r="I2975" s="3" t="s">
        <v>15</v>
      </c>
      <c r="J2975" s="4">
        <v>4</v>
      </c>
    </row>
    <row r="2976" spans="1:10" x14ac:dyDescent="0.35">
      <c r="A2976" s="2" t="s">
        <v>3012</v>
      </c>
      <c r="B2976" s="4">
        <v>57</v>
      </c>
      <c r="C2976" t="s">
        <v>17</v>
      </c>
      <c r="D2976" t="s">
        <v>33</v>
      </c>
      <c r="E2976" t="s">
        <v>24</v>
      </c>
      <c r="F2976" t="s">
        <v>20</v>
      </c>
      <c r="G2976" s="4">
        <v>10</v>
      </c>
      <c r="H2976" s="1">
        <v>43087</v>
      </c>
      <c r="I2976" s="3" t="s">
        <v>15</v>
      </c>
      <c r="J2976" s="4">
        <v>5</v>
      </c>
    </row>
    <row r="2977" spans="1:10" x14ac:dyDescent="0.35">
      <c r="A2977" s="2" t="s">
        <v>3013</v>
      </c>
      <c r="B2977" s="4">
        <v>67</v>
      </c>
      <c r="C2977" t="s">
        <v>17</v>
      </c>
      <c r="D2977" t="s">
        <v>18</v>
      </c>
      <c r="E2977" t="s">
        <v>37</v>
      </c>
      <c r="F2977" t="s">
        <v>14</v>
      </c>
      <c r="G2977" s="4">
        <v>3</v>
      </c>
      <c r="H2977" s="1">
        <v>36995</v>
      </c>
      <c r="I2977" s="3" t="s">
        <v>15</v>
      </c>
      <c r="J2977" s="4">
        <v>3</v>
      </c>
    </row>
    <row r="2978" spans="1:10" x14ac:dyDescent="0.35">
      <c r="A2978" s="2" t="s">
        <v>3014</v>
      </c>
      <c r="B2978" s="4">
        <v>30</v>
      </c>
      <c r="C2978" t="s">
        <v>11</v>
      </c>
      <c r="D2978" t="s">
        <v>12</v>
      </c>
      <c r="E2978" t="s">
        <v>65</v>
      </c>
      <c r="F2978" t="s">
        <v>14</v>
      </c>
      <c r="G2978" s="4">
        <v>1</v>
      </c>
      <c r="H2978" s="1">
        <v>53333</v>
      </c>
      <c r="I2978" s="3" t="s">
        <v>15</v>
      </c>
      <c r="J2978" s="4">
        <v>2</v>
      </c>
    </row>
    <row r="2979" spans="1:10" x14ac:dyDescent="0.35">
      <c r="A2979" s="2" t="s">
        <v>3015</v>
      </c>
      <c r="B2979" s="4">
        <v>46</v>
      </c>
      <c r="C2979" t="s">
        <v>11</v>
      </c>
      <c r="D2979" t="s">
        <v>49</v>
      </c>
      <c r="E2979" t="s">
        <v>37</v>
      </c>
      <c r="F2979" t="s">
        <v>20</v>
      </c>
      <c r="G2979" s="4">
        <v>3</v>
      </c>
      <c r="H2979" s="1">
        <v>25715</v>
      </c>
      <c r="I2979" s="3" t="s">
        <v>21</v>
      </c>
      <c r="J2979" s="4">
        <v>3</v>
      </c>
    </row>
    <row r="2980" spans="1:10" x14ac:dyDescent="0.35">
      <c r="A2980" s="2" t="s">
        <v>3016</v>
      </c>
      <c r="B2980" s="4">
        <v>14</v>
      </c>
      <c r="C2980" t="s">
        <v>17</v>
      </c>
      <c r="D2980" t="s">
        <v>49</v>
      </c>
      <c r="E2980" t="s">
        <v>42</v>
      </c>
      <c r="F2980" t="s">
        <v>14</v>
      </c>
      <c r="G2980" s="4">
        <v>11</v>
      </c>
      <c r="H2980" s="1">
        <v>91725</v>
      </c>
      <c r="I2980" s="3" t="s">
        <v>21</v>
      </c>
      <c r="J2980" s="4">
        <v>5</v>
      </c>
    </row>
    <row r="2981" spans="1:10" x14ac:dyDescent="0.35">
      <c r="A2981" s="2" t="s">
        <v>3017</v>
      </c>
      <c r="B2981" s="4">
        <v>43</v>
      </c>
      <c r="C2981" t="s">
        <v>17</v>
      </c>
      <c r="D2981" t="s">
        <v>39</v>
      </c>
      <c r="E2981" t="s">
        <v>65</v>
      </c>
      <c r="F2981" t="s">
        <v>20</v>
      </c>
      <c r="G2981" s="4">
        <v>5</v>
      </c>
      <c r="H2981" s="1">
        <v>61842</v>
      </c>
      <c r="I2981" s="3" t="s">
        <v>15</v>
      </c>
      <c r="J2981" s="4">
        <v>4</v>
      </c>
    </row>
    <row r="2982" spans="1:10" x14ac:dyDescent="0.35">
      <c r="A2982" s="2" t="s">
        <v>3018</v>
      </c>
      <c r="B2982" s="4">
        <v>43</v>
      </c>
      <c r="C2982" t="s">
        <v>17</v>
      </c>
      <c r="D2982" t="s">
        <v>18</v>
      </c>
      <c r="E2982" t="s">
        <v>27</v>
      </c>
      <c r="F2982" t="s">
        <v>14</v>
      </c>
      <c r="G2982" s="4">
        <v>5</v>
      </c>
      <c r="H2982" s="1">
        <v>81028</v>
      </c>
      <c r="I2982" s="3" t="s">
        <v>15</v>
      </c>
      <c r="J2982" s="4">
        <v>4</v>
      </c>
    </row>
    <row r="2983" spans="1:10" x14ac:dyDescent="0.35">
      <c r="A2983" s="2" t="s">
        <v>3019</v>
      </c>
      <c r="B2983" s="4">
        <v>63</v>
      </c>
      <c r="C2983" t="s">
        <v>17</v>
      </c>
      <c r="D2983" t="s">
        <v>26</v>
      </c>
      <c r="E2983" t="s">
        <v>53</v>
      </c>
      <c r="F2983" t="s">
        <v>20</v>
      </c>
      <c r="G2983" s="4">
        <v>14</v>
      </c>
      <c r="H2983" s="1">
        <v>75338</v>
      </c>
      <c r="I2983" s="3" t="s">
        <v>21</v>
      </c>
      <c r="J2983" s="4">
        <v>3</v>
      </c>
    </row>
    <row r="2984" spans="1:10" x14ac:dyDescent="0.35">
      <c r="A2984" s="2" t="s">
        <v>3020</v>
      </c>
      <c r="B2984" s="4">
        <v>85</v>
      </c>
      <c r="C2984" t="s">
        <v>11</v>
      </c>
      <c r="D2984" t="s">
        <v>23</v>
      </c>
      <c r="E2984" t="s">
        <v>65</v>
      </c>
      <c r="F2984" t="s">
        <v>20</v>
      </c>
      <c r="G2984" s="4">
        <v>2</v>
      </c>
      <c r="H2984" s="1">
        <v>66788</v>
      </c>
      <c r="I2984" s="3" t="s">
        <v>21</v>
      </c>
      <c r="J2984" s="4">
        <v>3</v>
      </c>
    </row>
    <row r="2985" spans="1:10" x14ac:dyDescent="0.35">
      <c r="A2985" s="2" t="s">
        <v>3021</v>
      </c>
      <c r="B2985" s="4">
        <v>29</v>
      </c>
      <c r="C2985" t="s">
        <v>17</v>
      </c>
      <c r="D2985" t="s">
        <v>33</v>
      </c>
      <c r="E2985" t="s">
        <v>65</v>
      </c>
      <c r="F2985" t="s">
        <v>20</v>
      </c>
      <c r="G2985" s="4">
        <v>11</v>
      </c>
      <c r="H2985" s="1">
        <v>75683</v>
      </c>
      <c r="I2985" s="3" t="s">
        <v>15</v>
      </c>
      <c r="J2985" s="4">
        <v>4</v>
      </c>
    </row>
    <row r="2986" spans="1:10" x14ac:dyDescent="0.35">
      <c r="A2986" s="2" t="s">
        <v>3022</v>
      </c>
      <c r="B2986" s="4">
        <v>68</v>
      </c>
      <c r="C2986" t="s">
        <v>17</v>
      </c>
      <c r="D2986" t="s">
        <v>23</v>
      </c>
      <c r="E2986" t="s">
        <v>13</v>
      </c>
      <c r="F2986" t="s">
        <v>20</v>
      </c>
      <c r="G2986" s="4">
        <v>11</v>
      </c>
      <c r="H2986" s="1">
        <v>86526</v>
      </c>
      <c r="I2986" s="3" t="s">
        <v>15</v>
      </c>
      <c r="J2986" s="4">
        <v>5</v>
      </c>
    </row>
    <row r="2987" spans="1:10" x14ac:dyDescent="0.35">
      <c r="A2987" s="2" t="s">
        <v>3023</v>
      </c>
      <c r="B2987" s="4">
        <v>74</v>
      </c>
      <c r="C2987" t="s">
        <v>11</v>
      </c>
      <c r="D2987" t="s">
        <v>26</v>
      </c>
      <c r="E2987" t="s">
        <v>29</v>
      </c>
      <c r="F2987" t="s">
        <v>30</v>
      </c>
      <c r="G2987" s="4">
        <v>4</v>
      </c>
      <c r="H2987" s="1">
        <v>23190</v>
      </c>
      <c r="I2987" s="3" t="s">
        <v>21</v>
      </c>
      <c r="J2987" s="4">
        <v>4</v>
      </c>
    </row>
    <row r="2988" spans="1:10" x14ac:dyDescent="0.35">
      <c r="A2988" s="2" t="s">
        <v>3024</v>
      </c>
      <c r="B2988" s="4">
        <v>71</v>
      </c>
      <c r="C2988" t="s">
        <v>17</v>
      </c>
      <c r="D2988" t="s">
        <v>36</v>
      </c>
      <c r="E2988" t="s">
        <v>24</v>
      </c>
      <c r="F2988" t="s">
        <v>30</v>
      </c>
      <c r="G2988" s="4">
        <v>5</v>
      </c>
      <c r="H2988" s="1">
        <v>56107</v>
      </c>
      <c r="I2988" s="3" t="s">
        <v>21</v>
      </c>
      <c r="J2988" s="4">
        <v>2</v>
      </c>
    </row>
    <row r="2989" spans="1:10" x14ac:dyDescent="0.35">
      <c r="A2989" s="2" t="s">
        <v>3025</v>
      </c>
      <c r="B2989" s="4">
        <v>57</v>
      </c>
      <c r="C2989" t="s">
        <v>17</v>
      </c>
      <c r="D2989" t="s">
        <v>12</v>
      </c>
      <c r="E2989" t="s">
        <v>24</v>
      </c>
      <c r="F2989" t="s">
        <v>14</v>
      </c>
      <c r="G2989" s="4">
        <v>14</v>
      </c>
      <c r="H2989" s="1">
        <v>95224</v>
      </c>
      <c r="I2989" s="3" t="s">
        <v>15</v>
      </c>
      <c r="J2989" s="4">
        <v>5</v>
      </c>
    </row>
    <row r="2990" spans="1:10" x14ac:dyDescent="0.35">
      <c r="A2990" s="2" t="s">
        <v>3026</v>
      </c>
      <c r="B2990" s="4">
        <v>42</v>
      </c>
      <c r="C2990" t="s">
        <v>11</v>
      </c>
      <c r="D2990" t="s">
        <v>23</v>
      </c>
      <c r="E2990" t="s">
        <v>37</v>
      </c>
      <c r="F2990" t="s">
        <v>20</v>
      </c>
      <c r="G2990" s="4">
        <v>15</v>
      </c>
      <c r="H2990" s="1">
        <v>94377</v>
      </c>
      <c r="I2990" s="3" t="s">
        <v>21</v>
      </c>
      <c r="J2990" s="4">
        <v>5</v>
      </c>
    </row>
    <row r="2991" spans="1:10" x14ac:dyDescent="0.35">
      <c r="A2991" s="2" t="s">
        <v>3027</v>
      </c>
      <c r="B2991" s="4">
        <v>27</v>
      </c>
      <c r="C2991" t="s">
        <v>17</v>
      </c>
      <c r="D2991" t="s">
        <v>18</v>
      </c>
      <c r="E2991" t="s">
        <v>27</v>
      </c>
      <c r="F2991" t="s">
        <v>20</v>
      </c>
      <c r="G2991" s="4">
        <v>8</v>
      </c>
      <c r="H2991" s="1">
        <v>72620</v>
      </c>
      <c r="I2991" s="3" t="s">
        <v>15</v>
      </c>
      <c r="J2991" s="4">
        <v>5</v>
      </c>
    </row>
    <row r="2992" spans="1:10" x14ac:dyDescent="0.35">
      <c r="A2992" s="2" t="s">
        <v>3028</v>
      </c>
      <c r="B2992" s="4">
        <v>83</v>
      </c>
      <c r="C2992" t="s">
        <v>17</v>
      </c>
      <c r="D2992" t="s">
        <v>28</v>
      </c>
      <c r="E2992" t="s">
        <v>53</v>
      </c>
      <c r="F2992" t="s">
        <v>20</v>
      </c>
      <c r="G2992" s="4">
        <v>4</v>
      </c>
      <c r="H2992" s="1">
        <v>97946</v>
      </c>
      <c r="I2992" s="3" t="s">
        <v>15</v>
      </c>
      <c r="J2992" s="4">
        <v>4</v>
      </c>
    </row>
    <row r="2993" spans="1:10" x14ac:dyDescent="0.35">
      <c r="A2993" s="2" t="s">
        <v>3029</v>
      </c>
      <c r="B2993" s="4">
        <v>89</v>
      </c>
      <c r="C2993" t="s">
        <v>11</v>
      </c>
      <c r="D2993" t="s">
        <v>28</v>
      </c>
      <c r="E2993" t="s">
        <v>19</v>
      </c>
      <c r="F2993" t="s">
        <v>14</v>
      </c>
      <c r="G2993" s="4">
        <v>11</v>
      </c>
      <c r="H2993" s="1">
        <v>85615</v>
      </c>
      <c r="I2993" s="3" t="s">
        <v>21</v>
      </c>
      <c r="J2993" s="4">
        <v>5</v>
      </c>
    </row>
    <row r="2994" spans="1:10" x14ac:dyDescent="0.35">
      <c r="A2994" s="2" t="s">
        <v>3030</v>
      </c>
      <c r="B2994" s="4">
        <v>64</v>
      </c>
      <c r="C2994" t="s">
        <v>11</v>
      </c>
      <c r="D2994" t="s">
        <v>26</v>
      </c>
      <c r="E2994" t="s">
        <v>53</v>
      </c>
      <c r="F2994" t="s">
        <v>20</v>
      </c>
      <c r="G2994" s="4">
        <v>13</v>
      </c>
      <c r="H2994" s="1">
        <v>82624</v>
      </c>
      <c r="I2994" s="3" t="s">
        <v>15</v>
      </c>
      <c r="J2994" s="4">
        <v>1</v>
      </c>
    </row>
    <row r="2995" spans="1:10" x14ac:dyDescent="0.35">
      <c r="A2995" s="2" t="s">
        <v>3031</v>
      </c>
      <c r="B2995" s="4">
        <v>73</v>
      </c>
      <c r="C2995" t="s">
        <v>11</v>
      </c>
      <c r="D2995" t="s">
        <v>12</v>
      </c>
      <c r="E2995" t="s">
        <v>37</v>
      </c>
      <c r="F2995" t="s">
        <v>30</v>
      </c>
      <c r="G2995" s="4">
        <v>10</v>
      </c>
      <c r="H2995" s="1">
        <v>82110</v>
      </c>
      <c r="I2995" s="3" t="s">
        <v>15</v>
      </c>
      <c r="J2995" s="4">
        <v>2</v>
      </c>
    </row>
    <row r="2996" spans="1:10" x14ac:dyDescent="0.35">
      <c r="A2996" s="2" t="s">
        <v>3032</v>
      </c>
      <c r="B2996" s="4">
        <v>84</v>
      </c>
      <c r="C2996" t="s">
        <v>17</v>
      </c>
      <c r="D2996" t="s">
        <v>28</v>
      </c>
      <c r="E2996" t="s">
        <v>24</v>
      </c>
      <c r="F2996" t="s">
        <v>14</v>
      </c>
      <c r="G2996" s="4">
        <v>15</v>
      </c>
      <c r="H2996" s="1">
        <v>91945</v>
      </c>
      <c r="I2996" s="3" t="s">
        <v>15</v>
      </c>
      <c r="J2996" s="4">
        <v>4</v>
      </c>
    </row>
    <row r="2997" spans="1:10" x14ac:dyDescent="0.35">
      <c r="A2997" s="2" t="s">
        <v>3033</v>
      </c>
      <c r="B2997" s="4">
        <v>42</v>
      </c>
      <c r="C2997" t="s">
        <v>11</v>
      </c>
      <c r="D2997" t="s">
        <v>36</v>
      </c>
      <c r="E2997" t="s">
        <v>37</v>
      </c>
      <c r="F2997" t="s">
        <v>30</v>
      </c>
      <c r="G2997" s="4">
        <v>13</v>
      </c>
      <c r="H2997" s="1">
        <v>72666</v>
      </c>
      <c r="I2997" s="3" t="s">
        <v>21</v>
      </c>
      <c r="J2997" s="4">
        <v>3</v>
      </c>
    </row>
    <row r="2998" spans="1:10" x14ac:dyDescent="0.35">
      <c r="A2998" s="2" t="s">
        <v>3034</v>
      </c>
      <c r="B2998" s="4">
        <v>56</v>
      </c>
      <c r="C2998" t="s">
        <v>11</v>
      </c>
      <c r="D2998" t="s">
        <v>12</v>
      </c>
      <c r="E2998" t="s">
        <v>29</v>
      </c>
      <c r="F2998" t="s">
        <v>20</v>
      </c>
      <c r="G2998" s="4">
        <v>5</v>
      </c>
      <c r="H2998" s="1">
        <v>18291</v>
      </c>
      <c r="I2998" s="3" t="s">
        <v>21</v>
      </c>
      <c r="J2998" s="4">
        <v>2</v>
      </c>
    </row>
    <row r="2999" spans="1:10" x14ac:dyDescent="0.35">
      <c r="A2999" s="2" t="s">
        <v>3035</v>
      </c>
      <c r="B2999" s="4">
        <v>41</v>
      </c>
      <c r="C2999" t="s">
        <v>11</v>
      </c>
      <c r="D2999" t="s">
        <v>41</v>
      </c>
      <c r="E2999" t="s">
        <v>65</v>
      </c>
      <c r="F2999" t="s">
        <v>14</v>
      </c>
      <c r="G2999" s="4">
        <v>4</v>
      </c>
      <c r="H2999" s="1">
        <v>99077</v>
      </c>
      <c r="I2999" s="3" t="s">
        <v>21</v>
      </c>
      <c r="J2999" s="4">
        <v>5</v>
      </c>
    </row>
    <row r="3000" spans="1:10" x14ac:dyDescent="0.35">
      <c r="A3000" s="2" t="s">
        <v>3036</v>
      </c>
      <c r="B3000" s="4">
        <v>69</v>
      </c>
      <c r="C3000" t="s">
        <v>11</v>
      </c>
      <c r="D3000" t="s">
        <v>23</v>
      </c>
      <c r="E3000" t="s">
        <v>24</v>
      </c>
      <c r="F3000" t="s">
        <v>14</v>
      </c>
      <c r="G3000" s="4">
        <v>10</v>
      </c>
      <c r="H3000" s="1">
        <v>67170</v>
      </c>
      <c r="I3000" s="3" t="s">
        <v>15</v>
      </c>
      <c r="J3000" s="4">
        <v>4</v>
      </c>
    </row>
    <row r="3001" spans="1:10" x14ac:dyDescent="0.35">
      <c r="A3001" s="2" t="s">
        <v>3037</v>
      </c>
      <c r="B3001" s="4">
        <v>88</v>
      </c>
      <c r="C3001" t="s">
        <v>11</v>
      </c>
      <c r="D3001" t="s">
        <v>12</v>
      </c>
      <c r="E3001" t="s">
        <v>19</v>
      </c>
      <c r="F3001" t="s">
        <v>30</v>
      </c>
      <c r="G3001" s="4">
        <v>6</v>
      </c>
      <c r="H3001" s="1">
        <v>16377</v>
      </c>
      <c r="I3001" s="3" t="s">
        <v>15</v>
      </c>
      <c r="J3001" s="4">
        <v>3</v>
      </c>
    </row>
    <row r="3002" spans="1:10" x14ac:dyDescent="0.35">
      <c r="A3002" s="2" t="s">
        <v>3038</v>
      </c>
      <c r="B3002" s="4">
        <v>67</v>
      </c>
      <c r="C3002" t="s">
        <v>17</v>
      </c>
      <c r="D3002" t="s">
        <v>12</v>
      </c>
      <c r="E3002" t="s">
        <v>53</v>
      </c>
      <c r="F3002" t="s">
        <v>20</v>
      </c>
      <c r="G3002" s="4">
        <v>1</v>
      </c>
      <c r="H3002" s="1">
        <v>78747</v>
      </c>
      <c r="I3002" s="3" t="s">
        <v>21</v>
      </c>
      <c r="J3002" s="4">
        <v>1</v>
      </c>
    </row>
    <row r="3003" spans="1:10" x14ac:dyDescent="0.35">
      <c r="A3003" s="2" t="s">
        <v>3039</v>
      </c>
      <c r="B3003" s="4">
        <v>67</v>
      </c>
      <c r="C3003" t="s">
        <v>11</v>
      </c>
      <c r="D3003" t="s">
        <v>33</v>
      </c>
      <c r="E3003" t="s">
        <v>24</v>
      </c>
      <c r="F3003" t="s">
        <v>30</v>
      </c>
      <c r="G3003" s="4">
        <v>7</v>
      </c>
      <c r="H3003" s="1">
        <v>46095</v>
      </c>
      <c r="I3003" s="3" t="s">
        <v>21</v>
      </c>
      <c r="J3003" s="4">
        <v>2</v>
      </c>
    </row>
    <row r="3004" spans="1:10" x14ac:dyDescent="0.35">
      <c r="A3004" s="2" t="s">
        <v>3040</v>
      </c>
      <c r="B3004" s="4">
        <v>34</v>
      </c>
      <c r="C3004" t="s">
        <v>11</v>
      </c>
      <c r="D3004" t="s">
        <v>28</v>
      </c>
      <c r="E3004" t="s">
        <v>65</v>
      </c>
      <c r="F3004" t="s">
        <v>14</v>
      </c>
      <c r="G3004" s="4">
        <v>3</v>
      </c>
      <c r="H3004" s="1">
        <v>89461</v>
      </c>
      <c r="I3004" s="3" t="s">
        <v>15</v>
      </c>
      <c r="J3004" s="4">
        <v>3</v>
      </c>
    </row>
    <row r="3005" spans="1:10" x14ac:dyDescent="0.35">
      <c r="A3005" s="2" t="s">
        <v>3041</v>
      </c>
      <c r="B3005" s="4">
        <v>44</v>
      </c>
      <c r="C3005" t="s">
        <v>11</v>
      </c>
      <c r="D3005" t="s">
        <v>49</v>
      </c>
      <c r="E3005" t="s">
        <v>27</v>
      </c>
      <c r="F3005" t="s">
        <v>20</v>
      </c>
      <c r="G3005" s="4">
        <v>11</v>
      </c>
      <c r="H3005" s="1">
        <v>99241</v>
      </c>
      <c r="I3005" s="3" t="s">
        <v>21</v>
      </c>
      <c r="J3005" s="4">
        <v>4</v>
      </c>
    </row>
    <row r="3006" spans="1:10" x14ac:dyDescent="0.35">
      <c r="A3006" s="2" t="s">
        <v>3042</v>
      </c>
      <c r="B3006" s="4">
        <v>60</v>
      </c>
      <c r="C3006" t="s">
        <v>17</v>
      </c>
      <c r="D3006" t="s">
        <v>28</v>
      </c>
      <c r="E3006" t="s">
        <v>34</v>
      </c>
      <c r="F3006" t="s">
        <v>14</v>
      </c>
      <c r="G3006" s="4">
        <v>4</v>
      </c>
      <c r="H3006" s="1">
        <v>73142</v>
      </c>
      <c r="I3006" s="3" t="s">
        <v>15</v>
      </c>
      <c r="J3006" s="4">
        <v>2</v>
      </c>
    </row>
    <row r="3007" spans="1:10" x14ac:dyDescent="0.35">
      <c r="A3007" s="2" t="s">
        <v>3043</v>
      </c>
      <c r="B3007" s="4">
        <v>54</v>
      </c>
      <c r="C3007" t="s">
        <v>17</v>
      </c>
      <c r="D3007" t="s">
        <v>26</v>
      </c>
      <c r="E3007" t="s">
        <v>27</v>
      </c>
      <c r="F3007" t="s">
        <v>14</v>
      </c>
      <c r="G3007" s="4">
        <v>9</v>
      </c>
      <c r="H3007" s="1">
        <v>51726</v>
      </c>
      <c r="I3007" s="3" t="s">
        <v>21</v>
      </c>
      <c r="J3007" s="4">
        <v>3</v>
      </c>
    </row>
    <row r="3008" spans="1:10" x14ac:dyDescent="0.35">
      <c r="A3008" s="2" t="s">
        <v>3044</v>
      </c>
      <c r="B3008" s="4">
        <v>46</v>
      </c>
      <c r="C3008" t="s">
        <v>11</v>
      </c>
      <c r="D3008" t="s">
        <v>36</v>
      </c>
      <c r="E3008" t="s">
        <v>53</v>
      </c>
      <c r="F3008" t="s">
        <v>30</v>
      </c>
      <c r="G3008" s="4">
        <v>11</v>
      </c>
      <c r="H3008" s="1">
        <v>71340</v>
      </c>
      <c r="I3008" s="3" t="s">
        <v>21</v>
      </c>
      <c r="J3008" s="4">
        <v>2</v>
      </c>
    </row>
    <row r="3009" spans="1:10" x14ac:dyDescent="0.35">
      <c r="A3009" s="2" t="s">
        <v>3045</v>
      </c>
      <c r="B3009" s="4">
        <v>25</v>
      </c>
      <c r="C3009" t="s">
        <v>11</v>
      </c>
      <c r="D3009" t="s">
        <v>39</v>
      </c>
      <c r="E3009" t="s">
        <v>37</v>
      </c>
      <c r="F3009" t="s">
        <v>20</v>
      </c>
      <c r="G3009" s="4">
        <v>10</v>
      </c>
      <c r="H3009" s="1">
        <v>86275</v>
      </c>
      <c r="I3009" s="3" t="s">
        <v>15</v>
      </c>
      <c r="J3009" s="4">
        <v>3</v>
      </c>
    </row>
    <row r="3010" spans="1:10" x14ac:dyDescent="0.35">
      <c r="A3010" s="2" t="s">
        <v>3046</v>
      </c>
      <c r="B3010" s="4">
        <v>3</v>
      </c>
      <c r="C3010" t="s">
        <v>11</v>
      </c>
      <c r="D3010" t="s">
        <v>26</v>
      </c>
      <c r="E3010" t="s">
        <v>53</v>
      </c>
      <c r="F3010" t="s">
        <v>30</v>
      </c>
      <c r="G3010" s="4">
        <v>11</v>
      </c>
      <c r="H3010" s="1">
        <v>96937</v>
      </c>
      <c r="I3010" s="3" t="s">
        <v>15</v>
      </c>
      <c r="J3010" s="4">
        <v>3</v>
      </c>
    </row>
    <row r="3011" spans="1:10" x14ac:dyDescent="0.35">
      <c r="A3011" s="2" t="s">
        <v>3047</v>
      </c>
      <c r="B3011" s="4">
        <v>8</v>
      </c>
      <c r="C3011" t="s">
        <v>11</v>
      </c>
      <c r="D3011" t="s">
        <v>41</v>
      </c>
      <c r="E3011" t="s">
        <v>65</v>
      </c>
      <c r="F3011" t="s">
        <v>20</v>
      </c>
      <c r="G3011" s="4">
        <v>5</v>
      </c>
      <c r="H3011" s="1">
        <v>36850</v>
      </c>
      <c r="I3011" s="3" t="s">
        <v>21</v>
      </c>
      <c r="J3011" s="4">
        <v>2</v>
      </c>
    </row>
    <row r="3012" spans="1:10" x14ac:dyDescent="0.35">
      <c r="A3012" s="2" t="s">
        <v>3048</v>
      </c>
      <c r="B3012" s="4">
        <v>70</v>
      </c>
      <c r="C3012" t="s">
        <v>17</v>
      </c>
      <c r="D3012" t="s">
        <v>23</v>
      </c>
      <c r="E3012" t="s">
        <v>65</v>
      </c>
      <c r="F3012" t="s">
        <v>30</v>
      </c>
      <c r="G3012" s="4">
        <v>14</v>
      </c>
      <c r="H3012" s="1">
        <v>34026</v>
      </c>
      <c r="I3012" s="3" t="s">
        <v>15</v>
      </c>
      <c r="J3012" s="4">
        <v>3</v>
      </c>
    </row>
    <row r="3013" spans="1:10" x14ac:dyDescent="0.35">
      <c r="A3013" s="2" t="s">
        <v>3049</v>
      </c>
      <c r="B3013" s="4">
        <v>75</v>
      </c>
      <c r="C3013" t="s">
        <v>17</v>
      </c>
      <c r="D3013" t="s">
        <v>26</v>
      </c>
      <c r="E3013" t="s">
        <v>13</v>
      </c>
      <c r="F3013" t="s">
        <v>20</v>
      </c>
      <c r="G3013" s="4">
        <v>12</v>
      </c>
      <c r="H3013" s="1">
        <v>20098</v>
      </c>
      <c r="I3013" s="3" t="s">
        <v>15</v>
      </c>
      <c r="J3013" s="4">
        <v>2</v>
      </c>
    </row>
    <row r="3014" spans="1:10" x14ac:dyDescent="0.35">
      <c r="A3014" s="2" t="s">
        <v>3050</v>
      </c>
      <c r="B3014" s="4">
        <v>62</v>
      </c>
      <c r="C3014" t="s">
        <v>11</v>
      </c>
      <c r="D3014" t="s">
        <v>39</v>
      </c>
      <c r="E3014" t="s">
        <v>27</v>
      </c>
      <c r="F3014" t="s">
        <v>20</v>
      </c>
      <c r="G3014" s="4">
        <v>8</v>
      </c>
      <c r="H3014" s="1">
        <v>92140</v>
      </c>
      <c r="I3014" s="3" t="s">
        <v>15</v>
      </c>
      <c r="J3014" s="4">
        <v>4</v>
      </c>
    </row>
    <row r="3015" spans="1:10" x14ac:dyDescent="0.35">
      <c r="A3015" s="2" t="s">
        <v>3051</v>
      </c>
      <c r="B3015" s="4">
        <v>36</v>
      </c>
      <c r="C3015" t="s">
        <v>17</v>
      </c>
      <c r="D3015" t="s">
        <v>28</v>
      </c>
      <c r="E3015" t="s">
        <v>37</v>
      </c>
      <c r="F3015" t="s">
        <v>20</v>
      </c>
      <c r="G3015" s="4">
        <v>15</v>
      </c>
      <c r="H3015" s="1">
        <v>91759</v>
      </c>
      <c r="I3015" s="3" t="s">
        <v>21</v>
      </c>
      <c r="J3015" s="4">
        <v>1</v>
      </c>
    </row>
    <row r="3016" spans="1:10" x14ac:dyDescent="0.35">
      <c r="A3016" s="2" t="s">
        <v>3052</v>
      </c>
      <c r="B3016" s="4">
        <v>67</v>
      </c>
      <c r="C3016" t="s">
        <v>17</v>
      </c>
      <c r="D3016" t="s">
        <v>18</v>
      </c>
      <c r="E3016" t="s">
        <v>24</v>
      </c>
      <c r="F3016" t="s">
        <v>20</v>
      </c>
      <c r="G3016" s="4">
        <v>2</v>
      </c>
      <c r="H3016" s="1">
        <v>46341</v>
      </c>
      <c r="I3016" s="3" t="s">
        <v>21</v>
      </c>
      <c r="J3016" s="4">
        <v>3</v>
      </c>
    </row>
    <row r="3017" spans="1:10" x14ac:dyDescent="0.35">
      <c r="A3017" s="2" t="s">
        <v>3053</v>
      </c>
      <c r="B3017" s="4">
        <v>72</v>
      </c>
      <c r="C3017" t="s">
        <v>11</v>
      </c>
      <c r="D3017" t="s">
        <v>12</v>
      </c>
      <c r="E3017" t="s">
        <v>29</v>
      </c>
      <c r="F3017" t="s">
        <v>14</v>
      </c>
      <c r="G3017" s="4">
        <v>9</v>
      </c>
      <c r="H3017" s="1">
        <v>52238</v>
      </c>
      <c r="I3017" s="3" t="s">
        <v>21</v>
      </c>
      <c r="J3017" s="4">
        <v>2</v>
      </c>
    </row>
    <row r="3018" spans="1:10" x14ac:dyDescent="0.35">
      <c r="A3018" s="2" t="s">
        <v>3054</v>
      </c>
      <c r="B3018" s="4">
        <v>35</v>
      </c>
      <c r="C3018" t="s">
        <v>11</v>
      </c>
      <c r="D3018" t="s">
        <v>41</v>
      </c>
      <c r="E3018" t="s">
        <v>37</v>
      </c>
      <c r="F3018" t="s">
        <v>20</v>
      </c>
      <c r="G3018" s="4">
        <v>6</v>
      </c>
      <c r="H3018" s="1">
        <v>80442</v>
      </c>
      <c r="I3018" s="3" t="s">
        <v>21</v>
      </c>
      <c r="J3018" s="4">
        <v>5</v>
      </c>
    </row>
    <row r="3019" spans="1:10" x14ac:dyDescent="0.35">
      <c r="A3019" s="2" t="s">
        <v>3055</v>
      </c>
      <c r="B3019" s="4">
        <v>88</v>
      </c>
      <c r="C3019" t="s">
        <v>11</v>
      </c>
      <c r="D3019" t="s">
        <v>36</v>
      </c>
      <c r="E3019" t="s">
        <v>24</v>
      </c>
      <c r="F3019" t="s">
        <v>20</v>
      </c>
      <c r="G3019" s="4">
        <v>5</v>
      </c>
      <c r="H3019" s="1">
        <v>78905</v>
      </c>
      <c r="I3019" s="3" t="s">
        <v>21</v>
      </c>
      <c r="J3019" s="4">
        <v>1</v>
      </c>
    </row>
    <row r="3020" spans="1:10" x14ac:dyDescent="0.35">
      <c r="A3020" s="2" t="s">
        <v>3056</v>
      </c>
      <c r="B3020" s="4">
        <v>57</v>
      </c>
      <c r="C3020" t="s">
        <v>11</v>
      </c>
      <c r="D3020" t="s">
        <v>49</v>
      </c>
      <c r="E3020" t="s">
        <v>53</v>
      </c>
      <c r="F3020" t="s">
        <v>20</v>
      </c>
      <c r="G3020" s="4">
        <v>2</v>
      </c>
      <c r="H3020" s="1">
        <v>90415</v>
      </c>
      <c r="I3020" s="3" t="s">
        <v>21</v>
      </c>
      <c r="J3020" s="4">
        <v>1</v>
      </c>
    </row>
    <row r="3021" spans="1:10" x14ac:dyDescent="0.35">
      <c r="A3021" s="2" t="s">
        <v>3057</v>
      </c>
      <c r="B3021" s="4">
        <v>65</v>
      </c>
      <c r="C3021" t="s">
        <v>17</v>
      </c>
      <c r="D3021" t="s">
        <v>41</v>
      </c>
      <c r="E3021" t="s">
        <v>27</v>
      </c>
      <c r="F3021" t="s">
        <v>30</v>
      </c>
      <c r="G3021" s="4">
        <v>1</v>
      </c>
      <c r="H3021" s="1">
        <v>54735</v>
      </c>
      <c r="I3021" s="3" t="s">
        <v>21</v>
      </c>
      <c r="J3021" s="4">
        <v>1</v>
      </c>
    </row>
    <row r="3022" spans="1:10" x14ac:dyDescent="0.35">
      <c r="A3022" s="2" t="s">
        <v>3058</v>
      </c>
      <c r="B3022" s="4">
        <v>5</v>
      </c>
      <c r="C3022" t="s">
        <v>11</v>
      </c>
      <c r="D3022" t="s">
        <v>28</v>
      </c>
      <c r="E3022" t="s">
        <v>34</v>
      </c>
      <c r="F3022" t="s">
        <v>14</v>
      </c>
      <c r="G3022" s="4">
        <v>8</v>
      </c>
      <c r="H3022" s="1">
        <v>45476</v>
      </c>
      <c r="I3022" s="3" t="s">
        <v>21</v>
      </c>
      <c r="J3022" s="4">
        <v>1</v>
      </c>
    </row>
    <row r="3023" spans="1:10" x14ac:dyDescent="0.35">
      <c r="A3023" s="2" t="s">
        <v>3059</v>
      </c>
      <c r="B3023" s="4">
        <v>89</v>
      </c>
      <c r="C3023" t="s">
        <v>17</v>
      </c>
      <c r="D3023" t="s">
        <v>49</v>
      </c>
      <c r="E3023" t="s">
        <v>53</v>
      </c>
      <c r="F3023" t="s">
        <v>14</v>
      </c>
      <c r="G3023" s="4">
        <v>4</v>
      </c>
      <c r="H3023" s="1">
        <v>5605</v>
      </c>
      <c r="I3023" s="3" t="s">
        <v>15</v>
      </c>
      <c r="J3023" s="4">
        <v>3</v>
      </c>
    </row>
    <row r="3024" spans="1:10" x14ac:dyDescent="0.35">
      <c r="A3024" s="2" t="s">
        <v>3060</v>
      </c>
      <c r="B3024" s="4">
        <v>44</v>
      </c>
      <c r="C3024" t="s">
        <v>17</v>
      </c>
      <c r="D3024" t="s">
        <v>39</v>
      </c>
      <c r="E3024" t="s">
        <v>29</v>
      </c>
      <c r="F3024" t="s">
        <v>20</v>
      </c>
      <c r="G3024" s="4">
        <v>9</v>
      </c>
      <c r="H3024" s="1">
        <v>38240</v>
      </c>
      <c r="I3024" s="3" t="s">
        <v>15</v>
      </c>
      <c r="J3024" s="4">
        <v>4</v>
      </c>
    </row>
    <row r="3025" spans="1:10" x14ac:dyDescent="0.35">
      <c r="A3025" s="2" t="s">
        <v>3061</v>
      </c>
      <c r="B3025" s="4">
        <v>64</v>
      </c>
      <c r="C3025" t="s">
        <v>17</v>
      </c>
      <c r="D3025" t="s">
        <v>26</v>
      </c>
      <c r="E3025" t="s">
        <v>34</v>
      </c>
      <c r="F3025" t="s">
        <v>30</v>
      </c>
      <c r="G3025" s="4">
        <v>11</v>
      </c>
      <c r="H3025" s="1">
        <v>17543</v>
      </c>
      <c r="I3025" s="3" t="s">
        <v>15</v>
      </c>
      <c r="J3025" s="4">
        <v>5</v>
      </c>
    </row>
    <row r="3026" spans="1:10" x14ac:dyDescent="0.35">
      <c r="A3026" s="2" t="s">
        <v>3062</v>
      </c>
      <c r="B3026" s="4">
        <v>76</v>
      </c>
      <c r="C3026" t="s">
        <v>17</v>
      </c>
      <c r="D3026" t="s">
        <v>36</v>
      </c>
      <c r="E3026" t="s">
        <v>13</v>
      </c>
      <c r="F3026" t="s">
        <v>30</v>
      </c>
      <c r="G3026" s="4">
        <v>8</v>
      </c>
      <c r="H3026" s="1">
        <v>38202</v>
      </c>
      <c r="I3026" s="3" t="s">
        <v>15</v>
      </c>
      <c r="J3026" s="4">
        <v>1</v>
      </c>
    </row>
    <row r="3027" spans="1:10" x14ac:dyDescent="0.35">
      <c r="A3027" s="2" t="s">
        <v>3063</v>
      </c>
      <c r="B3027" s="4">
        <v>33</v>
      </c>
      <c r="C3027" t="s">
        <v>17</v>
      </c>
      <c r="D3027" t="s">
        <v>39</v>
      </c>
      <c r="E3027" t="s">
        <v>19</v>
      </c>
      <c r="F3027" t="s">
        <v>14</v>
      </c>
      <c r="G3027" s="4">
        <v>11</v>
      </c>
      <c r="H3027" s="1">
        <v>38063</v>
      </c>
      <c r="I3027" s="3" t="s">
        <v>21</v>
      </c>
      <c r="J3027" s="4">
        <v>3</v>
      </c>
    </row>
    <row r="3028" spans="1:10" x14ac:dyDescent="0.35">
      <c r="A3028" s="2" t="s">
        <v>3064</v>
      </c>
      <c r="B3028" s="4">
        <v>66</v>
      </c>
      <c r="C3028" t="s">
        <v>11</v>
      </c>
      <c r="D3028" t="s">
        <v>23</v>
      </c>
      <c r="E3028" t="s">
        <v>42</v>
      </c>
      <c r="F3028" t="s">
        <v>14</v>
      </c>
      <c r="G3028" s="4">
        <v>10</v>
      </c>
      <c r="H3028" s="1">
        <v>94716</v>
      </c>
      <c r="I3028" s="3" t="s">
        <v>15</v>
      </c>
      <c r="J3028" s="4">
        <v>5</v>
      </c>
    </row>
    <row r="3029" spans="1:10" x14ac:dyDescent="0.35">
      <c r="A3029" s="2" t="s">
        <v>3065</v>
      </c>
      <c r="B3029" s="4">
        <v>34</v>
      </c>
      <c r="C3029" t="s">
        <v>17</v>
      </c>
      <c r="D3029" t="s">
        <v>33</v>
      </c>
      <c r="E3029" t="s">
        <v>24</v>
      </c>
      <c r="F3029" t="s">
        <v>20</v>
      </c>
      <c r="G3029" s="4">
        <v>13</v>
      </c>
      <c r="H3029" s="1">
        <v>80930</v>
      </c>
      <c r="I3029" s="3" t="s">
        <v>21</v>
      </c>
      <c r="J3029" s="4">
        <v>2</v>
      </c>
    </row>
    <row r="3030" spans="1:10" x14ac:dyDescent="0.35">
      <c r="A3030" s="2" t="s">
        <v>3066</v>
      </c>
      <c r="B3030" s="4">
        <v>89</v>
      </c>
      <c r="C3030" t="s">
        <v>11</v>
      </c>
      <c r="D3030" t="s">
        <v>26</v>
      </c>
      <c r="E3030" t="s">
        <v>19</v>
      </c>
      <c r="F3030" t="s">
        <v>30</v>
      </c>
      <c r="G3030" s="4">
        <v>11</v>
      </c>
      <c r="H3030" s="1">
        <v>88355</v>
      </c>
      <c r="I3030" s="3" t="s">
        <v>21</v>
      </c>
      <c r="J3030" s="4">
        <v>3</v>
      </c>
    </row>
    <row r="3031" spans="1:10" x14ac:dyDescent="0.35">
      <c r="A3031" s="2" t="s">
        <v>3067</v>
      </c>
      <c r="B3031" s="4">
        <v>51</v>
      </c>
      <c r="C3031" t="s">
        <v>17</v>
      </c>
      <c r="D3031" t="s">
        <v>39</v>
      </c>
      <c r="E3031" t="s">
        <v>19</v>
      </c>
      <c r="F3031" t="s">
        <v>20</v>
      </c>
      <c r="G3031" s="4">
        <v>4</v>
      </c>
      <c r="H3031" s="1">
        <v>48646</v>
      </c>
      <c r="I3031" s="3" t="s">
        <v>21</v>
      </c>
      <c r="J3031" s="4">
        <v>2</v>
      </c>
    </row>
    <row r="3032" spans="1:10" x14ac:dyDescent="0.35">
      <c r="A3032" s="2" t="s">
        <v>3068</v>
      </c>
      <c r="B3032" s="4">
        <v>37</v>
      </c>
      <c r="C3032" t="s">
        <v>11</v>
      </c>
      <c r="D3032" t="s">
        <v>49</v>
      </c>
      <c r="E3032" t="s">
        <v>19</v>
      </c>
      <c r="F3032" t="s">
        <v>14</v>
      </c>
      <c r="G3032" s="4">
        <v>11</v>
      </c>
      <c r="H3032" s="1">
        <v>91896</v>
      </c>
      <c r="I3032" s="3" t="s">
        <v>15</v>
      </c>
      <c r="J3032" s="4">
        <v>4</v>
      </c>
    </row>
    <row r="3033" spans="1:10" x14ac:dyDescent="0.35">
      <c r="A3033" s="2" t="s">
        <v>3069</v>
      </c>
      <c r="B3033" s="4">
        <v>13</v>
      </c>
      <c r="C3033" t="s">
        <v>17</v>
      </c>
      <c r="D3033" t="s">
        <v>12</v>
      </c>
      <c r="E3033" t="s">
        <v>65</v>
      </c>
      <c r="F3033" t="s">
        <v>20</v>
      </c>
      <c r="G3033" s="4">
        <v>6</v>
      </c>
      <c r="H3033" s="1">
        <v>64659</v>
      </c>
      <c r="I3033" s="3" t="s">
        <v>15</v>
      </c>
      <c r="J3033" s="4">
        <v>3</v>
      </c>
    </row>
    <row r="3034" spans="1:10" x14ac:dyDescent="0.35">
      <c r="A3034" s="2" t="s">
        <v>3070</v>
      </c>
      <c r="B3034" s="4">
        <v>22</v>
      </c>
      <c r="C3034" t="s">
        <v>17</v>
      </c>
      <c r="D3034" t="s">
        <v>39</v>
      </c>
      <c r="E3034" t="s">
        <v>19</v>
      </c>
      <c r="F3034" t="s">
        <v>20</v>
      </c>
      <c r="G3034" s="4">
        <v>3</v>
      </c>
      <c r="H3034" s="1">
        <v>48065</v>
      </c>
      <c r="I3034" s="3" t="s">
        <v>21</v>
      </c>
      <c r="J3034" s="4">
        <v>4</v>
      </c>
    </row>
    <row r="3035" spans="1:10" x14ac:dyDescent="0.35">
      <c r="A3035" s="2" t="s">
        <v>3071</v>
      </c>
      <c r="B3035" s="4">
        <v>84</v>
      </c>
      <c r="C3035" t="s">
        <v>11</v>
      </c>
      <c r="D3035" t="s">
        <v>49</v>
      </c>
      <c r="E3035" t="s">
        <v>19</v>
      </c>
      <c r="F3035" t="s">
        <v>14</v>
      </c>
      <c r="G3035" s="4">
        <v>4</v>
      </c>
      <c r="H3035" s="1">
        <v>26042</v>
      </c>
      <c r="I3035" s="3" t="s">
        <v>21</v>
      </c>
      <c r="J3035" s="4">
        <v>4</v>
      </c>
    </row>
    <row r="3036" spans="1:10" x14ac:dyDescent="0.35">
      <c r="A3036" s="2" t="s">
        <v>3072</v>
      </c>
      <c r="B3036" s="4">
        <v>30</v>
      </c>
      <c r="C3036" t="s">
        <v>11</v>
      </c>
      <c r="D3036" t="s">
        <v>36</v>
      </c>
      <c r="E3036" t="s">
        <v>29</v>
      </c>
      <c r="F3036" t="s">
        <v>14</v>
      </c>
      <c r="G3036" s="4">
        <v>6</v>
      </c>
      <c r="H3036" s="1">
        <v>75139</v>
      </c>
      <c r="I3036" s="3" t="s">
        <v>21</v>
      </c>
      <c r="J3036" s="4">
        <v>1</v>
      </c>
    </row>
    <row r="3037" spans="1:10" x14ac:dyDescent="0.35">
      <c r="A3037" s="2" t="s">
        <v>3073</v>
      </c>
      <c r="B3037" s="4">
        <v>78</v>
      </c>
      <c r="C3037" t="s">
        <v>17</v>
      </c>
      <c r="D3037" t="s">
        <v>41</v>
      </c>
      <c r="E3037" t="s">
        <v>13</v>
      </c>
      <c r="F3037" t="s">
        <v>14</v>
      </c>
      <c r="G3037" s="4">
        <v>5</v>
      </c>
      <c r="H3037" s="1">
        <v>7260</v>
      </c>
      <c r="I3037" s="3" t="s">
        <v>15</v>
      </c>
      <c r="J3037" s="4">
        <v>1</v>
      </c>
    </row>
    <row r="3038" spans="1:10" x14ac:dyDescent="0.35">
      <c r="A3038" s="2" t="s">
        <v>3074</v>
      </c>
      <c r="B3038" s="4">
        <v>64</v>
      </c>
      <c r="C3038" t="s">
        <v>11</v>
      </c>
      <c r="D3038" t="s">
        <v>41</v>
      </c>
      <c r="E3038" t="s">
        <v>19</v>
      </c>
      <c r="F3038" t="s">
        <v>30</v>
      </c>
      <c r="G3038" s="4">
        <v>1</v>
      </c>
      <c r="H3038" s="1">
        <v>93700</v>
      </c>
      <c r="I3038" s="3" t="s">
        <v>21</v>
      </c>
      <c r="J3038" s="4">
        <v>2</v>
      </c>
    </row>
    <row r="3039" spans="1:10" x14ac:dyDescent="0.35">
      <c r="A3039" s="2" t="s">
        <v>3075</v>
      </c>
      <c r="B3039" s="4">
        <v>71</v>
      </c>
      <c r="C3039" t="s">
        <v>11</v>
      </c>
      <c r="D3039" t="s">
        <v>18</v>
      </c>
      <c r="E3039" t="s">
        <v>29</v>
      </c>
      <c r="F3039" t="s">
        <v>20</v>
      </c>
      <c r="G3039" s="4">
        <v>8</v>
      </c>
      <c r="H3039" s="1">
        <v>86309</v>
      </c>
      <c r="I3039" s="3" t="s">
        <v>21</v>
      </c>
      <c r="J3039" s="4">
        <v>4</v>
      </c>
    </row>
    <row r="3040" spans="1:10" x14ac:dyDescent="0.35">
      <c r="A3040" s="2" t="s">
        <v>3076</v>
      </c>
      <c r="B3040" s="4">
        <v>55</v>
      </c>
      <c r="C3040" t="s">
        <v>17</v>
      </c>
      <c r="D3040" t="s">
        <v>41</v>
      </c>
      <c r="E3040" t="s">
        <v>13</v>
      </c>
      <c r="F3040" t="s">
        <v>30</v>
      </c>
      <c r="G3040" s="4">
        <v>8</v>
      </c>
      <c r="H3040" s="1">
        <v>8292</v>
      </c>
      <c r="I3040" s="3" t="s">
        <v>21</v>
      </c>
      <c r="J3040" s="4">
        <v>4</v>
      </c>
    </row>
    <row r="3041" spans="1:10" x14ac:dyDescent="0.35">
      <c r="A3041" s="2" t="s">
        <v>3077</v>
      </c>
      <c r="B3041" s="4">
        <v>16</v>
      </c>
      <c r="C3041" t="s">
        <v>17</v>
      </c>
      <c r="D3041" t="s">
        <v>18</v>
      </c>
      <c r="E3041" t="s">
        <v>19</v>
      </c>
      <c r="F3041" t="s">
        <v>14</v>
      </c>
      <c r="G3041" s="4">
        <v>7</v>
      </c>
      <c r="H3041" s="1">
        <v>11292</v>
      </c>
      <c r="I3041" s="3" t="s">
        <v>15</v>
      </c>
      <c r="J3041" s="4">
        <v>3</v>
      </c>
    </row>
    <row r="3042" spans="1:10" x14ac:dyDescent="0.35">
      <c r="A3042" s="2" t="s">
        <v>3078</v>
      </c>
      <c r="B3042" s="4">
        <v>63</v>
      </c>
      <c r="C3042" t="s">
        <v>11</v>
      </c>
      <c r="D3042" t="s">
        <v>18</v>
      </c>
      <c r="E3042" t="s">
        <v>24</v>
      </c>
      <c r="F3042" t="s">
        <v>14</v>
      </c>
      <c r="G3042" s="4">
        <v>8</v>
      </c>
      <c r="H3042" s="1">
        <v>90260</v>
      </c>
      <c r="I3042" s="3" t="s">
        <v>21</v>
      </c>
      <c r="J3042" s="4">
        <v>1</v>
      </c>
    </row>
    <row r="3043" spans="1:10" x14ac:dyDescent="0.35">
      <c r="A3043" s="2" t="s">
        <v>3079</v>
      </c>
      <c r="B3043" s="4">
        <v>83</v>
      </c>
      <c r="C3043" t="s">
        <v>17</v>
      </c>
      <c r="D3043" t="s">
        <v>39</v>
      </c>
      <c r="E3043" t="s">
        <v>19</v>
      </c>
      <c r="F3043" t="s">
        <v>20</v>
      </c>
      <c r="G3043" s="4">
        <v>5</v>
      </c>
      <c r="H3043" s="1">
        <v>28982</v>
      </c>
      <c r="I3043" s="3" t="s">
        <v>15</v>
      </c>
      <c r="J3043" s="4">
        <v>3</v>
      </c>
    </row>
    <row r="3044" spans="1:10" x14ac:dyDescent="0.35">
      <c r="A3044" s="2" t="s">
        <v>3080</v>
      </c>
      <c r="B3044" s="4">
        <v>45</v>
      </c>
      <c r="C3044" t="s">
        <v>17</v>
      </c>
      <c r="D3044" t="s">
        <v>28</v>
      </c>
      <c r="E3044" t="s">
        <v>37</v>
      </c>
      <c r="F3044" t="s">
        <v>30</v>
      </c>
      <c r="G3044" s="4">
        <v>2</v>
      </c>
      <c r="H3044" s="1">
        <v>72717</v>
      </c>
      <c r="I3044" s="3" t="s">
        <v>15</v>
      </c>
      <c r="J3044" s="4">
        <v>5</v>
      </c>
    </row>
    <row r="3045" spans="1:10" x14ac:dyDescent="0.35">
      <c r="A3045" s="2" t="s">
        <v>3081</v>
      </c>
      <c r="B3045" s="4">
        <v>2</v>
      </c>
      <c r="C3045" t="s">
        <v>17</v>
      </c>
      <c r="D3045" t="s">
        <v>18</v>
      </c>
      <c r="E3045" t="s">
        <v>24</v>
      </c>
      <c r="F3045" t="s">
        <v>30</v>
      </c>
      <c r="G3045" s="4">
        <v>12</v>
      </c>
      <c r="H3045" s="1">
        <v>31044</v>
      </c>
      <c r="I3045" s="3" t="s">
        <v>21</v>
      </c>
      <c r="J3045" s="4">
        <v>5</v>
      </c>
    </row>
    <row r="3046" spans="1:10" x14ac:dyDescent="0.35">
      <c r="A3046" s="2" t="s">
        <v>3082</v>
      </c>
      <c r="B3046" s="4">
        <v>15</v>
      </c>
      <c r="C3046" t="s">
        <v>11</v>
      </c>
      <c r="D3046" t="s">
        <v>18</v>
      </c>
      <c r="E3046" t="s">
        <v>27</v>
      </c>
      <c r="F3046" t="s">
        <v>20</v>
      </c>
      <c r="G3046" s="4">
        <v>5</v>
      </c>
      <c r="H3046" s="1">
        <v>88330</v>
      </c>
      <c r="I3046" s="3" t="s">
        <v>21</v>
      </c>
      <c r="J3046" s="4">
        <v>2</v>
      </c>
    </row>
    <row r="3047" spans="1:10" x14ac:dyDescent="0.35">
      <c r="A3047" s="2" t="s">
        <v>3083</v>
      </c>
      <c r="B3047" s="4">
        <v>49</v>
      </c>
      <c r="C3047" t="s">
        <v>11</v>
      </c>
      <c r="D3047" t="s">
        <v>41</v>
      </c>
      <c r="E3047" t="s">
        <v>19</v>
      </c>
      <c r="F3047" t="s">
        <v>14</v>
      </c>
      <c r="G3047" s="4">
        <v>3</v>
      </c>
      <c r="H3047" s="1">
        <v>97295</v>
      </c>
      <c r="I3047" s="3" t="s">
        <v>15</v>
      </c>
      <c r="J3047" s="4">
        <v>3</v>
      </c>
    </row>
    <row r="3048" spans="1:10" x14ac:dyDescent="0.35">
      <c r="A3048" s="2" t="s">
        <v>3084</v>
      </c>
      <c r="B3048" s="4">
        <v>33</v>
      </c>
      <c r="C3048" t="s">
        <v>11</v>
      </c>
      <c r="D3048" t="s">
        <v>18</v>
      </c>
      <c r="E3048" t="s">
        <v>24</v>
      </c>
      <c r="F3048" t="s">
        <v>30</v>
      </c>
      <c r="G3048" s="4">
        <v>10</v>
      </c>
      <c r="H3048" s="1">
        <v>56222</v>
      </c>
      <c r="I3048" s="3" t="s">
        <v>15</v>
      </c>
      <c r="J3048" s="4">
        <v>4</v>
      </c>
    </row>
    <row r="3049" spans="1:10" x14ac:dyDescent="0.35">
      <c r="A3049" s="2" t="s">
        <v>3085</v>
      </c>
      <c r="B3049" s="4">
        <v>81</v>
      </c>
      <c r="C3049" t="s">
        <v>17</v>
      </c>
      <c r="D3049" t="s">
        <v>36</v>
      </c>
      <c r="E3049" t="s">
        <v>34</v>
      </c>
      <c r="F3049" t="s">
        <v>14</v>
      </c>
      <c r="G3049" s="4">
        <v>12</v>
      </c>
      <c r="H3049" s="1">
        <v>50878</v>
      </c>
      <c r="I3049" s="3" t="s">
        <v>15</v>
      </c>
      <c r="J3049" s="4">
        <v>4</v>
      </c>
    </row>
    <row r="3050" spans="1:10" x14ac:dyDescent="0.35">
      <c r="A3050" s="2" t="s">
        <v>3086</v>
      </c>
      <c r="B3050" s="4">
        <v>14</v>
      </c>
      <c r="C3050" t="s">
        <v>11</v>
      </c>
      <c r="D3050" t="s">
        <v>41</v>
      </c>
      <c r="E3050" t="s">
        <v>42</v>
      </c>
      <c r="F3050" t="s">
        <v>20</v>
      </c>
      <c r="G3050" s="4">
        <v>6</v>
      </c>
      <c r="H3050" s="1">
        <v>30484</v>
      </c>
      <c r="I3050" s="3" t="s">
        <v>15</v>
      </c>
      <c r="J3050" s="4">
        <v>5</v>
      </c>
    </row>
    <row r="3051" spans="1:10" x14ac:dyDescent="0.35">
      <c r="A3051" s="2" t="s">
        <v>3087</v>
      </c>
      <c r="B3051" s="4">
        <v>82</v>
      </c>
      <c r="C3051" t="s">
        <v>11</v>
      </c>
      <c r="D3051" t="s">
        <v>23</v>
      </c>
      <c r="E3051" t="s">
        <v>65</v>
      </c>
      <c r="F3051" t="s">
        <v>30</v>
      </c>
      <c r="G3051" s="4">
        <v>3</v>
      </c>
      <c r="H3051" s="1">
        <v>24115</v>
      </c>
      <c r="I3051" s="3" t="s">
        <v>21</v>
      </c>
      <c r="J3051" s="4">
        <v>5</v>
      </c>
    </row>
    <row r="3052" spans="1:10" x14ac:dyDescent="0.35">
      <c r="A3052" s="2" t="s">
        <v>3088</v>
      </c>
      <c r="B3052" s="4">
        <v>58</v>
      </c>
      <c r="C3052" t="s">
        <v>11</v>
      </c>
      <c r="D3052" t="s">
        <v>23</v>
      </c>
      <c r="E3052" t="s">
        <v>24</v>
      </c>
      <c r="F3052" t="s">
        <v>20</v>
      </c>
      <c r="G3052" s="4">
        <v>2</v>
      </c>
      <c r="H3052" s="1">
        <v>80259</v>
      </c>
      <c r="I3052" s="3" t="s">
        <v>15</v>
      </c>
      <c r="J3052" s="4">
        <v>1</v>
      </c>
    </row>
    <row r="3053" spans="1:10" x14ac:dyDescent="0.35">
      <c r="A3053" s="2" t="s">
        <v>3089</v>
      </c>
      <c r="B3053" s="4">
        <v>23</v>
      </c>
      <c r="C3053" t="s">
        <v>17</v>
      </c>
      <c r="D3053" t="s">
        <v>26</v>
      </c>
      <c r="E3053" t="s">
        <v>34</v>
      </c>
      <c r="F3053" t="s">
        <v>20</v>
      </c>
      <c r="G3053" s="4">
        <v>6</v>
      </c>
      <c r="H3053" s="1">
        <v>5254</v>
      </c>
      <c r="I3053" s="3" t="s">
        <v>15</v>
      </c>
      <c r="J3053" s="4">
        <v>5</v>
      </c>
    </row>
    <row r="3054" spans="1:10" x14ac:dyDescent="0.35">
      <c r="A3054" s="2" t="s">
        <v>3090</v>
      </c>
      <c r="B3054" s="4">
        <v>1</v>
      </c>
      <c r="C3054" t="s">
        <v>17</v>
      </c>
      <c r="D3054" t="s">
        <v>23</v>
      </c>
      <c r="E3054" t="s">
        <v>42</v>
      </c>
      <c r="F3054" t="s">
        <v>20</v>
      </c>
      <c r="G3054" s="4">
        <v>10</v>
      </c>
      <c r="H3054" s="1">
        <v>54039</v>
      </c>
      <c r="I3054" s="3" t="s">
        <v>21</v>
      </c>
      <c r="J3054" s="4">
        <v>1</v>
      </c>
    </row>
    <row r="3055" spans="1:10" x14ac:dyDescent="0.35">
      <c r="A3055" s="2" t="s">
        <v>3091</v>
      </c>
      <c r="B3055" s="4">
        <v>4</v>
      </c>
      <c r="C3055" t="s">
        <v>11</v>
      </c>
      <c r="D3055" t="s">
        <v>12</v>
      </c>
      <c r="E3055" t="s">
        <v>53</v>
      </c>
      <c r="F3055" t="s">
        <v>14</v>
      </c>
      <c r="G3055" s="4">
        <v>11</v>
      </c>
      <c r="H3055" s="1">
        <v>84781</v>
      </c>
      <c r="I3055" s="3" t="s">
        <v>15</v>
      </c>
      <c r="J3055" s="4">
        <v>3</v>
      </c>
    </row>
    <row r="3056" spans="1:10" x14ac:dyDescent="0.35">
      <c r="A3056" s="2" t="s">
        <v>3092</v>
      </c>
      <c r="B3056" s="4">
        <v>60</v>
      </c>
      <c r="C3056" t="s">
        <v>11</v>
      </c>
      <c r="D3056" t="s">
        <v>18</v>
      </c>
      <c r="E3056" t="s">
        <v>37</v>
      </c>
      <c r="F3056" t="s">
        <v>30</v>
      </c>
      <c r="G3056" s="4">
        <v>12</v>
      </c>
      <c r="H3056" s="1">
        <v>50769</v>
      </c>
      <c r="I3056" s="3" t="s">
        <v>21</v>
      </c>
      <c r="J3056" s="4">
        <v>1</v>
      </c>
    </row>
    <row r="3057" spans="1:10" x14ac:dyDescent="0.35">
      <c r="A3057" s="2" t="s">
        <v>3093</v>
      </c>
      <c r="B3057" s="4">
        <v>39</v>
      </c>
      <c r="C3057" t="s">
        <v>11</v>
      </c>
      <c r="D3057" t="s">
        <v>18</v>
      </c>
      <c r="E3057" t="s">
        <v>13</v>
      </c>
      <c r="F3057" t="s">
        <v>14</v>
      </c>
      <c r="G3057" s="4">
        <v>15</v>
      </c>
      <c r="H3057" s="1">
        <v>40005</v>
      </c>
      <c r="I3057" s="3" t="s">
        <v>15</v>
      </c>
      <c r="J3057" s="4">
        <v>4</v>
      </c>
    </row>
    <row r="3058" spans="1:10" x14ac:dyDescent="0.35">
      <c r="A3058" s="2" t="s">
        <v>3094</v>
      </c>
      <c r="B3058" s="4">
        <v>75</v>
      </c>
      <c r="C3058" t="s">
        <v>17</v>
      </c>
      <c r="D3058" t="s">
        <v>41</v>
      </c>
      <c r="E3058" t="s">
        <v>37</v>
      </c>
      <c r="F3058" t="s">
        <v>30</v>
      </c>
      <c r="G3058" s="4">
        <v>12</v>
      </c>
      <c r="H3058" s="1">
        <v>72519</v>
      </c>
      <c r="I3058" s="3" t="s">
        <v>15</v>
      </c>
      <c r="J3058" s="4">
        <v>4</v>
      </c>
    </row>
    <row r="3059" spans="1:10" x14ac:dyDescent="0.35">
      <c r="A3059" s="2" t="s">
        <v>3095</v>
      </c>
      <c r="B3059" s="4">
        <v>26</v>
      </c>
      <c r="C3059" t="s">
        <v>11</v>
      </c>
      <c r="D3059" t="s">
        <v>12</v>
      </c>
      <c r="E3059" t="s">
        <v>19</v>
      </c>
      <c r="F3059" t="s">
        <v>30</v>
      </c>
      <c r="G3059" s="4">
        <v>3</v>
      </c>
      <c r="H3059" s="1">
        <v>95896</v>
      </c>
      <c r="I3059" s="3" t="s">
        <v>21</v>
      </c>
      <c r="J3059" s="4">
        <v>3</v>
      </c>
    </row>
    <row r="3060" spans="1:10" x14ac:dyDescent="0.35">
      <c r="A3060" s="2" t="s">
        <v>3096</v>
      </c>
      <c r="B3060" s="4">
        <v>81</v>
      </c>
      <c r="C3060" t="s">
        <v>17</v>
      </c>
      <c r="D3060" t="s">
        <v>23</v>
      </c>
      <c r="E3060" t="s">
        <v>24</v>
      </c>
      <c r="F3060" t="s">
        <v>14</v>
      </c>
      <c r="G3060" s="4">
        <v>3</v>
      </c>
      <c r="H3060" s="1">
        <v>61613</v>
      </c>
      <c r="I3060" s="3" t="s">
        <v>15</v>
      </c>
      <c r="J3060" s="4">
        <v>2</v>
      </c>
    </row>
    <row r="3061" spans="1:10" x14ac:dyDescent="0.35">
      <c r="A3061" s="2" t="s">
        <v>3097</v>
      </c>
      <c r="B3061" s="4">
        <v>53</v>
      </c>
      <c r="C3061" t="s">
        <v>17</v>
      </c>
      <c r="D3061" t="s">
        <v>12</v>
      </c>
      <c r="E3061" t="s">
        <v>13</v>
      </c>
      <c r="F3061" t="s">
        <v>14</v>
      </c>
      <c r="G3061" s="4">
        <v>6</v>
      </c>
      <c r="H3061" s="1">
        <v>76361</v>
      </c>
      <c r="I3061" s="3" t="s">
        <v>21</v>
      </c>
      <c r="J3061" s="4">
        <v>2</v>
      </c>
    </row>
    <row r="3062" spans="1:10" x14ac:dyDescent="0.35">
      <c r="A3062" s="2" t="s">
        <v>3098</v>
      </c>
      <c r="B3062" s="4">
        <v>63</v>
      </c>
      <c r="C3062" t="s">
        <v>17</v>
      </c>
      <c r="D3062" t="s">
        <v>26</v>
      </c>
      <c r="E3062" t="s">
        <v>65</v>
      </c>
      <c r="F3062" t="s">
        <v>20</v>
      </c>
      <c r="G3062" s="4">
        <v>8</v>
      </c>
      <c r="H3062" s="1">
        <v>54691</v>
      </c>
      <c r="I3062" s="3" t="s">
        <v>21</v>
      </c>
      <c r="J3062" s="4">
        <v>1</v>
      </c>
    </row>
    <row r="3063" spans="1:10" x14ac:dyDescent="0.35">
      <c r="A3063" s="2" t="s">
        <v>3099</v>
      </c>
      <c r="B3063" s="4">
        <v>48</v>
      </c>
      <c r="C3063" t="s">
        <v>11</v>
      </c>
      <c r="D3063" t="s">
        <v>18</v>
      </c>
      <c r="E3063" t="s">
        <v>34</v>
      </c>
      <c r="F3063" t="s">
        <v>14</v>
      </c>
      <c r="G3063" s="4">
        <v>2</v>
      </c>
      <c r="H3063" s="1">
        <v>29944</v>
      </c>
      <c r="I3063" s="3" t="s">
        <v>21</v>
      </c>
      <c r="J3063" s="4">
        <v>4</v>
      </c>
    </row>
    <row r="3064" spans="1:10" x14ac:dyDescent="0.35">
      <c r="A3064" s="2" t="s">
        <v>3100</v>
      </c>
      <c r="B3064" s="4">
        <v>85</v>
      </c>
      <c r="C3064" t="s">
        <v>11</v>
      </c>
      <c r="D3064" t="s">
        <v>39</v>
      </c>
      <c r="E3064" t="s">
        <v>53</v>
      </c>
      <c r="F3064" t="s">
        <v>20</v>
      </c>
      <c r="G3064" s="4">
        <v>8</v>
      </c>
      <c r="H3064" s="1">
        <v>18088</v>
      </c>
      <c r="I3064" s="3" t="s">
        <v>15</v>
      </c>
      <c r="J3064" s="4">
        <v>1</v>
      </c>
    </row>
    <row r="3065" spans="1:10" x14ac:dyDescent="0.35">
      <c r="A3065" s="2" t="s">
        <v>3101</v>
      </c>
      <c r="B3065" s="4">
        <v>64</v>
      </c>
      <c r="C3065" t="s">
        <v>11</v>
      </c>
      <c r="D3065" t="s">
        <v>12</v>
      </c>
      <c r="E3065" t="s">
        <v>13</v>
      </c>
      <c r="F3065" t="s">
        <v>20</v>
      </c>
      <c r="G3065" s="4">
        <v>15</v>
      </c>
      <c r="H3065" s="1">
        <v>46841</v>
      </c>
      <c r="I3065" s="3" t="s">
        <v>21</v>
      </c>
      <c r="J3065" s="4">
        <v>2</v>
      </c>
    </row>
    <row r="3066" spans="1:10" x14ac:dyDescent="0.35">
      <c r="A3066" s="2" t="s">
        <v>3102</v>
      </c>
      <c r="B3066" s="4">
        <v>12</v>
      </c>
      <c r="C3066" t="s">
        <v>17</v>
      </c>
      <c r="D3066" t="s">
        <v>28</v>
      </c>
      <c r="E3066" t="s">
        <v>19</v>
      </c>
      <c r="F3066" t="s">
        <v>30</v>
      </c>
      <c r="G3066" s="4">
        <v>1</v>
      </c>
      <c r="H3066" s="1">
        <v>84033</v>
      </c>
      <c r="I3066" s="3" t="s">
        <v>15</v>
      </c>
      <c r="J3066" s="4">
        <v>1</v>
      </c>
    </row>
    <row r="3067" spans="1:10" x14ac:dyDescent="0.35">
      <c r="A3067" s="2" t="s">
        <v>3103</v>
      </c>
      <c r="B3067" s="4">
        <v>56</v>
      </c>
      <c r="C3067" t="s">
        <v>17</v>
      </c>
      <c r="D3067" t="s">
        <v>33</v>
      </c>
      <c r="E3067" t="s">
        <v>34</v>
      </c>
      <c r="F3067" t="s">
        <v>30</v>
      </c>
      <c r="G3067" s="4">
        <v>13</v>
      </c>
      <c r="H3067" s="1">
        <v>73564</v>
      </c>
      <c r="I3067" s="3" t="s">
        <v>21</v>
      </c>
      <c r="J3067" s="4">
        <v>4</v>
      </c>
    </row>
    <row r="3068" spans="1:10" x14ac:dyDescent="0.35">
      <c r="A3068" s="2" t="s">
        <v>3104</v>
      </c>
      <c r="B3068" s="4">
        <v>20</v>
      </c>
      <c r="C3068" t="s">
        <v>17</v>
      </c>
      <c r="D3068" t="s">
        <v>36</v>
      </c>
      <c r="E3068" t="s">
        <v>27</v>
      </c>
      <c r="F3068" t="s">
        <v>14</v>
      </c>
      <c r="G3068" s="4">
        <v>13</v>
      </c>
      <c r="H3068" s="1">
        <v>89707</v>
      </c>
      <c r="I3068" s="3" t="s">
        <v>21</v>
      </c>
      <c r="J3068" s="4">
        <v>4</v>
      </c>
    </row>
    <row r="3069" spans="1:10" x14ac:dyDescent="0.35">
      <c r="A3069" s="2" t="s">
        <v>3105</v>
      </c>
      <c r="B3069" s="4">
        <v>25</v>
      </c>
      <c r="C3069" t="s">
        <v>11</v>
      </c>
      <c r="D3069" t="s">
        <v>41</v>
      </c>
      <c r="E3069" t="s">
        <v>65</v>
      </c>
      <c r="F3069" t="s">
        <v>20</v>
      </c>
      <c r="G3069" s="4">
        <v>13</v>
      </c>
      <c r="H3069" s="1">
        <v>52285</v>
      </c>
      <c r="I3069" s="3" t="s">
        <v>21</v>
      </c>
      <c r="J3069" s="4">
        <v>1</v>
      </c>
    </row>
    <row r="3070" spans="1:10" x14ac:dyDescent="0.35">
      <c r="A3070" s="2" t="s">
        <v>3106</v>
      </c>
      <c r="B3070" s="4">
        <v>55</v>
      </c>
      <c r="C3070" t="s">
        <v>11</v>
      </c>
      <c r="D3070" t="s">
        <v>36</v>
      </c>
      <c r="E3070" t="s">
        <v>53</v>
      </c>
      <c r="F3070" t="s">
        <v>30</v>
      </c>
      <c r="G3070" s="4">
        <v>5</v>
      </c>
      <c r="H3070" s="1">
        <v>27647</v>
      </c>
      <c r="I3070" s="3" t="s">
        <v>21</v>
      </c>
      <c r="J3070" s="4">
        <v>4</v>
      </c>
    </row>
    <row r="3071" spans="1:10" x14ac:dyDescent="0.35">
      <c r="A3071" s="2" t="s">
        <v>3107</v>
      </c>
      <c r="B3071" s="4">
        <v>36</v>
      </c>
      <c r="C3071" t="s">
        <v>11</v>
      </c>
      <c r="D3071" t="s">
        <v>23</v>
      </c>
      <c r="E3071" t="s">
        <v>34</v>
      </c>
      <c r="F3071" t="s">
        <v>30</v>
      </c>
      <c r="G3071" s="4">
        <v>3</v>
      </c>
      <c r="H3071" s="1">
        <v>48210</v>
      </c>
      <c r="I3071" s="3" t="s">
        <v>15</v>
      </c>
      <c r="J3071" s="4">
        <v>2</v>
      </c>
    </row>
    <row r="3072" spans="1:10" x14ac:dyDescent="0.35">
      <c r="A3072" s="2" t="s">
        <v>3108</v>
      </c>
      <c r="B3072" s="4">
        <v>26</v>
      </c>
      <c r="C3072" t="s">
        <v>11</v>
      </c>
      <c r="D3072" t="s">
        <v>41</v>
      </c>
      <c r="E3072" t="s">
        <v>42</v>
      </c>
      <c r="F3072" t="s">
        <v>14</v>
      </c>
      <c r="G3072" s="4">
        <v>13</v>
      </c>
      <c r="H3072" s="1">
        <v>32982</v>
      </c>
      <c r="I3072" s="3" t="s">
        <v>21</v>
      </c>
      <c r="J3072" s="4">
        <v>1</v>
      </c>
    </row>
    <row r="3073" spans="1:10" x14ac:dyDescent="0.35">
      <c r="A3073" s="2" t="s">
        <v>3109</v>
      </c>
      <c r="B3073" s="4">
        <v>39</v>
      </c>
      <c r="C3073" t="s">
        <v>11</v>
      </c>
      <c r="D3073" t="s">
        <v>39</v>
      </c>
      <c r="E3073" t="s">
        <v>24</v>
      </c>
      <c r="F3073" t="s">
        <v>20</v>
      </c>
      <c r="G3073" s="4">
        <v>13</v>
      </c>
      <c r="H3073" s="1">
        <v>95520</v>
      </c>
      <c r="I3073" s="3" t="s">
        <v>15</v>
      </c>
      <c r="J3073" s="4">
        <v>2</v>
      </c>
    </row>
    <row r="3074" spans="1:10" x14ac:dyDescent="0.35">
      <c r="A3074" s="2" t="s">
        <v>3110</v>
      </c>
      <c r="B3074" s="4">
        <v>53</v>
      </c>
      <c r="C3074" t="s">
        <v>17</v>
      </c>
      <c r="D3074" t="s">
        <v>26</v>
      </c>
      <c r="E3074" t="s">
        <v>42</v>
      </c>
      <c r="F3074" t="s">
        <v>30</v>
      </c>
      <c r="G3074" s="4">
        <v>14</v>
      </c>
      <c r="H3074" s="1">
        <v>57461</v>
      </c>
      <c r="I3074" s="3" t="s">
        <v>21</v>
      </c>
      <c r="J3074" s="4">
        <v>2</v>
      </c>
    </row>
    <row r="3075" spans="1:10" x14ac:dyDescent="0.35">
      <c r="A3075" s="2" t="s">
        <v>3111</v>
      </c>
      <c r="B3075" s="4">
        <v>41</v>
      </c>
      <c r="C3075" t="s">
        <v>17</v>
      </c>
      <c r="D3075" t="s">
        <v>36</v>
      </c>
      <c r="E3075" t="s">
        <v>19</v>
      </c>
      <c r="F3075" t="s">
        <v>30</v>
      </c>
      <c r="G3075" s="4">
        <v>9</v>
      </c>
      <c r="H3075" s="1">
        <v>77610</v>
      </c>
      <c r="I3075" s="3" t="s">
        <v>21</v>
      </c>
      <c r="J3075" s="4">
        <v>4</v>
      </c>
    </row>
    <row r="3076" spans="1:10" x14ac:dyDescent="0.35">
      <c r="A3076" s="2" t="s">
        <v>3112</v>
      </c>
      <c r="B3076" s="4">
        <v>46</v>
      </c>
      <c r="C3076" t="s">
        <v>17</v>
      </c>
      <c r="D3076" t="s">
        <v>49</v>
      </c>
      <c r="E3076" t="s">
        <v>37</v>
      </c>
      <c r="F3076" t="s">
        <v>30</v>
      </c>
      <c r="G3076" s="4">
        <v>10</v>
      </c>
      <c r="H3076" s="1">
        <v>78448</v>
      </c>
      <c r="I3076" s="3" t="s">
        <v>21</v>
      </c>
      <c r="J3076" s="4">
        <v>3</v>
      </c>
    </row>
    <row r="3077" spans="1:10" x14ac:dyDescent="0.35">
      <c r="A3077" s="2" t="s">
        <v>3113</v>
      </c>
      <c r="B3077" s="4">
        <v>19</v>
      </c>
      <c r="C3077" t="s">
        <v>17</v>
      </c>
      <c r="D3077" t="s">
        <v>36</v>
      </c>
      <c r="E3077" t="s">
        <v>29</v>
      </c>
      <c r="F3077" t="s">
        <v>14</v>
      </c>
      <c r="G3077" s="4">
        <v>10</v>
      </c>
      <c r="H3077" s="1">
        <v>72062</v>
      </c>
      <c r="I3077" s="3" t="s">
        <v>15</v>
      </c>
      <c r="J3077" s="4">
        <v>5</v>
      </c>
    </row>
    <row r="3078" spans="1:10" x14ac:dyDescent="0.35">
      <c r="A3078" s="2" t="s">
        <v>3114</v>
      </c>
      <c r="B3078" s="4">
        <v>20</v>
      </c>
      <c r="C3078" t="s">
        <v>17</v>
      </c>
      <c r="D3078" t="s">
        <v>39</v>
      </c>
      <c r="E3078" t="s">
        <v>53</v>
      </c>
      <c r="F3078" t="s">
        <v>20</v>
      </c>
      <c r="G3078" s="4">
        <v>2</v>
      </c>
      <c r="H3078" s="1">
        <v>89118</v>
      </c>
      <c r="I3078" s="3" t="s">
        <v>15</v>
      </c>
      <c r="J3078" s="4">
        <v>2</v>
      </c>
    </row>
    <row r="3079" spans="1:10" x14ac:dyDescent="0.35">
      <c r="A3079" s="2" t="s">
        <v>3115</v>
      </c>
      <c r="B3079" s="4">
        <v>11</v>
      </c>
      <c r="C3079" t="s">
        <v>11</v>
      </c>
      <c r="D3079" t="s">
        <v>41</v>
      </c>
      <c r="E3079" t="s">
        <v>34</v>
      </c>
      <c r="F3079" t="s">
        <v>20</v>
      </c>
      <c r="G3079" s="4">
        <v>15</v>
      </c>
      <c r="H3079" s="1">
        <v>27417</v>
      </c>
      <c r="I3079" s="3" t="s">
        <v>21</v>
      </c>
      <c r="J3079" s="4">
        <v>1</v>
      </c>
    </row>
    <row r="3080" spans="1:10" x14ac:dyDescent="0.35">
      <c r="A3080" s="2" t="s">
        <v>3116</v>
      </c>
      <c r="B3080" s="4">
        <v>48</v>
      </c>
      <c r="C3080" t="s">
        <v>11</v>
      </c>
      <c r="D3080" t="s">
        <v>18</v>
      </c>
      <c r="E3080" t="s">
        <v>27</v>
      </c>
      <c r="F3080" t="s">
        <v>14</v>
      </c>
      <c r="G3080" s="4">
        <v>8</v>
      </c>
      <c r="H3080" s="1">
        <v>40020</v>
      </c>
      <c r="I3080" s="3" t="s">
        <v>21</v>
      </c>
      <c r="J3080" s="4">
        <v>3</v>
      </c>
    </row>
    <row r="3081" spans="1:10" x14ac:dyDescent="0.35">
      <c r="A3081" s="2" t="s">
        <v>3117</v>
      </c>
      <c r="B3081" s="4">
        <v>32</v>
      </c>
      <c r="C3081" t="s">
        <v>17</v>
      </c>
      <c r="D3081" t="s">
        <v>23</v>
      </c>
      <c r="E3081" t="s">
        <v>34</v>
      </c>
      <c r="F3081" t="s">
        <v>14</v>
      </c>
      <c r="G3081" s="4">
        <v>3</v>
      </c>
      <c r="H3081" s="1">
        <v>54640</v>
      </c>
      <c r="I3081" s="3" t="s">
        <v>21</v>
      </c>
      <c r="J3081" s="4">
        <v>1</v>
      </c>
    </row>
    <row r="3082" spans="1:10" x14ac:dyDescent="0.35">
      <c r="A3082" s="2" t="s">
        <v>3118</v>
      </c>
      <c r="B3082" s="4">
        <v>65</v>
      </c>
      <c r="C3082" t="s">
        <v>17</v>
      </c>
      <c r="D3082" t="s">
        <v>12</v>
      </c>
      <c r="E3082" t="s">
        <v>34</v>
      </c>
      <c r="F3082" t="s">
        <v>14</v>
      </c>
      <c r="G3082" s="4">
        <v>14</v>
      </c>
      <c r="H3082" s="1">
        <v>70213</v>
      </c>
      <c r="I3082" s="3" t="s">
        <v>21</v>
      </c>
      <c r="J3082" s="4">
        <v>1</v>
      </c>
    </row>
    <row r="3083" spans="1:10" x14ac:dyDescent="0.35">
      <c r="A3083" s="2" t="s">
        <v>3119</v>
      </c>
      <c r="B3083" s="4">
        <v>90</v>
      </c>
      <c r="C3083" t="s">
        <v>11</v>
      </c>
      <c r="D3083" t="s">
        <v>39</v>
      </c>
      <c r="E3083" t="s">
        <v>37</v>
      </c>
      <c r="F3083" t="s">
        <v>20</v>
      </c>
      <c r="G3083" s="4">
        <v>13</v>
      </c>
      <c r="H3083" s="1">
        <v>77114</v>
      </c>
      <c r="I3083" s="3" t="s">
        <v>21</v>
      </c>
      <c r="J3083" s="4">
        <v>5</v>
      </c>
    </row>
    <row r="3084" spans="1:10" x14ac:dyDescent="0.35">
      <c r="A3084" s="2" t="s">
        <v>3120</v>
      </c>
      <c r="B3084" s="4">
        <v>68</v>
      </c>
      <c r="C3084" t="s">
        <v>11</v>
      </c>
      <c r="D3084" t="s">
        <v>39</v>
      </c>
      <c r="E3084" t="s">
        <v>42</v>
      </c>
      <c r="F3084" t="s">
        <v>20</v>
      </c>
      <c r="G3084" s="4">
        <v>3</v>
      </c>
      <c r="H3084" s="1">
        <v>19142</v>
      </c>
      <c r="I3084" s="3" t="s">
        <v>21</v>
      </c>
      <c r="J3084" s="4">
        <v>1</v>
      </c>
    </row>
    <row r="3085" spans="1:10" x14ac:dyDescent="0.35">
      <c r="A3085" s="2" t="s">
        <v>3121</v>
      </c>
      <c r="B3085" s="4">
        <v>86</v>
      </c>
      <c r="C3085" t="s">
        <v>11</v>
      </c>
      <c r="D3085" t="s">
        <v>12</v>
      </c>
      <c r="E3085" t="s">
        <v>29</v>
      </c>
      <c r="F3085" t="s">
        <v>30</v>
      </c>
      <c r="G3085" s="4">
        <v>11</v>
      </c>
      <c r="H3085" s="1">
        <v>75926</v>
      </c>
      <c r="I3085" s="3" t="s">
        <v>15</v>
      </c>
      <c r="J3085" s="4">
        <v>3</v>
      </c>
    </row>
    <row r="3086" spans="1:10" x14ac:dyDescent="0.35">
      <c r="A3086" s="2" t="s">
        <v>3122</v>
      </c>
      <c r="B3086" s="4">
        <v>40</v>
      </c>
      <c r="C3086" t="s">
        <v>17</v>
      </c>
      <c r="D3086" t="s">
        <v>12</v>
      </c>
      <c r="E3086" t="s">
        <v>24</v>
      </c>
      <c r="F3086" t="s">
        <v>30</v>
      </c>
      <c r="G3086" s="4">
        <v>7</v>
      </c>
      <c r="H3086" s="1">
        <v>95885</v>
      </c>
      <c r="I3086" s="3" t="s">
        <v>21</v>
      </c>
      <c r="J3086" s="4">
        <v>5</v>
      </c>
    </row>
    <row r="3087" spans="1:10" x14ac:dyDescent="0.35">
      <c r="A3087" s="2" t="s">
        <v>3123</v>
      </c>
      <c r="B3087" s="4">
        <v>50</v>
      </c>
      <c r="C3087" t="s">
        <v>17</v>
      </c>
      <c r="D3087" t="s">
        <v>28</v>
      </c>
      <c r="E3087" t="s">
        <v>29</v>
      </c>
      <c r="F3087" t="s">
        <v>14</v>
      </c>
      <c r="G3087" s="4">
        <v>7</v>
      </c>
      <c r="H3087" s="1">
        <v>36780</v>
      </c>
      <c r="I3087" s="3" t="s">
        <v>15</v>
      </c>
      <c r="J3087" s="4">
        <v>5</v>
      </c>
    </row>
    <row r="3088" spans="1:10" x14ac:dyDescent="0.35">
      <c r="A3088" s="2" t="s">
        <v>3124</v>
      </c>
      <c r="B3088" s="4">
        <v>23</v>
      </c>
      <c r="C3088" t="s">
        <v>11</v>
      </c>
      <c r="D3088" t="s">
        <v>36</v>
      </c>
      <c r="E3088" t="s">
        <v>13</v>
      </c>
      <c r="F3088" t="s">
        <v>30</v>
      </c>
      <c r="G3088" s="4">
        <v>11</v>
      </c>
      <c r="H3088" s="1">
        <v>63935</v>
      </c>
      <c r="I3088" s="3" t="s">
        <v>21</v>
      </c>
      <c r="J3088" s="4">
        <v>4</v>
      </c>
    </row>
    <row r="3089" spans="1:10" x14ac:dyDescent="0.35">
      <c r="A3089" s="2" t="s">
        <v>3125</v>
      </c>
      <c r="B3089" s="4">
        <v>57</v>
      </c>
      <c r="C3089" t="s">
        <v>17</v>
      </c>
      <c r="D3089" t="s">
        <v>36</v>
      </c>
      <c r="E3089" t="s">
        <v>19</v>
      </c>
      <c r="F3089" t="s">
        <v>14</v>
      </c>
      <c r="G3089" s="4">
        <v>7</v>
      </c>
      <c r="H3089" s="1">
        <v>6741</v>
      </c>
      <c r="I3089" s="3" t="s">
        <v>15</v>
      </c>
      <c r="J3089" s="4">
        <v>2</v>
      </c>
    </row>
    <row r="3090" spans="1:10" x14ac:dyDescent="0.35">
      <c r="A3090" s="2" t="s">
        <v>3126</v>
      </c>
      <c r="B3090" s="4">
        <v>17</v>
      </c>
      <c r="C3090" t="s">
        <v>11</v>
      </c>
      <c r="D3090" t="s">
        <v>23</v>
      </c>
      <c r="E3090" t="s">
        <v>29</v>
      </c>
      <c r="F3090" t="s">
        <v>14</v>
      </c>
      <c r="G3090" s="4">
        <v>14</v>
      </c>
      <c r="H3090" s="1">
        <v>98804</v>
      </c>
      <c r="I3090" s="3" t="s">
        <v>21</v>
      </c>
      <c r="J3090" s="4">
        <v>3</v>
      </c>
    </row>
    <row r="3091" spans="1:10" x14ac:dyDescent="0.35">
      <c r="A3091" s="2" t="s">
        <v>3127</v>
      </c>
      <c r="B3091" s="4">
        <v>32</v>
      </c>
      <c r="C3091" t="s">
        <v>17</v>
      </c>
      <c r="D3091" t="s">
        <v>12</v>
      </c>
      <c r="E3091" t="s">
        <v>34</v>
      </c>
      <c r="F3091" t="s">
        <v>14</v>
      </c>
      <c r="G3091" s="4">
        <v>11</v>
      </c>
      <c r="H3091" s="1">
        <v>18304</v>
      </c>
      <c r="I3091" s="3" t="s">
        <v>21</v>
      </c>
      <c r="J3091" s="4">
        <v>1</v>
      </c>
    </row>
    <row r="3092" spans="1:10" x14ac:dyDescent="0.35">
      <c r="A3092" s="2" t="s">
        <v>3128</v>
      </c>
      <c r="B3092" s="4">
        <v>8</v>
      </c>
      <c r="C3092" t="s">
        <v>17</v>
      </c>
      <c r="D3092" t="s">
        <v>18</v>
      </c>
      <c r="E3092" t="s">
        <v>29</v>
      </c>
      <c r="F3092" t="s">
        <v>14</v>
      </c>
      <c r="G3092" s="4">
        <v>4</v>
      </c>
      <c r="H3092" s="1">
        <v>49656</v>
      </c>
      <c r="I3092" s="3" t="s">
        <v>15</v>
      </c>
      <c r="J3092" s="4">
        <v>3</v>
      </c>
    </row>
    <row r="3093" spans="1:10" x14ac:dyDescent="0.35">
      <c r="A3093" s="2" t="s">
        <v>3129</v>
      </c>
      <c r="B3093" s="4">
        <v>46</v>
      </c>
      <c r="C3093" t="s">
        <v>11</v>
      </c>
      <c r="D3093" t="s">
        <v>49</v>
      </c>
      <c r="E3093" t="s">
        <v>53</v>
      </c>
      <c r="F3093" t="s">
        <v>14</v>
      </c>
      <c r="G3093" s="4">
        <v>5</v>
      </c>
      <c r="H3093" s="1">
        <v>65189</v>
      </c>
      <c r="I3093" s="3" t="s">
        <v>21</v>
      </c>
      <c r="J3093" s="4">
        <v>1</v>
      </c>
    </row>
    <row r="3094" spans="1:10" x14ac:dyDescent="0.35">
      <c r="A3094" s="2" t="s">
        <v>3130</v>
      </c>
      <c r="B3094" s="4">
        <v>50</v>
      </c>
      <c r="C3094" t="s">
        <v>17</v>
      </c>
      <c r="D3094" t="s">
        <v>41</v>
      </c>
      <c r="E3094" t="s">
        <v>13</v>
      </c>
      <c r="F3094" t="s">
        <v>20</v>
      </c>
      <c r="G3094" s="4">
        <v>9</v>
      </c>
      <c r="H3094" s="1">
        <v>54959</v>
      </c>
      <c r="I3094" s="3" t="s">
        <v>21</v>
      </c>
      <c r="J3094" s="4">
        <v>5</v>
      </c>
    </row>
    <row r="3095" spans="1:10" x14ac:dyDescent="0.35">
      <c r="A3095" s="2" t="s">
        <v>3131</v>
      </c>
      <c r="B3095" s="4">
        <v>78</v>
      </c>
      <c r="C3095" t="s">
        <v>17</v>
      </c>
      <c r="D3095" t="s">
        <v>36</v>
      </c>
      <c r="E3095" t="s">
        <v>27</v>
      </c>
      <c r="F3095" t="s">
        <v>14</v>
      </c>
      <c r="G3095" s="4">
        <v>13</v>
      </c>
      <c r="H3095" s="1">
        <v>61603</v>
      </c>
      <c r="I3095" s="3" t="s">
        <v>15</v>
      </c>
      <c r="J3095" s="4">
        <v>5</v>
      </c>
    </row>
    <row r="3096" spans="1:10" x14ac:dyDescent="0.35">
      <c r="A3096" s="2" t="s">
        <v>3132</v>
      </c>
      <c r="B3096" s="4">
        <v>80</v>
      </c>
      <c r="C3096" t="s">
        <v>11</v>
      </c>
      <c r="D3096" t="s">
        <v>23</v>
      </c>
      <c r="E3096" t="s">
        <v>27</v>
      </c>
      <c r="F3096" t="s">
        <v>20</v>
      </c>
      <c r="G3096" s="4">
        <v>2</v>
      </c>
      <c r="H3096" s="1">
        <v>88871</v>
      </c>
      <c r="I3096" s="3" t="s">
        <v>21</v>
      </c>
      <c r="J3096" s="4">
        <v>3</v>
      </c>
    </row>
    <row r="3097" spans="1:10" x14ac:dyDescent="0.35">
      <c r="A3097" s="2" t="s">
        <v>3133</v>
      </c>
      <c r="B3097" s="4">
        <v>38</v>
      </c>
      <c r="C3097" t="s">
        <v>11</v>
      </c>
      <c r="D3097" t="s">
        <v>12</v>
      </c>
      <c r="E3097" t="s">
        <v>34</v>
      </c>
      <c r="F3097" t="s">
        <v>30</v>
      </c>
      <c r="G3097" s="4">
        <v>9</v>
      </c>
      <c r="H3097" s="1">
        <v>86833</v>
      </c>
      <c r="I3097" s="3" t="s">
        <v>15</v>
      </c>
      <c r="J3097" s="4">
        <v>4</v>
      </c>
    </row>
    <row r="3098" spans="1:10" x14ac:dyDescent="0.35">
      <c r="A3098" s="2" t="s">
        <v>3134</v>
      </c>
      <c r="B3098" s="4">
        <v>49</v>
      </c>
      <c r="C3098" t="s">
        <v>11</v>
      </c>
      <c r="D3098" t="s">
        <v>18</v>
      </c>
      <c r="E3098" t="s">
        <v>29</v>
      </c>
      <c r="F3098" t="s">
        <v>20</v>
      </c>
      <c r="G3098" s="4">
        <v>3</v>
      </c>
      <c r="H3098" s="1">
        <v>89746</v>
      </c>
      <c r="I3098" s="3" t="s">
        <v>15</v>
      </c>
      <c r="J3098" s="4">
        <v>1</v>
      </c>
    </row>
    <row r="3099" spans="1:10" x14ac:dyDescent="0.35">
      <c r="A3099" s="2" t="s">
        <v>3135</v>
      </c>
      <c r="B3099" s="4">
        <v>4</v>
      </c>
      <c r="C3099" t="s">
        <v>17</v>
      </c>
      <c r="D3099" t="s">
        <v>33</v>
      </c>
      <c r="E3099" t="s">
        <v>19</v>
      </c>
      <c r="F3099" t="s">
        <v>30</v>
      </c>
      <c r="G3099" s="4">
        <v>2</v>
      </c>
      <c r="H3099" s="1">
        <v>80164</v>
      </c>
      <c r="I3099" s="3" t="s">
        <v>21</v>
      </c>
      <c r="J3099" s="4">
        <v>5</v>
      </c>
    </row>
    <row r="3100" spans="1:10" x14ac:dyDescent="0.35">
      <c r="A3100" s="2" t="s">
        <v>3136</v>
      </c>
      <c r="B3100" s="4">
        <v>38</v>
      </c>
      <c r="C3100" t="s">
        <v>17</v>
      </c>
      <c r="D3100" t="s">
        <v>39</v>
      </c>
      <c r="E3100" t="s">
        <v>37</v>
      </c>
      <c r="F3100" t="s">
        <v>20</v>
      </c>
      <c r="G3100" s="4">
        <v>15</v>
      </c>
      <c r="H3100" s="1">
        <v>74059</v>
      </c>
      <c r="I3100" s="3" t="s">
        <v>21</v>
      </c>
      <c r="J3100" s="4">
        <v>1</v>
      </c>
    </row>
    <row r="3101" spans="1:10" x14ac:dyDescent="0.35">
      <c r="A3101" s="2" t="s">
        <v>3137</v>
      </c>
      <c r="B3101" s="4">
        <v>24</v>
      </c>
      <c r="C3101" t="s">
        <v>11</v>
      </c>
      <c r="D3101" t="s">
        <v>49</v>
      </c>
      <c r="E3101" t="s">
        <v>29</v>
      </c>
      <c r="F3101" t="s">
        <v>30</v>
      </c>
      <c r="G3101" s="4">
        <v>14</v>
      </c>
      <c r="H3101" s="1">
        <v>67910</v>
      </c>
      <c r="I3101" s="3" t="s">
        <v>15</v>
      </c>
      <c r="J3101" s="4">
        <v>1</v>
      </c>
    </row>
    <row r="3102" spans="1:10" x14ac:dyDescent="0.35">
      <c r="A3102" s="2" t="s">
        <v>3138</v>
      </c>
      <c r="B3102" s="4">
        <v>70</v>
      </c>
      <c r="C3102" t="s">
        <v>17</v>
      </c>
      <c r="D3102" t="s">
        <v>18</v>
      </c>
      <c r="E3102" t="s">
        <v>53</v>
      </c>
      <c r="F3102" t="s">
        <v>14</v>
      </c>
      <c r="G3102" s="4">
        <v>3</v>
      </c>
      <c r="H3102" s="1">
        <v>78083</v>
      </c>
      <c r="I3102" s="3" t="s">
        <v>15</v>
      </c>
      <c r="J3102" s="4">
        <v>4</v>
      </c>
    </row>
    <row r="3103" spans="1:10" x14ac:dyDescent="0.35">
      <c r="A3103" s="2" t="s">
        <v>3139</v>
      </c>
      <c r="B3103" s="4">
        <v>51</v>
      </c>
      <c r="C3103" t="s">
        <v>11</v>
      </c>
      <c r="D3103" t="s">
        <v>18</v>
      </c>
      <c r="E3103" t="s">
        <v>19</v>
      </c>
      <c r="F3103" t="s">
        <v>14</v>
      </c>
      <c r="G3103" s="4">
        <v>2</v>
      </c>
      <c r="H3103" s="1">
        <v>96855</v>
      </c>
      <c r="I3103" s="3" t="s">
        <v>21</v>
      </c>
      <c r="J3103" s="4">
        <v>5</v>
      </c>
    </row>
    <row r="3104" spans="1:10" x14ac:dyDescent="0.35">
      <c r="A3104" s="2" t="s">
        <v>3140</v>
      </c>
      <c r="B3104" s="4">
        <v>29</v>
      </c>
      <c r="C3104" t="s">
        <v>17</v>
      </c>
      <c r="D3104" t="s">
        <v>26</v>
      </c>
      <c r="E3104" t="s">
        <v>24</v>
      </c>
      <c r="F3104" t="s">
        <v>14</v>
      </c>
      <c r="G3104" s="4">
        <v>5</v>
      </c>
      <c r="H3104" s="1">
        <v>97944</v>
      </c>
      <c r="I3104" s="3" t="s">
        <v>15</v>
      </c>
      <c r="J3104" s="4">
        <v>3</v>
      </c>
    </row>
    <row r="3105" spans="1:10" x14ac:dyDescent="0.35">
      <c r="A3105" s="2" t="s">
        <v>3141</v>
      </c>
      <c r="B3105" s="4">
        <v>69</v>
      </c>
      <c r="C3105" t="s">
        <v>11</v>
      </c>
      <c r="D3105" t="s">
        <v>28</v>
      </c>
      <c r="E3105" t="s">
        <v>34</v>
      </c>
      <c r="F3105" t="s">
        <v>30</v>
      </c>
      <c r="G3105" s="4">
        <v>2</v>
      </c>
      <c r="H3105" s="1">
        <v>48240</v>
      </c>
      <c r="I3105" s="3" t="s">
        <v>21</v>
      </c>
      <c r="J3105" s="4">
        <v>5</v>
      </c>
    </row>
    <row r="3106" spans="1:10" x14ac:dyDescent="0.35">
      <c r="A3106" s="2" t="s">
        <v>3142</v>
      </c>
      <c r="B3106" s="4">
        <v>11</v>
      </c>
      <c r="C3106" t="s">
        <v>11</v>
      </c>
      <c r="D3106" t="s">
        <v>49</v>
      </c>
      <c r="E3106" t="s">
        <v>42</v>
      </c>
      <c r="F3106" t="s">
        <v>14</v>
      </c>
      <c r="G3106" s="4">
        <v>2</v>
      </c>
      <c r="H3106" s="1">
        <v>79171</v>
      </c>
      <c r="I3106" s="3" t="s">
        <v>15</v>
      </c>
      <c r="J3106" s="4">
        <v>4</v>
      </c>
    </row>
    <row r="3107" spans="1:10" x14ac:dyDescent="0.35">
      <c r="A3107" s="2" t="s">
        <v>3143</v>
      </c>
      <c r="B3107" s="4">
        <v>90</v>
      </c>
      <c r="C3107" t="s">
        <v>17</v>
      </c>
      <c r="D3107" t="s">
        <v>49</v>
      </c>
      <c r="E3107" t="s">
        <v>13</v>
      </c>
      <c r="F3107" t="s">
        <v>30</v>
      </c>
      <c r="G3107" s="4">
        <v>1</v>
      </c>
      <c r="H3107" s="1">
        <v>47583</v>
      </c>
      <c r="I3107" s="3" t="s">
        <v>15</v>
      </c>
      <c r="J3107" s="4">
        <v>3</v>
      </c>
    </row>
    <row r="3108" spans="1:10" x14ac:dyDescent="0.35">
      <c r="A3108" s="2" t="s">
        <v>3144</v>
      </c>
      <c r="B3108" s="4">
        <v>62</v>
      </c>
      <c r="C3108" t="s">
        <v>17</v>
      </c>
      <c r="D3108" t="s">
        <v>12</v>
      </c>
      <c r="E3108" t="s">
        <v>37</v>
      </c>
      <c r="F3108" t="s">
        <v>14</v>
      </c>
      <c r="G3108" s="4">
        <v>10</v>
      </c>
      <c r="H3108" s="1">
        <v>74165</v>
      </c>
      <c r="I3108" s="3" t="s">
        <v>21</v>
      </c>
      <c r="J3108" s="4">
        <v>1</v>
      </c>
    </row>
    <row r="3109" spans="1:10" x14ac:dyDescent="0.35">
      <c r="A3109" s="2" t="s">
        <v>3145</v>
      </c>
      <c r="B3109" s="4">
        <v>66</v>
      </c>
      <c r="C3109" t="s">
        <v>17</v>
      </c>
      <c r="D3109" t="s">
        <v>23</v>
      </c>
      <c r="E3109" t="s">
        <v>13</v>
      </c>
      <c r="F3109" t="s">
        <v>20</v>
      </c>
      <c r="G3109" s="4">
        <v>5</v>
      </c>
      <c r="H3109" s="1">
        <v>26675</v>
      </c>
      <c r="I3109" s="3" t="s">
        <v>21</v>
      </c>
      <c r="J3109" s="4">
        <v>2</v>
      </c>
    </row>
    <row r="3110" spans="1:10" x14ac:dyDescent="0.35">
      <c r="A3110" s="2" t="s">
        <v>3146</v>
      </c>
      <c r="B3110" s="4">
        <v>20</v>
      </c>
      <c r="C3110" t="s">
        <v>11</v>
      </c>
      <c r="D3110" t="s">
        <v>23</v>
      </c>
      <c r="E3110" t="s">
        <v>27</v>
      </c>
      <c r="F3110" t="s">
        <v>20</v>
      </c>
      <c r="G3110" s="4">
        <v>14</v>
      </c>
      <c r="H3110" s="1">
        <v>44476</v>
      </c>
      <c r="I3110" s="3" t="s">
        <v>15</v>
      </c>
      <c r="J3110" s="4">
        <v>4</v>
      </c>
    </row>
    <row r="3111" spans="1:10" x14ac:dyDescent="0.35">
      <c r="A3111" s="2" t="s">
        <v>3147</v>
      </c>
      <c r="B3111" s="4">
        <v>22</v>
      </c>
      <c r="C3111" t="s">
        <v>17</v>
      </c>
      <c r="D3111" t="s">
        <v>49</v>
      </c>
      <c r="E3111" t="s">
        <v>29</v>
      </c>
      <c r="F3111" t="s">
        <v>20</v>
      </c>
      <c r="G3111" s="4">
        <v>6</v>
      </c>
      <c r="H3111" s="1">
        <v>47513</v>
      </c>
      <c r="I3111" s="3" t="s">
        <v>21</v>
      </c>
      <c r="J3111" s="4">
        <v>5</v>
      </c>
    </row>
    <row r="3112" spans="1:10" x14ac:dyDescent="0.35">
      <c r="A3112" s="2" t="s">
        <v>3148</v>
      </c>
      <c r="B3112" s="4">
        <v>39</v>
      </c>
      <c r="C3112" t="s">
        <v>11</v>
      </c>
      <c r="D3112" t="s">
        <v>39</v>
      </c>
      <c r="E3112" t="s">
        <v>37</v>
      </c>
      <c r="F3112" t="s">
        <v>20</v>
      </c>
      <c r="G3112" s="4">
        <v>13</v>
      </c>
      <c r="H3112" s="1">
        <v>77384</v>
      </c>
      <c r="I3112" s="3" t="s">
        <v>15</v>
      </c>
      <c r="J3112" s="4">
        <v>3</v>
      </c>
    </row>
    <row r="3113" spans="1:10" x14ac:dyDescent="0.35">
      <c r="A3113" s="2" t="s">
        <v>3149</v>
      </c>
      <c r="B3113" s="4">
        <v>69</v>
      </c>
      <c r="C3113" t="s">
        <v>17</v>
      </c>
      <c r="D3113" t="s">
        <v>39</v>
      </c>
      <c r="E3113" t="s">
        <v>24</v>
      </c>
      <c r="F3113" t="s">
        <v>20</v>
      </c>
      <c r="G3113" s="4">
        <v>4</v>
      </c>
      <c r="H3113" s="1">
        <v>22225</v>
      </c>
      <c r="I3113" s="3" t="s">
        <v>15</v>
      </c>
      <c r="J3113" s="4">
        <v>3</v>
      </c>
    </row>
    <row r="3114" spans="1:10" x14ac:dyDescent="0.35">
      <c r="A3114" s="2" t="s">
        <v>3150</v>
      </c>
      <c r="B3114" s="4">
        <v>22</v>
      </c>
      <c r="C3114" t="s">
        <v>11</v>
      </c>
      <c r="D3114" t="s">
        <v>18</v>
      </c>
      <c r="E3114" t="s">
        <v>13</v>
      </c>
      <c r="F3114" t="s">
        <v>30</v>
      </c>
      <c r="G3114" s="4">
        <v>4</v>
      </c>
      <c r="H3114" s="1">
        <v>27093</v>
      </c>
      <c r="I3114" s="3" t="s">
        <v>15</v>
      </c>
      <c r="J3114" s="4">
        <v>3</v>
      </c>
    </row>
    <row r="3115" spans="1:10" x14ac:dyDescent="0.35">
      <c r="A3115" s="2" t="s">
        <v>3151</v>
      </c>
      <c r="B3115" s="4">
        <v>66</v>
      </c>
      <c r="C3115" t="s">
        <v>17</v>
      </c>
      <c r="D3115" t="s">
        <v>33</v>
      </c>
      <c r="E3115" t="s">
        <v>34</v>
      </c>
      <c r="F3115" t="s">
        <v>30</v>
      </c>
      <c r="G3115" s="4">
        <v>2</v>
      </c>
      <c r="H3115" s="1">
        <v>38319</v>
      </c>
      <c r="I3115" s="3" t="s">
        <v>15</v>
      </c>
      <c r="J3115" s="4">
        <v>2</v>
      </c>
    </row>
    <row r="3116" spans="1:10" x14ac:dyDescent="0.35">
      <c r="A3116" s="2" t="s">
        <v>3152</v>
      </c>
      <c r="B3116" s="4">
        <v>1</v>
      </c>
      <c r="C3116" t="s">
        <v>17</v>
      </c>
      <c r="D3116" t="s">
        <v>12</v>
      </c>
      <c r="E3116" t="s">
        <v>24</v>
      </c>
      <c r="F3116" t="s">
        <v>30</v>
      </c>
      <c r="G3116" s="4">
        <v>2</v>
      </c>
      <c r="H3116" s="1">
        <v>49368</v>
      </c>
      <c r="I3116" s="3" t="s">
        <v>21</v>
      </c>
      <c r="J3116" s="4">
        <v>5</v>
      </c>
    </row>
    <row r="3117" spans="1:10" x14ac:dyDescent="0.35">
      <c r="A3117" s="2" t="s">
        <v>3153</v>
      </c>
      <c r="B3117" s="4">
        <v>6</v>
      </c>
      <c r="C3117" t="s">
        <v>17</v>
      </c>
      <c r="D3117" t="s">
        <v>23</v>
      </c>
      <c r="E3117" t="s">
        <v>37</v>
      </c>
      <c r="F3117" t="s">
        <v>14</v>
      </c>
      <c r="G3117" s="4">
        <v>8</v>
      </c>
      <c r="H3117" s="1">
        <v>34223</v>
      </c>
      <c r="I3117" s="3" t="s">
        <v>15</v>
      </c>
      <c r="J3117" s="4">
        <v>5</v>
      </c>
    </row>
    <row r="3118" spans="1:10" x14ac:dyDescent="0.35">
      <c r="A3118" s="2" t="s">
        <v>3154</v>
      </c>
      <c r="B3118" s="4">
        <v>38</v>
      </c>
      <c r="C3118" t="s">
        <v>17</v>
      </c>
      <c r="D3118" t="s">
        <v>41</v>
      </c>
      <c r="E3118" t="s">
        <v>42</v>
      </c>
      <c r="F3118" t="s">
        <v>20</v>
      </c>
      <c r="G3118" s="4">
        <v>3</v>
      </c>
      <c r="H3118" s="1">
        <v>75735</v>
      </c>
      <c r="I3118" s="3" t="s">
        <v>15</v>
      </c>
      <c r="J3118" s="4">
        <v>1</v>
      </c>
    </row>
    <row r="3119" spans="1:10" x14ac:dyDescent="0.35">
      <c r="A3119" s="2" t="s">
        <v>3155</v>
      </c>
      <c r="B3119" s="4">
        <v>75</v>
      </c>
      <c r="C3119" t="s">
        <v>11</v>
      </c>
      <c r="D3119" t="s">
        <v>28</v>
      </c>
      <c r="E3119" t="s">
        <v>13</v>
      </c>
      <c r="F3119" t="s">
        <v>14</v>
      </c>
      <c r="G3119" s="4">
        <v>1</v>
      </c>
      <c r="H3119" s="1">
        <v>12607</v>
      </c>
      <c r="I3119" s="3" t="s">
        <v>15</v>
      </c>
      <c r="J3119" s="4">
        <v>4</v>
      </c>
    </row>
    <row r="3120" spans="1:10" x14ac:dyDescent="0.35">
      <c r="A3120" s="2" t="s">
        <v>3156</v>
      </c>
      <c r="B3120" s="4">
        <v>66</v>
      </c>
      <c r="C3120" t="s">
        <v>17</v>
      </c>
      <c r="D3120" t="s">
        <v>41</v>
      </c>
      <c r="E3120" t="s">
        <v>53</v>
      </c>
      <c r="F3120" t="s">
        <v>14</v>
      </c>
      <c r="G3120" s="4">
        <v>4</v>
      </c>
      <c r="H3120" s="1">
        <v>5423</v>
      </c>
      <c r="I3120" s="3" t="s">
        <v>15</v>
      </c>
      <c r="J3120" s="4">
        <v>5</v>
      </c>
    </row>
    <row r="3121" spans="1:10" x14ac:dyDescent="0.35">
      <c r="A3121" s="2" t="s">
        <v>3157</v>
      </c>
      <c r="B3121" s="4">
        <v>15</v>
      </c>
      <c r="C3121" t="s">
        <v>17</v>
      </c>
      <c r="D3121" t="s">
        <v>26</v>
      </c>
      <c r="E3121" t="s">
        <v>29</v>
      </c>
      <c r="F3121" t="s">
        <v>14</v>
      </c>
      <c r="G3121" s="4">
        <v>7</v>
      </c>
      <c r="H3121" s="1">
        <v>67884</v>
      </c>
      <c r="I3121" s="3" t="s">
        <v>15</v>
      </c>
      <c r="J3121" s="4">
        <v>4</v>
      </c>
    </row>
    <row r="3122" spans="1:10" x14ac:dyDescent="0.35">
      <c r="A3122" s="2" t="s">
        <v>3158</v>
      </c>
      <c r="B3122" s="4">
        <v>28</v>
      </c>
      <c r="C3122" t="s">
        <v>17</v>
      </c>
      <c r="D3122" t="s">
        <v>49</v>
      </c>
      <c r="E3122" t="s">
        <v>24</v>
      </c>
      <c r="F3122" t="s">
        <v>20</v>
      </c>
      <c r="G3122" s="4">
        <v>13</v>
      </c>
      <c r="H3122" s="1">
        <v>94859</v>
      </c>
      <c r="I3122" s="3" t="s">
        <v>15</v>
      </c>
      <c r="J3122" s="4">
        <v>4</v>
      </c>
    </row>
    <row r="3123" spans="1:10" x14ac:dyDescent="0.35">
      <c r="A3123" s="2" t="s">
        <v>3159</v>
      </c>
      <c r="B3123" s="4">
        <v>27</v>
      </c>
      <c r="C3123" t="s">
        <v>11</v>
      </c>
      <c r="D3123" t="s">
        <v>18</v>
      </c>
      <c r="E3123" t="s">
        <v>27</v>
      </c>
      <c r="F3123" t="s">
        <v>20</v>
      </c>
      <c r="G3123" s="4">
        <v>12</v>
      </c>
      <c r="H3123" s="1">
        <v>9030</v>
      </c>
      <c r="I3123" s="3" t="s">
        <v>15</v>
      </c>
      <c r="J3123" s="4">
        <v>1</v>
      </c>
    </row>
    <row r="3124" spans="1:10" x14ac:dyDescent="0.35">
      <c r="A3124" s="2" t="s">
        <v>3160</v>
      </c>
      <c r="B3124" s="4">
        <v>38</v>
      </c>
      <c r="C3124" t="s">
        <v>17</v>
      </c>
      <c r="D3124" t="s">
        <v>18</v>
      </c>
      <c r="E3124" t="s">
        <v>65</v>
      </c>
      <c r="F3124" t="s">
        <v>14</v>
      </c>
      <c r="G3124" s="4">
        <v>2</v>
      </c>
      <c r="H3124" s="1">
        <v>56520</v>
      </c>
      <c r="I3124" s="3" t="s">
        <v>21</v>
      </c>
      <c r="J3124" s="4">
        <v>1</v>
      </c>
    </row>
    <row r="3125" spans="1:10" x14ac:dyDescent="0.35">
      <c r="A3125" s="2" t="s">
        <v>3161</v>
      </c>
      <c r="B3125" s="4">
        <v>65</v>
      </c>
      <c r="C3125" t="s">
        <v>11</v>
      </c>
      <c r="D3125" t="s">
        <v>41</v>
      </c>
      <c r="E3125" t="s">
        <v>29</v>
      </c>
      <c r="F3125" t="s">
        <v>20</v>
      </c>
      <c r="G3125" s="4">
        <v>12</v>
      </c>
      <c r="H3125" s="1">
        <v>52764</v>
      </c>
      <c r="I3125" s="3" t="s">
        <v>21</v>
      </c>
      <c r="J3125" s="4">
        <v>4</v>
      </c>
    </row>
    <row r="3126" spans="1:10" x14ac:dyDescent="0.35">
      <c r="A3126" s="2" t="s">
        <v>3162</v>
      </c>
      <c r="B3126" s="4">
        <v>87</v>
      </c>
      <c r="C3126" t="s">
        <v>17</v>
      </c>
      <c r="D3126" t="s">
        <v>18</v>
      </c>
      <c r="E3126" t="s">
        <v>13</v>
      </c>
      <c r="F3126" t="s">
        <v>14</v>
      </c>
      <c r="G3126" s="4">
        <v>14</v>
      </c>
      <c r="H3126" s="1">
        <v>30075</v>
      </c>
      <c r="I3126" s="3" t="s">
        <v>15</v>
      </c>
      <c r="J3126" s="4">
        <v>2</v>
      </c>
    </row>
    <row r="3127" spans="1:10" x14ac:dyDescent="0.35">
      <c r="A3127" s="2" t="s">
        <v>3163</v>
      </c>
      <c r="B3127" s="4">
        <v>2</v>
      </c>
      <c r="C3127" t="s">
        <v>11</v>
      </c>
      <c r="D3127" t="s">
        <v>36</v>
      </c>
      <c r="E3127" t="s">
        <v>13</v>
      </c>
      <c r="F3127" t="s">
        <v>14</v>
      </c>
      <c r="G3127" s="4">
        <v>11</v>
      </c>
      <c r="H3127" s="1">
        <v>31818</v>
      </c>
      <c r="I3127" s="3" t="s">
        <v>15</v>
      </c>
      <c r="J3127" s="4">
        <v>2</v>
      </c>
    </row>
    <row r="3128" spans="1:10" x14ac:dyDescent="0.35">
      <c r="A3128" s="2" t="s">
        <v>3164</v>
      </c>
      <c r="B3128" s="4">
        <v>56</v>
      </c>
      <c r="C3128" t="s">
        <v>11</v>
      </c>
      <c r="D3128" t="s">
        <v>28</v>
      </c>
      <c r="E3128" t="s">
        <v>27</v>
      </c>
      <c r="F3128" t="s">
        <v>14</v>
      </c>
      <c r="G3128" s="4">
        <v>2</v>
      </c>
      <c r="H3128" s="1">
        <v>34169</v>
      </c>
      <c r="I3128" s="3" t="s">
        <v>21</v>
      </c>
      <c r="J3128" s="4">
        <v>3</v>
      </c>
    </row>
    <row r="3129" spans="1:10" x14ac:dyDescent="0.35">
      <c r="A3129" s="2" t="s">
        <v>3165</v>
      </c>
      <c r="B3129" s="4">
        <v>66</v>
      </c>
      <c r="C3129" t="s">
        <v>11</v>
      </c>
      <c r="D3129" t="s">
        <v>18</v>
      </c>
      <c r="E3129" t="s">
        <v>53</v>
      </c>
      <c r="F3129" t="s">
        <v>20</v>
      </c>
      <c r="G3129" s="4">
        <v>1</v>
      </c>
      <c r="H3129" s="1">
        <v>34303</v>
      </c>
      <c r="I3129" s="3" t="s">
        <v>21</v>
      </c>
      <c r="J3129" s="4">
        <v>1</v>
      </c>
    </row>
    <row r="3130" spans="1:10" x14ac:dyDescent="0.35">
      <c r="A3130" s="2" t="s">
        <v>3166</v>
      </c>
      <c r="B3130" s="4">
        <v>26</v>
      </c>
      <c r="C3130" t="s">
        <v>11</v>
      </c>
      <c r="D3130" t="s">
        <v>49</v>
      </c>
      <c r="E3130" t="s">
        <v>65</v>
      </c>
      <c r="F3130" t="s">
        <v>14</v>
      </c>
      <c r="G3130" s="4">
        <v>15</v>
      </c>
      <c r="H3130" s="1">
        <v>70094</v>
      </c>
      <c r="I3130" s="3" t="s">
        <v>21</v>
      </c>
      <c r="J3130" s="4">
        <v>1</v>
      </c>
    </row>
    <row r="3131" spans="1:10" x14ac:dyDescent="0.35">
      <c r="A3131" s="2" t="s">
        <v>3167</v>
      </c>
      <c r="B3131" s="4">
        <v>8</v>
      </c>
      <c r="C3131" t="s">
        <v>11</v>
      </c>
      <c r="D3131" t="s">
        <v>41</v>
      </c>
      <c r="E3131" t="s">
        <v>53</v>
      </c>
      <c r="F3131" t="s">
        <v>30</v>
      </c>
      <c r="G3131" s="4">
        <v>12</v>
      </c>
      <c r="H3131" s="1">
        <v>21509</v>
      </c>
      <c r="I3131" s="3" t="s">
        <v>21</v>
      </c>
      <c r="J3131" s="4">
        <v>4</v>
      </c>
    </row>
    <row r="3132" spans="1:10" x14ac:dyDescent="0.35">
      <c r="A3132" s="2" t="s">
        <v>3168</v>
      </c>
      <c r="B3132" s="4">
        <v>28</v>
      </c>
      <c r="C3132" t="s">
        <v>17</v>
      </c>
      <c r="D3132" t="s">
        <v>26</v>
      </c>
      <c r="E3132" t="s">
        <v>42</v>
      </c>
      <c r="F3132" t="s">
        <v>30</v>
      </c>
      <c r="G3132" s="4">
        <v>8</v>
      </c>
      <c r="H3132" s="1">
        <v>10696</v>
      </c>
      <c r="I3132" s="3" t="s">
        <v>21</v>
      </c>
      <c r="J3132" s="4">
        <v>4</v>
      </c>
    </row>
    <row r="3133" spans="1:10" x14ac:dyDescent="0.35">
      <c r="A3133" s="2" t="s">
        <v>3169</v>
      </c>
      <c r="B3133" s="4">
        <v>21</v>
      </c>
      <c r="C3133" t="s">
        <v>11</v>
      </c>
      <c r="D3133" t="s">
        <v>23</v>
      </c>
      <c r="E3133" t="s">
        <v>65</v>
      </c>
      <c r="F3133" t="s">
        <v>14</v>
      </c>
      <c r="G3133" s="4">
        <v>3</v>
      </c>
      <c r="H3133" s="1">
        <v>65602</v>
      </c>
      <c r="I3133" s="3" t="s">
        <v>15</v>
      </c>
      <c r="J3133" s="4">
        <v>3</v>
      </c>
    </row>
    <row r="3134" spans="1:10" x14ac:dyDescent="0.35">
      <c r="A3134" s="2" t="s">
        <v>3170</v>
      </c>
      <c r="B3134" s="4">
        <v>29</v>
      </c>
      <c r="C3134" t="s">
        <v>11</v>
      </c>
      <c r="D3134" t="s">
        <v>23</v>
      </c>
      <c r="E3134" t="s">
        <v>19</v>
      </c>
      <c r="F3134" t="s">
        <v>30</v>
      </c>
      <c r="G3134" s="4">
        <v>12</v>
      </c>
      <c r="H3134" s="1">
        <v>62153</v>
      </c>
      <c r="I3134" s="3" t="s">
        <v>21</v>
      </c>
      <c r="J3134" s="4">
        <v>2</v>
      </c>
    </row>
    <row r="3135" spans="1:10" x14ac:dyDescent="0.35">
      <c r="A3135" s="2" t="s">
        <v>3171</v>
      </c>
      <c r="B3135" s="4">
        <v>9</v>
      </c>
      <c r="C3135" t="s">
        <v>11</v>
      </c>
      <c r="D3135" t="s">
        <v>36</v>
      </c>
      <c r="E3135" t="s">
        <v>53</v>
      </c>
      <c r="F3135" t="s">
        <v>14</v>
      </c>
      <c r="G3135" s="4">
        <v>1</v>
      </c>
      <c r="H3135" s="1">
        <v>37957</v>
      </c>
      <c r="I3135" s="3" t="s">
        <v>21</v>
      </c>
      <c r="J3135" s="4">
        <v>2</v>
      </c>
    </row>
    <row r="3136" spans="1:10" x14ac:dyDescent="0.35">
      <c r="A3136" s="2" t="s">
        <v>3172</v>
      </c>
      <c r="B3136" s="4">
        <v>39</v>
      </c>
      <c r="C3136" t="s">
        <v>11</v>
      </c>
      <c r="D3136" t="s">
        <v>41</v>
      </c>
      <c r="E3136" t="s">
        <v>42</v>
      </c>
      <c r="F3136" t="s">
        <v>30</v>
      </c>
      <c r="G3136" s="4">
        <v>14</v>
      </c>
      <c r="H3136" s="1">
        <v>25780</v>
      </c>
      <c r="I3136" s="3" t="s">
        <v>15</v>
      </c>
      <c r="J3136" s="4">
        <v>3</v>
      </c>
    </row>
    <row r="3137" spans="1:10" x14ac:dyDescent="0.35">
      <c r="A3137" s="2" t="s">
        <v>3173</v>
      </c>
      <c r="B3137" s="4">
        <v>16</v>
      </c>
      <c r="C3137" t="s">
        <v>17</v>
      </c>
      <c r="D3137" t="s">
        <v>18</v>
      </c>
      <c r="E3137" t="s">
        <v>53</v>
      </c>
      <c r="F3137" t="s">
        <v>20</v>
      </c>
      <c r="G3137" s="4">
        <v>9</v>
      </c>
      <c r="H3137" s="1">
        <v>22334</v>
      </c>
      <c r="I3137" s="3" t="s">
        <v>15</v>
      </c>
      <c r="J3137" s="4">
        <v>5</v>
      </c>
    </row>
    <row r="3138" spans="1:10" x14ac:dyDescent="0.35">
      <c r="A3138" s="2" t="s">
        <v>3174</v>
      </c>
      <c r="B3138" s="4">
        <v>78</v>
      </c>
      <c r="C3138" t="s">
        <v>17</v>
      </c>
      <c r="D3138" t="s">
        <v>49</v>
      </c>
      <c r="E3138" t="s">
        <v>53</v>
      </c>
      <c r="F3138" t="s">
        <v>30</v>
      </c>
      <c r="G3138" s="4">
        <v>7</v>
      </c>
      <c r="H3138" s="1">
        <v>20415</v>
      </c>
      <c r="I3138" s="3" t="s">
        <v>21</v>
      </c>
      <c r="J3138" s="4">
        <v>2</v>
      </c>
    </row>
    <row r="3139" spans="1:10" x14ac:dyDescent="0.35">
      <c r="A3139" s="2" t="s">
        <v>3175</v>
      </c>
      <c r="B3139" s="4">
        <v>30</v>
      </c>
      <c r="C3139" t="s">
        <v>11</v>
      </c>
      <c r="D3139" t="s">
        <v>28</v>
      </c>
      <c r="E3139" t="s">
        <v>29</v>
      </c>
      <c r="F3139" t="s">
        <v>14</v>
      </c>
      <c r="G3139" s="4">
        <v>11</v>
      </c>
      <c r="H3139" s="1">
        <v>74211</v>
      </c>
      <c r="I3139" s="3" t="s">
        <v>21</v>
      </c>
      <c r="J3139" s="4">
        <v>5</v>
      </c>
    </row>
    <row r="3140" spans="1:10" x14ac:dyDescent="0.35">
      <c r="A3140" s="2" t="s">
        <v>3176</v>
      </c>
      <c r="B3140" s="4">
        <v>50</v>
      </c>
      <c r="C3140" t="s">
        <v>17</v>
      </c>
      <c r="D3140" t="s">
        <v>49</v>
      </c>
      <c r="E3140" t="s">
        <v>13</v>
      </c>
      <c r="F3140" t="s">
        <v>30</v>
      </c>
      <c r="G3140" s="4">
        <v>2</v>
      </c>
      <c r="H3140" s="1">
        <v>72965</v>
      </c>
      <c r="I3140" s="3" t="s">
        <v>21</v>
      </c>
      <c r="J3140" s="4">
        <v>1</v>
      </c>
    </row>
    <row r="3141" spans="1:10" x14ac:dyDescent="0.35">
      <c r="A3141" s="2" t="s">
        <v>3177</v>
      </c>
      <c r="B3141" s="4">
        <v>23</v>
      </c>
      <c r="C3141" t="s">
        <v>17</v>
      </c>
      <c r="D3141" t="s">
        <v>28</v>
      </c>
      <c r="E3141" t="s">
        <v>19</v>
      </c>
      <c r="F3141" t="s">
        <v>14</v>
      </c>
      <c r="G3141" s="4">
        <v>4</v>
      </c>
      <c r="H3141" s="1">
        <v>26363</v>
      </c>
      <c r="I3141" s="3" t="s">
        <v>15</v>
      </c>
      <c r="J3141" s="4">
        <v>4</v>
      </c>
    </row>
    <row r="3142" spans="1:10" x14ac:dyDescent="0.35">
      <c r="A3142" s="2" t="s">
        <v>3178</v>
      </c>
      <c r="B3142" s="4">
        <v>63</v>
      </c>
      <c r="C3142" t="s">
        <v>11</v>
      </c>
      <c r="D3142" t="s">
        <v>23</v>
      </c>
      <c r="E3142" t="s">
        <v>27</v>
      </c>
      <c r="F3142" t="s">
        <v>20</v>
      </c>
      <c r="G3142" s="4">
        <v>3</v>
      </c>
      <c r="H3142" s="1">
        <v>67039</v>
      </c>
      <c r="I3142" s="3" t="s">
        <v>15</v>
      </c>
      <c r="J3142" s="4">
        <v>2</v>
      </c>
    </row>
    <row r="3143" spans="1:10" x14ac:dyDescent="0.35">
      <c r="A3143" s="2" t="s">
        <v>3179</v>
      </c>
      <c r="B3143" s="4">
        <v>62</v>
      </c>
      <c r="C3143" t="s">
        <v>11</v>
      </c>
      <c r="D3143" t="s">
        <v>39</v>
      </c>
      <c r="E3143" t="s">
        <v>27</v>
      </c>
      <c r="F3143" t="s">
        <v>20</v>
      </c>
      <c r="G3143" s="4">
        <v>4</v>
      </c>
      <c r="H3143" s="1">
        <v>38080</v>
      </c>
      <c r="I3143" s="3" t="s">
        <v>15</v>
      </c>
      <c r="J3143" s="4">
        <v>5</v>
      </c>
    </row>
    <row r="3144" spans="1:10" x14ac:dyDescent="0.35">
      <c r="A3144" s="2" t="s">
        <v>3180</v>
      </c>
      <c r="B3144" s="4">
        <v>74</v>
      </c>
      <c r="C3144" t="s">
        <v>11</v>
      </c>
      <c r="D3144" t="s">
        <v>12</v>
      </c>
      <c r="E3144" t="s">
        <v>42</v>
      </c>
      <c r="F3144" t="s">
        <v>14</v>
      </c>
      <c r="G3144" s="4">
        <v>11</v>
      </c>
      <c r="H3144" s="1">
        <v>55184</v>
      </c>
      <c r="I3144" s="3" t="s">
        <v>21</v>
      </c>
      <c r="J3144" s="4">
        <v>4</v>
      </c>
    </row>
    <row r="3145" spans="1:10" x14ac:dyDescent="0.35">
      <c r="A3145" s="2" t="s">
        <v>3181</v>
      </c>
      <c r="B3145" s="4">
        <v>49</v>
      </c>
      <c r="C3145" t="s">
        <v>11</v>
      </c>
      <c r="D3145" t="s">
        <v>33</v>
      </c>
      <c r="E3145" t="s">
        <v>29</v>
      </c>
      <c r="F3145" t="s">
        <v>20</v>
      </c>
      <c r="G3145" s="4">
        <v>5</v>
      </c>
      <c r="H3145" s="1">
        <v>59227</v>
      </c>
      <c r="I3145" s="3" t="s">
        <v>21</v>
      </c>
      <c r="J3145" s="4">
        <v>2</v>
      </c>
    </row>
    <row r="3146" spans="1:10" x14ac:dyDescent="0.35">
      <c r="A3146" s="2" t="s">
        <v>3182</v>
      </c>
      <c r="B3146" s="4">
        <v>25</v>
      </c>
      <c r="C3146" t="s">
        <v>11</v>
      </c>
      <c r="D3146" t="s">
        <v>23</v>
      </c>
      <c r="E3146" t="s">
        <v>13</v>
      </c>
      <c r="F3146" t="s">
        <v>20</v>
      </c>
      <c r="G3146" s="4">
        <v>13</v>
      </c>
      <c r="H3146" s="1">
        <v>20506</v>
      </c>
      <c r="I3146" s="3" t="s">
        <v>21</v>
      </c>
      <c r="J3146" s="4">
        <v>4</v>
      </c>
    </row>
    <row r="3147" spans="1:10" x14ac:dyDescent="0.35">
      <c r="A3147" s="2" t="s">
        <v>3183</v>
      </c>
      <c r="B3147" s="4">
        <v>33</v>
      </c>
      <c r="C3147" t="s">
        <v>11</v>
      </c>
      <c r="D3147" t="s">
        <v>28</v>
      </c>
      <c r="E3147" t="s">
        <v>27</v>
      </c>
      <c r="F3147" t="s">
        <v>20</v>
      </c>
      <c r="G3147" s="4">
        <v>8</v>
      </c>
      <c r="H3147" s="1">
        <v>83417</v>
      </c>
      <c r="I3147" s="3" t="s">
        <v>15</v>
      </c>
      <c r="J3147" s="4">
        <v>3</v>
      </c>
    </row>
    <row r="3148" spans="1:10" x14ac:dyDescent="0.35">
      <c r="A3148" s="2" t="s">
        <v>3184</v>
      </c>
      <c r="B3148" s="4">
        <v>58</v>
      </c>
      <c r="C3148" t="s">
        <v>17</v>
      </c>
      <c r="D3148" t="s">
        <v>23</v>
      </c>
      <c r="E3148" t="s">
        <v>53</v>
      </c>
      <c r="F3148" t="s">
        <v>20</v>
      </c>
      <c r="G3148" s="4">
        <v>1</v>
      </c>
      <c r="H3148" s="1">
        <v>9964</v>
      </c>
      <c r="I3148" s="3" t="s">
        <v>15</v>
      </c>
      <c r="J3148" s="4">
        <v>2</v>
      </c>
    </row>
    <row r="3149" spans="1:10" x14ac:dyDescent="0.35">
      <c r="A3149" s="2" t="s">
        <v>3185</v>
      </c>
      <c r="B3149" s="4">
        <v>54</v>
      </c>
      <c r="C3149" t="s">
        <v>17</v>
      </c>
      <c r="D3149" t="s">
        <v>12</v>
      </c>
      <c r="E3149" t="s">
        <v>27</v>
      </c>
      <c r="F3149" t="s">
        <v>30</v>
      </c>
      <c r="G3149" s="4">
        <v>7</v>
      </c>
      <c r="H3149" s="1">
        <v>93448</v>
      </c>
      <c r="I3149" s="3" t="s">
        <v>21</v>
      </c>
      <c r="J3149" s="4">
        <v>5</v>
      </c>
    </row>
    <row r="3150" spans="1:10" x14ac:dyDescent="0.35">
      <c r="A3150" s="2" t="s">
        <v>3186</v>
      </c>
      <c r="B3150" s="4">
        <v>28</v>
      </c>
      <c r="C3150" t="s">
        <v>11</v>
      </c>
      <c r="D3150" t="s">
        <v>41</v>
      </c>
      <c r="E3150" t="s">
        <v>13</v>
      </c>
      <c r="F3150" t="s">
        <v>20</v>
      </c>
      <c r="G3150" s="4">
        <v>11</v>
      </c>
      <c r="H3150" s="1">
        <v>30779</v>
      </c>
      <c r="I3150" s="3" t="s">
        <v>21</v>
      </c>
      <c r="J3150" s="4">
        <v>4</v>
      </c>
    </row>
    <row r="3151" spans="1:10" x14ac:dyDescent="0.35">
      <c r="A3151" s="2" t="s">
        <v>3187</v>
      </c>
      <c r="B3151" s="4">
        <v>61</v>
      </c>
      <c r="C3151" t="s">
        <v>11</v>
      </c>
      <c r="D3151" t="s">
        <v>33</v>
      </c>
      <c r="E3151" t="s">
        <v>27</v>
      </c>
      <c r="F3151" t="s">
        <v>30</v>
      </c>
      <c r="G3151" s="4">
        <v>2</v>
      </c>
      <c r="H3151" s="1">
        <v>58286</v>
      </c>
      <c r="I3151" s="3" t="s">
        <v>15</v>
      </c>
      <c r="J3151" s="4">
        <v>4</v>
      </c>
    </row>
    <row r="3152" spans="1:10" x14ac:dyDescent="0.35">
      <c r="A3152" s="2" t="s">
        <v>3188</v>
      </c>
      <c r="B3152" s="4">
        <v>23</v>
      </c>
      <c r="C3152" t="s">
        <v>17</v>
      </c>
      <c r="D3152" t="s">
        <v>39</v>
      </c>
      <c r="E3152" t="s">
        <v>29</v>
      </c>
      <c r="F3152" t="s">
        <v>14</v>
      </c>
      <c r="G3152" s="4">
        <v>3</v>
      </c>
      <c r="H3152" s="1">
        <v>6533</v>
      </c>
      <c r="I3152" s="3" t="s">
        <v>21</v>
      </c>
      <c r="J3152" s="4">
        <v>2</v>
      </c>
    </row>
    <row r="3153" spans="1:10" x14ac:dyDescent="0.35">
      <c r="A3153" s="2" t="s">
        <v>3189</v>
      </c>
      <c r="B3153" s="4">
        <v>3</v>
      </c>
      <c r="C3153" t="s">
        <v>17</v>
      </c>
      <c r="D3153" t="s">
        <v>26</v>
      </c>
      <c r="E3153" t="s">
        <v>27</v>
      </c>
      <c r="F3153" t="s">
        <v>20</v>
      </c>
      <c r="G3153" s="4">
        <v>4</v>
      </c>
      <c r="H3153" s="1">
        <v>16890</v>
      </c>
      <c r="I3153" s="3" t="s">
        <v>21</v>
      </c>
      <c r="J3153" s="4">
        <v>3</v>
      </c>
    </row>
    <row r="3154" spans="1:10" x14ac:dyDescent="0.35">
      <c r="A3154" s="2" t="s">
        <v>3190</v>
      </c>
      <c r="B3154" s="4">
        <v>37</v>
      </c>
      <c r="C3154" t="s">
        <v>17</v>
      </c>
      <c r="D3154" t="s">
        <v>49</v>
      </c>
      <c r="E3154" t="s">
        <v>34</v>
      </c>
      <c r="F3154" t="s">
        <v>14</v>
      </c>
      <c r="G3154" s="4">
        <v>12</v>
      </c>
      <c r="H3154" s="1">
        <v>56986</v>
      </c>
      <c r="I3154" s="3" t="s">
        <v>21</v>
      </c>
      <c r="J3154" s="4">
        <v>2</v>
      </c>
    </row>
    <row r="3155" spans="1:10" x14ac:dyDescent="0.35">
      <c r="A3155" s="2" t="s">
        <v>3191</v>
      </c>
      <c r="B3155" s="4">
        <v>71</v>
      </c>
      <c r="C3155" t="s">
        <v>17</v>
      </c>
      <c r="D3155" t="s">
        <v>36</v>
      </c>
      <c r="E3155" t="s">
        <v>34</v>
      </c>
      <c r="F3155" t="s">
        <v>30</v>
      </c>
      <c r="G3155" s="4">
        <v>13</v>
      </c>
      <c r="H3155" s="1">
        <v>37378</v>
      </c>
      <c r="I3155" s="3" t="s">
        <v>15</v>
      </c>
      <c r="J3155" s="4">
        <v>3</v>
      </c>
    </row>
    <row r="3156" spans="1:10" x14ac:dyDescent="0.35">
      <c r="A3156" s="2" t="s">
        <v>3192</v>
      </c>
      <c r="B3156" s="4">
        <v>85</v>
      </c>
      <c r="C3156" t="s">
        <v>17</v>
      </c>
      <c r="D3156" t="s">
        <v>28</v>
      </c>
      <c r="E3156" t="s">
        <v>37</v>
      </c>
      <c r="F3156" t="s">
        <v>20</v>
      </c>
      <c r="G3156" s="4">
        <v>7</v>
      </c>
      <c r="H3156" s="1">
        <v>60096</v>
      </c>
      <c r="I3156" s="3" t="s">
        <v>21</v>
      </c>
      <c r="J3156" s="4">
        <v>3</v>
      </c>
    </row>
    <row r="3157" spans="1:10" x14ac:dyDescent="0.35">
      <c r="A3157" s="2" t="s">
        <v>3193</v>
      </c>
      <c r="B3157" s="4">
        <v>2</v>
      </c>
      <c r="C3157" t="s">
        <v>11</v>
      </c>
      <c r="D3157" t="s">
        <v>49</v>
      </c>
      <c r="E3157" t="s">
        <v>13</v>
      </c>
      <c r="F3157" t="s">
        <v>14</v>
      </c>
      <c r="G3157" s="4">
        <v>4</v>
      </c>
      <c r="H3157" s="1">
        <v>48474</v>
      </c>
      <c r="I3157" s="3" t="s">
        <v>21</v>
      </c>
      <c r="J3157" s="4">
        <v>5</v>
      </c>
    </row>
    <row r="3158" spans="1:10" x14ac:dyDescent="0.35">
      <c r="A3158" s="2" t="s">
        <v>3194</v>
      </c>
      <c r="B3158" s="4">
        <v>30</v>
      </c>
      <c r="C3158" t="s">
        <v>17</v>
      </c>
      <c r="D3158" t="s">
        <v>28</v>
      </c>
      <c r="E3158" t="s">
        <v>37</v>
      </c>
      <c r="F3158" t="s">
        <v>30</v>
      </c>
      <c r="G3158" s="4">
        <v>1</v>
      </c>
      <c r="H3158" s="1">
        <v>73653</v>
      </c>
      <c r="I3158" s="3" t="s">
        <v>15</v>
      </c>
      <c r="J3158" s="4">
        <v>5</v>
      </c>
    </row>
    <row r="3159" spans="1:10" x14ac:dyDescent="0.35">
      <c r="A3159" s="2" t="s">
        <v>3195</v>
      </c>
      <c r="B3159" s="4">
        <v>69</v>
      </c>
      <c r="C3159" t="s">
        <v>17</v>
      </c>
      <c r="D3159" t="s">
        <v>28</v>
      </c>
      <c r="E3159" t="s">
        <v>37</v>
      </c>
      <c r="F3159" t="s">
        <v>14</v>
      </c>
      <c r="G3159" s="4">
        <v>7</v>
      </c>
      <c r="H3159" s="1">
        <v>62520</v>
      </c>
      <c r="I3159" s="3" t="s">
        <v>15</v>
      </c>
      <c r="J3159" s="4">
        <v>4</v>
      </c>
    </row>
    <row r="3160" spans="1:10" x14ac:dyDescent="0.35">
      <c r="A3160" s="2" t="s">
        <v>3196</v>
      </c>
      <c r="B3160" s="4">
        <v>33</v>
      </c>
      <c r="C3160" t="s">
        <v>11</v>
      </c>
      <c r="D3160" t="s">
        <v>39</v>
      </c>
      <c r="E3160" t="s">
        <v>13</v>
      </c>
      <c r="F3160" t="s">
        <v>20</v>
      </c>
      <c r="G3160" s="4">
        <v>2</v>
      </c>
      <c r="H3160" s="1">
        <v>53510</v>
      </c>
      <c r="I3160" s="3" t="s">
        <v>15</v>
      </c>
      <c r="J3160" s="4">
        <v>1</v>
      </c>
    </row>
    <row r="3161" spans="1:10" x14ac:dyDescent="0.35">
      <c r="A3161" s="2" t="s">
        <v>3197</v>
      </c>
      <c r="B3161" s="4">
        <v>25</v>
      </c>
      <c r="C3161" t="s">
        <v>17</v>
      </c>
      <c r="D3161" t="s">
        <v>23</v>
      </c>
      <c r="E3161" t="s">
        <v>65</v>
      </c>
      <c r="F3161" t="s">
        <v>20</v>
      </c>
      <c r="G3161" s="4">
        <v>13</v>
      </c>
      <c r="H3161" s="1">
        <v>80568</v>
      </c>
      <c r="I3161" s="3" t="s">
        <v>21</v>
      </c>
      <c r="J3161" s="4">
        <v>2</v>
      </c>
    </row>
    <row r="3162" spans="1:10" x14ac:dyDescent="0.35">
      <c r="A3162" s="2" t="s">
        <v>3198</v>
      </c>
      <c r="B3162" s="4">
        <v>39</v>
      </c>
      <c r="C3162" t="s">
        <v>17</v>
      </c>
      <c r="D3162" t="s">
        <v>12</v>
      </c>
      <c r="E3162" t="s">
        <v>24</v>
      </c>
      <c r="F3162" t="s">
        <v>30</v>
      </c>
      <c r="G3162" s="4">
        <v>2</v>
      </c>
      <c r="H3162" s="1">
        <v>46404</v>
      </c>
      <c r="I3162" s="3" t="s">
        <v>15</v>
      </c>
      <c r="J3162" s="4">
        <v>2</v>
      </c>
    </row>
    <row r="3163" spans="1:10" x14ac:dyDescent="0.35">
      <c r="A3163" s="2" t="s">
        <v>3199</v>
      </c>
      <c r="B3163" s="4">
        <v>41</v>
      </c>
      <c r="C3163" t="s">
        <v>11</v>
      </c>
      <c r="D3163" t="s">
        <v>12</v>
      </c>
      <c r="E3163" t="s">
        <v>13</v>
      </c>
      <c r="F3163" t="s">
        <v>30</v>
      </c>
      <c r="G3163" s="4">
        <v>4</v>
      </c>
      <c r="H3163" s="1">
        <v>45255</v>
      </c>
      <c r="I3163" s="3" t="s">
        <v>21</v>
      </c>
      <c r="J3163" s="4">
        <v>2</v>
      </c>
    </row>
    <row r="3164" spans="1:10" x14ac:dyDescent="0.35">
      <c r="A3164" s="2" t="s">
        <v>3200</v>
      </c>
      <c r="B3164" s="4">
        <v>52</v>
      </c>
      <c r="C3164" t="s">
        <v>11</v>
      </c>
      <c r="D3164" t="s">
        <v>23</v>
      </c>
      <c r="E3164" t="s">
        <v>29</v>
      </c>
      <c r="F3164" t="s">
        <v>14</v>
      </c>
      <c r="G3164" s="4">
        <v>10</v>
      </c>
      <c r="H3164" s="1">
        <v>20406</v>
      </c>
      <c r="I3164" s="3" t="s">
        <v>15</v>
      </c>
      <c r="J3164" s="4">
        <v>4</v>
      </c>
    </row>
    <row r="3165" spans="1:10" x14ac:dyDescent="0.35">
      <c r="A3165" s="2" t="s">
        <v>3201</v>
      </c>
      <c r="B3165" s="4">
        <v>29</v>
      </c>
      <c r="C3165" t="s">
        <v>11</v>
      </c>
      <c r="D3165" t="s">
        <v>23</v>
      </c>
      <c r="E3165" t="s">
        <v>34</v>
      </c>
      <c r="F3165" t="s">
        <v>20</v>
      </c>
      <c r="G3165" s="4">
        <v>3</v>
      </c>
      <c r="H3165" s="1">
        <v>68328</v>
      </c>
      <c r="I3165" s="3" t="s">
        <v>15</v>
      </c>
      <c r="J3165" s="4">
        <v>3</v>
      </c>
    </row>
    <row r="3166" spans="1:10" x14ac:dyDescent="0.35">
      <c r="A3166" s="2" t="s">
        <v>3202</v>
      </c>
      <c r="B3166" s="4">
        <v>10</v>
      </c>
      <c r="C3166" t="s">
        <v>11</v>
      </c>
      <c r="D3166" t="s">
        <v>28</v>
      </c>
      <c r="E3166" t="s">
        <v>13</v>
      </c>
      <c r="F3166" t="s">
        <v>20</v>
      </c>
      <c r="G3166" s="4">
        <v>14</v>
      </c>
      <c r="H3166" s="1">
        <v>11168</v>
      </c>
      <c r="I3166" s="3" t="s">
        <v>21</v>
      </c>
      <c r="J3166" s="4">
        <v>1</v>
      </c>
    </row>
    <row r="3167" spans="1:10" x14ac:dyDescent="0.35">
      <c r="A3167" s="2" t="s">
        <v>3203</v>
      </c>
      <c r="B3167" s="4">
        <v>84</v>
      </c>
      <c r="C3167" t="s">
        <v>17</v>
      </c>
      <c r="D3167" t="s">
        <v>23</v>
      </c>
      <c r="E3167" t="s">
        <v>24</v>
      </c>
      <c r="F3167" t="s">
        <v>14</v>
      </c>
      <c r="G3167" s="4">
        <v>5</v>
      </c>
      <c r="H3167" s="1">
        <v>24600</v>
      </c>
      <c r="I3167" s="3" t="s">
        <v>15</v>
      </c>
      <c r="J3167" s="4">
        <v>3</v>
      </c>
    </row>
    <row r="3168" spans="1:10" x14ac:dyDescent="0.35">
      <c r="A3168" s="2" t="s">
        <v>3204</v>
      </c>
      <c r="B3168" s="4">
        <v>63</v>
      </c>
      <c r="C3168" t="s">
        <v>17</v>
      </c>
      <c r="D3168" t="s">
        <v>23</v>
      </c>
      <c r="E3168" t="s">
        <v>27</v>
      </c>
      <c r="F3168" t="s">
        <v>30</v>
      </c>
      <c r="G3168" s="4">
        <v>3</v>
      </c>
      <c r="H3168" s="1">
        <v>84999</v>
      </c>
      <c r="I3168" s="3" t="s">
        <v>15</v>
      </c>
      <c r="J3168" s="4">
        <v>4</v>
      </c>
    </row>
    <row r="3169" spans="1:10" x14ac:dyDescent="0.35">
      <c r="A3169" s="2" t="s">
        <v>3205</v>
      </c>
      <c r="B3169" s="4">
        <v>71</v>
      </c>
      <c r="C3169" t="s">
        <v>17</v>
      </c>
      <c r="D3169" t="s">
        <v>26</v>
      </c>
      <c r="E3169" t="s">
        <v>24</v>
      </c>
      <c r="F3169" t="s">
        <v>30</v>
      </c>
      <c r="G3169" s="4">
        <v>12</v>
      </c>
      <c r="H3169" s="1">
        <v>19185</v>
      </c>
      <c r="I3169" s="3" t="s">
        <v>15</v>
      </c>
      <c r="J3169" s="4">
        <v>1</v>
      </c>
    </row>
    <row r="3170" spans="1:10" x14ac:dyDescent="0.35">
      <c r="A3170" s="2" t="s">
        <v>3206</v>
      </c>
      <c r="B3170" s="4">
        <v>68</v>
      </c>
      <c r="C3170" t="s">
        <v>11</v>
      </c>
      <c r="D3170" t="s">
        <v>23</v>
      </c>
      <c r="E3170" t="s">
        <v>42</v>
      </c>
      <c r="F3170" t="s">
        <v>14</v>
      </c>
      <c r="G3170" s="4">
        <v>7</v>
      </c>
      <c r="H3170" s="1">
        <v>26407</v>
      </c>
      <c r="I3170" s="3" t="s">
        <v>21</v>
      </c>
      <c r="J3170" s="4">
        <v>4</v>
      </c>
    </row>
    <row r="3171" spans="1:10" x14ac:dyDescent="0.35">
      <c r="A3171" s="2" t="s">
        <v>3207</v>
      </c>
      <c r="B3171" s="4">
        <v>81</v>
      </c>
      <c r="C3171" t="s">
        <v>11</v>
      </c>
      <c r="D3171" t="s">
        <v>33</v>
      </c>
      <c r="E3171" t="s">
        <v>42</v>
      </c>
      <c r="F3171" t="s">
        <v>20</v>
      </c>
      <c r="G3171" s="4">
        <v>3</v>
      </c>
      <c r="H3171" s="1">
        <v>70521</v>
      </c>
      <c r="I3171" s="3" t="s">
        <v>15</v>
      </c>
      <c r="J3171" s="4">
        <v>1</v>
      </c>
    </row>
    <row r="3172" spans="1:10" x14ac:dyDescent="0.35">
      <c r="A3172" s="2" t="s">
        <v>3208</v>
      </c>
      <c r="B3172" s="4">
        <v>47</v>
      </c>
      <c r="C3172" t="s">
        <v>11</v>
      </c>
      <c r="D3172" t="s">
        <v>26</v>
      </c>
      <c r="E3172" t="s">
        <v>37</v>
      </c>
      <c r="F3172" t="s">
        <v>14</v>
      </c>
      <c r="G3172" s="4">
        <v>1</v>
      </c>
      <c r="H3172" s="1">
        <v>5421</v>
      </c>
      <c r="I3172" s="3" t="s">
        <v>15</v>
      </c>
      <c r="J3172" s="4">
        <v>1</v>
      </c>
    </row>
    <row r="3173" spans="1:10" x14ac:dyDescent="0.35">
      <c r="A3173" s="2" t="s">
        <v>3209</v>
      </c>
      <c r="B3173" s="4">
        <v>14</v>
      </c>
      <c r="C3173" t="s">
        <v>17</v>
      </c>
      <c r="D3173" t="s">
        <v>36</v>
      </c>
      <c r="E3173" t="s">
        <v>53</v>
      </c>
      <c r="F3173" t="s">
        <v>30</v>
      </c>
      <c r="G3173" s="4">
        <v>4</v>
      </c>
      <c r="H3173" s="1">
        <v>15738</v>
      </c>
      <c r="I3173" s="3" t="s">
        <v>21</v>
      </c>
      <c r="J3173" s="4">
        <v>1</v>
      </c>
    </row>
    <row r="3174" spans="1:10" x14ac:dyDescent="0.35">
      <c r="A3174" s="2" t="s">
        <v>3210</v>
      </c>
      <c r="B3174" s="4">
        <v>42</v>
      </c>
      <c r="C3174" t="s">
        <v>11</v>
      </c>
      <c r="D3174" t="s">
        <v>33</v>
      </c>
      <c r="E3174" t="s">
        <v>27</v>
      </c>
      <c r="F3174" t="s">
        <v>20</v>
      </c>
      <c r="G3174" s="4">
        <v>12</v>
      </c>
      <c r="H3174" s="1">
        <v>58849</v>
      </c>
      <c r="I3174" s="3" t="s">
        <v>21</v>
      </c>
      <c r="J3174" s="4">
        <v>5</v>
      </c>
    </row>
    <row r="3175" spans="1:10" x14ac:dyDescent="0.35">
      <c r="A3175" s="2" t="s">
        <v>3211</v>
      </c>
      <c r="B3175" s="4">
        <v>79</v>
      </c>
      <c r="C3175" t="s">
        <v>17</v>
      </c>
      <c r="D3175" t="s">
        <v>18</v>
      </c>
      <c r="E3175" t="s">
        <v>13</v>
      </c>
      <c r="F3175" t="s">
        <v>14</v>
      </c>
      <c r="G3175" s="4">
        <v>11</v>
      </c>
      <c r="H3175" s="1">
        <v>99505</v>
      </c>
      <c r="I3175" s="3" t="s">
        <v>21</v>
      </c>
      <c r="J3175" s="4">
        <v>1</v>
      </c>
    </row>
    <row r="3176" spans="1:10" x14ac:dyDescent="0.35">
      <c r="A3176" s="2" t="s">
        <v>3212</v>
      </c>
      <c r="B3176" s="4">
        <v>45</v>
      </c>
      <c r="C3176" t="s">
        <v>17</v>
      </c>
      <c r="D3176" t="s">
        <v>12</v>
      </c>
      <c r="E3176" t="s">
        <v>27</v>
      </c>
      <c r="F3176" t="s">
        <v>14</v>
      </c>
      <c r="G3176" s="4">
        <v>13</v>
      </c>
      <c r="H3176" s="1">
        <v>41329</v>
      </c>
      <c r="I3176" s="3" t="s">
        <v>21</v>
      </c>
      <c r="J3176" s="4">
        <v>4</v>
      </c>
    </row>
    <row r="3177" spans="1:10" x14ac:dyDescent="0.35">
      <c r="A3177" s="2" t="s">
        <v>3213</v>
      </c>
      <c r="B3177" s="4">
        <v>7</v>
      </c>
      <c r="C3177" t="s">
        <v>11</v>
      </c>
      <c r="D3177" t="s">
        <v>36</v>
      </c>
      <c r="E3177" t="s">
        <v>27</v>
      </c>
      <c r="F3177" t="s">
        <v>20</v>
      </c>
      <c r="G3177" s="4">
        <v>12</v>
      </c>
      <c r="H3177" s="1">
        <v>12335</v>
      </c>
      <c r="I3177" s="3" t="s">
        <v>21</v>
      </c>
      <c r="J3177" s="4">
        <v>3</v>
      </c>
    </row>
    <row r="3178" spans="1:10" x14ac:dyDescent="0.35">
      <c r="A3178" s="2" t="s">
        <v>3214</v>
      </c>
      <c r="B3178" s="4">
        <v>80</v>
      </c>
      <c r="C3178" t="s">
        <v>11</v>
      </c>
      <c r="D3178" t="s">
        <v>49</v>
      </c>
      <c r="E3178" t="s">
        <v>42</v>
      </c>
      <c r="F3178" t="s">
        <v>30</v>
      </c>
      <c r="G3178" s="4">
        <v>7</v>
      </c>
      <c r="H3178" s="1">
        <v>51340</v>
      </c>
      <c r="I3178" s="3" t="s">
        <v>15</v>
      </c>
      <c r="J3178" s="4">
        <v>3</v>
      </c>
    </row>
    <row r="3179" spans="1:10" x14ac:dyDescent="0.35">
      <c r="A3179" s="2" t="s">
        <v>3215</v>
      </c>
      <c r="B3179" s="4">
        <v>21</v>
      </c>
      <c r="C3179" t="s">
        <v>17</v>
      </c>
      <c r="D3179" t="s">
        <v>26</v>
      </c>
      <c r="E3179" t="s">
        <v>19</v>
      </c>
      <c r="F3179" t="s">
        <v>14</v>
      </c>
      <c r="G3179" s="4">
        <v>6</v>
      </c>
      <c r="H3179" s="1">
        <v>59230</v>
      </c>
      <c r="I3179" s="3" t="s">
        <v>15</v>
      </c>
      <c r="J3179" s="4">
        <v>2</v>
      </c>
    </row>
    <row r="3180" spans="1:10" x14ac:dyDescent="0.35">
      <c r="A3180" s="2" t="s">
        <v>3216</v>
      </c>
      <c r="B3180" s="4">
        <v>80</v>
      </c>
      <c r="C3180" t="s">
        <v>17</v>
      </c>
      <c r="D3180" t="s">
        <v>28</v>
      </c>
      <c r="E3180" t="s">
        <v>13</v>
      </c>
      <c r="F3180" t="s">
        <v>20</v>
      </c>
      <c r="G3180" s="4">
        <v>10</v>
      </c>
      <c r="H3180" s="1">
        <v>33996</v>
      </c>
      <c r="I3180" s="3" t="s">
        <v>21</v>
      </c>
      <c r="J3180" s="4">
        <v>3</v>
      </c>
    </row>
    <row r="3181" spans="1:10" x14ac:dyDescent="0.35">
      <c r="A3181" s="2" t="s">
        <v>3217</v>
      </c>
      <c r="B3181" s="4">
        <v>44</v>
      </c>
      <c r="C3181" t="s">
        <v>11</v>
      </c>
      <c r="D3181" t="s">
        <v>18</v>
      </c>
      <c r="E3181" t="s">
        <v>42</v>
      </c>
      <c r="F3181" t="s">
        <v>14</v>
      </c>
      <c r="G3181" s="4">
        <v>15</v>
      </c>
      <c r="H3181" s="1">
        <v>54597</v>
      </c>
      <c r="I3181" s="3" t="s">
        <v>15</v>
      </c>
      <c r="J3181" s="4">
        <v>4</v>
      </c>
    </row>
    <row r="3182" spans="1:10" x14ac:dyDescent="0.35">
      <c r="A3182" s="2" t="s">
        <v>3218</v>
      </c>
      <c r="B3182" s="4">
        <v>82</v>
      </c>
      <c r="C3182" t="s">
        <v>11</v>
      </c>
      <c r="D3182" t="s">
        <v>26</v>
      </c>
      <c r="E3182" t="s">
        <v>29</v>
      </c>
      <c r="F3182" t="s">
        <v>14</v>
      </c>
      <c r="G3182" s="4">
        <v>6</v>
      </c>
      <c r="H3182" s="1">
        <v>87353</v>
      </c>
      <c r="I3182" s="3" t="s">
        <v>21</v>
      </c>
      <c r="J3182" s="4">
        <v>1</v>
      </c>
    </row>
    <row r="3183" spans="1:10" x14ac:dyDescent="0.35">
      <c r="A3183" s="2" t="s">
        <v>3219</v>
      </c>
      <c r="B3183" s="4">
        <v>14</v>
      </c>
      <c r="C3183" t="s">
        <v>17</v>
      </c>
      <c r="D3183" t="s">
        <v>23</v>
      </c>
      <c r="E3183" t="s">
        <v>24</v>
      </c>
      <c r="F3183" t="s">
        <v>14</v>
      </c>
      <c r="G3183" s="4">
        <v>7</v>
      </c>
      <c r="H3183" s="1">
        <v>39962</v>
      </c>
      <c r="I3183" s="3" t="s">
        <v>15</v>
      </c>
      <c r="J3183" s="4">
        <v>4</v>
      </c>
    </row>
    <row r="3184" spans="1:10" x14ac:dyDescent="0.35">
      <c r="A3184" s="2" t="s">
        <v>3220</v>
      </c>
      <c r="B3184" s="4">
        <v>82</v>
      </c>
      <c r="C3184" t="s">
        <v>11</v>
      </c>
      <c r="D3184" t="s">
        <v>49</v>
      </c>
      <c r="E3184" t="s">
        <v>19</v>
      </c>
      <c r="F3184" t="s">
        <v>20</v>
      </c>
      <c r="G3184" s="4">
        <v>14</v>
      </c>
      <c r="H3184" s="1">
        <v>71879</v>
      </c>
      <c r="I3184" s="3" t="s">
        <v>15</v>
      </c>
      <c r="J3184" s="4">
        <v>5</v>
      </c>
    </row>
    <row r="3185" spans="1:10" x14ac:dyDescent="0.35">
      <c r="A3185" s="2" t="s">
        <v>3221</v>
      </c>
      <c r="B3185" s="4">
        <v>42</v>
      </c>
      <c r="C3185" t="s">
        <v>17</v>
      </c>
      <c r="D3185" t="s">
        <v>49</v>
      </c>
      <c r="E3185" t="s">
        <v>53</v>
      </c>
      <c r="F3185" t="s">
        <v>14</v>
      </c>
      <c r="G3185" s="4">
        <v>13</v>
      </c>
      <c r="H3185" s="1">
        <v>78228</v>
      </c>
      <c r="I3185" s="3" t="s">
        <v>15</v>
      </c>
      <c r="J3185" s="4">
        <v>4</v>
      </c>
    </row>
    <row r="3186" spans="1:10" x14ac:dyDescent="0.35">
      <c r="A3186" s="2" t="s">
        <v>3222</v>
      </c>
      <c r="B3186" s="4">
        <v>51</v>
      </c>
      <c r="C3186" t="s">
        <v>11</v>
      </c>
      <c r="D3186" t="s">
        <v>26</v>
      </c>
      <c r="E3186" t="s">
        <v>27</v>
      </c>
      <c r="F3186" t="s">
        <v>14</v>
      </c>
      <c r="G3186" s="4">
        <v>14</v>
      </c>
      <c r="H3186" s="1">
        <v>13182</v>
      </c>
      <c r="I3186" s="3" t="s">
        <v>21</v>
      </c>
      <c r="J3186" s="4">
        <v>4</v>
      </c>
    </row>
    <row r="3187" spans="1:10" x14ac:dyDescent="0.35">
      <c r="A3187" s="2" t="s">
        <v>3223</v>
      </c>
      <c r="B3187" s="4">
        <v>43</v>
      </c>
      <c r="C3187" t="s">
        <v>11</v>
      </c>
      <c r="D3187" t="s">
        <v>33</v>
      </c>
      <c r="E3187" t="s">
        <v>34</v>
      </c>
      <c r="F3187" t="s">
        <v>14</v>
      </c>
      <c r="G3187" s="4">
        <v>6</v>
      </c>
      <c r="H3187" s="1">
        <v>17489</v>
      </c>
      <c r="I3187" s="3" t="s">
        <v>21</v>
      </c>
      <c r="J3187" s="4">
        <v>5</v>
      </c>
    </row>
    <row r="3188" spans="1:10" x14ac:dyDescent="0.35">
      <c r="A3188" s="2" t="s">
        <v>3224</v>
      </c>
      <c r="B3188" s="4">
        <v>15</v>
      </c>
      <c r="C3188" t="s">
        <v>11</v>
      </c>
      <c r="D3188" t="s">
        <v>41</v>
      </c>
      <c r="E3188" t="s">
        <v>13</v>
      </c>
      <c r="F3188" t="s">
        <v>20</v>
      </c>
      <c r="G3188" s="4">
        <v>5</v>
      </c>
      <c r="H3188" s="1">
        <v>29489</v>
      </c>
      <c r="I3188" s="3" t="s">
        <v>21</v>
      </c>
      <c r="J3188" s="4">
        <v>4</v>
      </c>
    </row>
    <row r="3189" spans="1:10" x14ac:dyDescent="0.35">
      <c r="A3189" s="2" t="s">
        <v>3225</v>
      </c>
      <c r="B3189" s="4">
        <v>22</v>
      </c>
      <c r="C3189" t="s">
        <v>11</v>
      </c>
      <c r="D3189" t="s">
        <v>39</v>
      </c>
      <c r="E3189" t="s">
        <v>29</v>
      </c>
      <c r="F3189" t="s">
        <v>30</v>
      </c>
      <c r="G3189" s="4">
        <v>1</v>
      </c>
      <c r="H3189" s="1">
        <v>81967</v>
      </c>
      <c r="I3189" s="3" t="s">
        <v>15</v>
      </c>
      <c r="J3189" s="4">
        <v>4</v>
      </c>
    </row>
    <row r="3190" spans="1:10" x14ac:dyDescent="0.35">
      <c r="A3190" s="2" t="s">
        <v>3226</v>
      </c>
      <c r="B3190" s="4">
        <v>61</v>
      </c>
      <c r="C3190" t="s">
        <v>11</v>
      </c>
      <c r="D3190" t="s">
        <v>12</v>
      </c>
      <c r="E3190" t="s">
        <v>19</v>
      </c>
      <c r="F3190" t="s">
        <v>30</v>
      </c>
      <c r="G3190" s="4">
        <v>2</v>
      </c>
      <c r="H3190" s="1">
        <v>66149</v>
      </c>
      <c r="I3190" s="3" t="s">
        <v>15</v>
      </c>
      <c r="J3190" s="4">
        <v>1</v>
      </c>
    </row>
    <row r="3191" spans="1:10" x14ac:dyDescent="0.35">
      <c r="A3191" s="2" t="s">
        <v>3227</v>
      </c>
      <c r="B3191" s="4">
        <v>90</v>
      </c>
      <c r="C3191" t="s">
        <v>17</v>
      </c>
      <c r="D3191" t="s">
        <v>33</v>
      </c>
      <c r="E3191" t="s">
        <v>29</v>
      </c>
      <c r="F3191" t="s">
        <v>14</v>
      </c>
      <c r="G3191" s="4">
        <v>4</v>
      </c>
      <c r="H3191" s="1">
        <v>13902</v>
      </c>
      <c r="I3191" s="3" t="s">
        <v>15</v>
      </c>
      <c r="J3191" s="4">
        <v>5</v>
      </c>
    </row>
    <row r="3192" spans="1:10" x14ac:dyDescent="0.35">
      <c r="A3192" s="2" t="s">
        <v>3228</v>
      </c>
      <c r="B3192" s="4">
        <v>26</v>
      </c>
      <c r="C3192" t="s">
        <v>17</v>
      </c>
      <c r="D3192" t="s">
        <v>18</v>
      </c>
      <c r="E3192" t="s">
        <v>53</v>
      </c>
      <c r="F3192" t="s">
        <v>14</v>
      </c>
      <c r="G3192" s="4">
        <v>4</v>
      </c>
      <c r="H3192" s="1">
        <v>55566</v>
      </c>
      <c r="I3192" s="3" t="s">
        <v>15</v>
      </c>
      <c r="J3192" s="4">
        <v>2</v>
      </c>
    </row>
    <row r="3193" spans="1:10" x14ac:dyDescent="0.35">
      <c r="A3193" s="2" t="s">
        <v>3229</v>
      </c>
      <c r="B3193" s="4">
        <v>71</v>
      </c>
      <c r="C3193" t="s">
        <v>11</v>
      </c>
      <c r="D3193" t="s">
        <v>12</v>
      </c>
      <c r="E3193" t="s">
        <v>53</v>
      </c>
      <c r="F3193" t="s">
        <v>30</v>
      </c>
      <c r="G3193" s="4">
        <v>8</v>
      </c>
      <c r="H3193" s="1">
        <v>58880</v>
      </c>
      <c r="I3193" s="3" t="s">
        <v>15</v>
      </c>
      <c r="J3193" s="4">
        <v>4</v>
      </c>
    </row>
    <row r="3194" spans="1:10" x14ac:dyDescent="0.35">
      <c r="A3194" s="2" t="s">
        <v>3230</v>
      </c>
      <c r="B3194" s="4">
        <v>15</v>
      </c>
      <c r="C3194" t="s">
        <v>17</v>
      </c>
      <c r="D3194" t="s">
        <v>18</v>
      </c>
      <c r="E3194" t="s">
        <v>29</v>
      </c>
      <c r="F3194" t="s">
        <v>20</v>
      </c>
      <c r="G3194" s="4">
        <v>10</v>
      </c>
      <c r="H3194" s="1">
        <v>44014</v>
      </c>
      <c r="I3194" s="3" t="s">
        <v>15</v>
      </c>
      <c r="J3194" s="4">
        <v>3</v>
      </c>
    </row>
    <row r="3195" spans="1:10" x14ac:dyDescent="0.35">
      <c r="A3195" s="2" t="s">
        <v>3231</v>
      </c>
      <c r="B3195" s="4">
        <v>12</v>
      </c>
      <c r="C3195" t="s">
        <v>17</v>
      </c>
      <c r="D3195" t="s">
        <v>41</v>
      </c>
      <c r="E3195" t="s">
        <v>34</v>
      </c>
      <c r="F3195" t="s">
        <v>30</v>
      </c>
      <c r="G3195" s="4">
        <v>13</v>
      </c>
      <c r="H3195" s="1">
        <v>99186</v>
      </c>
      <c r="I3195" s="3" t="s">
        <v>21</v>
      </c>
      <c r="J3195" s="4">
        <v>2</v>
      </c>
    </row>
    <row r="3196" spans="1:10" x14ac:dyDescent="0.35">
      <c r="A3196" s="2" t="s">
        <v>3232</v>
      </c>
      <c r="B3196" s="4">
        <v>61</v>
      </c>
      <c r="C3196" t="s">
        <v>17</v>
      </c>
      <c r="D3196" t="s">
        <v>41</v>
      </c>
      <c r="E3196" t="s">
        <v>19</v>
      </c>
      <c r="F3196" t="s">
        <v>20</v>
      </c>
      <c r="G3196" s="4">
        <v>6</v>
      </c>
      <c r="H3196" s="1">
        <v>78318</v>
      </c>
      <c r="I3196" s="3" t="s">
        <v>21</v>
      </c>
      <c r="J3196" s="4">
        <v>5</v>
      </c>
    </row>
    <row r="3197" spans="1:10" x14ac:dyDescent="0.35">
      <c r="A3197" s="2" t="s">
        <v>3233</v>
      </c>
      <c r="B3197" s="4">
        <v>73</v>
      </c>
      <c r="C3197" t="s">
        <v>17</v>
      </c>
      <c r="D3197" t="s">
        <v>23</v>
      </c>
      <c r="E3197" t="s">
        <v>24</v>
      </c>
      <c r="F3197" t="s">
        <v>14</v>
      </c>
      <c r="G3197" s="4">
        <v>13</v>
      </c>
      <c r="H3197" s="1">
        <v>97692</v>
      </c>
      <c r="I3197" s="3" t="s">
        <v>21</v>
      </c>
      <c r="J3197" s="4">
        <v>4</v>
      </c>
    </row>
    <row r="3198" spans="1:10" x14ac:dyDescent="0.35">
      <c r="A3198" s="2" t="s">
        <v>3234</v>
      </c>
      <c r="B3198" s="4">
        <v>90</v>
      </c>
      <c r="C3198" t="s">
        <v>11</v>
      </c>
      <c r="D3198" t="s">
        <v>41</v>
      </c>
      <c r="E3198" t="s">
        <v>27</v>
      </c>
      <c r="F3198" t="s">
        <v>20</v>
      </c>
      <c r="G3198" s="4">
        <v>11</v>
      </c>
      <c r="H3198" s="1">
        <v>17191</v>
      </c>
      <c r="I3198" s="3" t="s">
        <v>21</v>
      </c>
      <c r="J3198" s="4">
        <v>4</v>
      </c>
    </row>
    <row r="3199" spans="1:10" x14ac:dyDescent="0.35">
      <c r="A3199" s="2" t="s">
        <v>3235</v>
      </c>
      <c r="B3199" s="4">
        <v>16</v>
      </c>
      <c r="C3199" t="s">
        <v>17</v>
      </c>
      <c r="D3199" t="s">
        <v>26</v>
      </c>
      <c r="E3199" t="s">
        <v>19</v>
      </c>
      <c r="F3199" t="s">
        <v>14</v>
      </c>
      <c r="G3199" s="4">
        <v>13</v>
      </c>
      <c r="H3199" s="1">
        <v>33689</v>
      </c>
      <c r="I3199" s="3" t="s">
        <v>15</v>
      </c>
      <c r="J3199" s="4">
        <v>5</v>
      </c>
    </row>
    <row r="3200" spans="1:10" x14ac:dyDescent="0.35">
      <c r="A3200" s="2" t="s">
        <v>3236</v>
      </c>
      <c r="B3200" s="4">
        <v>49</v>
      </c>
      <c r="C3200" t="s">
        <v>17</v>
      </c>
      <c r="D3200" t="s">
        <v>28</v>
      </c>
      <c r="E3200" t="s">
        <v>29</v>
      </c>
      <c r="F3200" t="s">
        <v>14</v>
      </c>
      <c r="G3200" s="4">
        <v>2</v>
      </c>
      <c r="H3200" s="1">
        <v>86182</v>
      </c>
      <c r="I3200" s="3" t="s">
        <v>21</v>
      </c>
      <c r="J3200" s="4">
        <v>4</v>
      </c>
    </row>
    <row r="3201" spans="1:10" x14ac:dyDescent="0.35">
      <c r="A3201" s="2" t="s">
        <v>3237</v>
      </c>
      <c r="B3201" s="4">
        <v>33</v>
      </c>
      <c r="C3201" t="s">
        <v>17</v>
      </c>
      <c r="D3201" t="s">
        <v>36</v>
      </c>
      <c r="E3201" t="s">
        <v>13</v>
      </c>
      <c r="F3201" t="s">
        <v>14</v>
      </c>
      <c r="G3201" s="4">
        <v>1</v>
      </c>
      <c r="H3201" s="1">
        <v>62530</v>
      </c>
      <c r="I3201" s="3" t="s">
        <v>21</v>
      </c>
      <c r="J3201" s="4">
        <v>1</v>
      </c>
    </row>
    <row r="3202" spans="1:10" x14ac:dyDescent="0.35">
      <c r="A3202" s="2" t="s">
        <v>3238</v>
      </c>
      <c r="B3202" s="4">
        <v>20</v>
      </c>
      <c r="C3202" t="s">
        <v>17</v>
      </c>
      <c r="D3202" t="s">
        <v>41</v>
      </c>
      <c r="E3202" t="s">
        <v>53</v>
      </c>
      <c r="F3202" t="s">
        <v>14</v>
      </c>
      <c r="G3202" s="4">
        <v>4</v>
      </c>
      <c r="H3202" s="1">
        <v>36854</v>
      </c>
      <c r="I3202" s="3" t="s">
        <v>21</v>
      </c>
      <c r="J3202" s="4">
        <v>2</v>
      </c>
    </row>
    <row r="3203" spans="1:10" x14ac:dyDescent="0.35">
      <c r="A3203" s="2" t="s">
        <v>3239</v>
      </c>
      <c r="B3203" s="4">
        <v>39</v>
      </c>
      <c r="C3203" t="s">
        <v>17</v>
      </c>
      <c r="D3203" t="s">
        <v>23</v>
      </c>
      <c r="E3203" t="s">
        <v>65</v>
      </c>
      <c r="F3203" t="s">
        <v>14</v>
      </c>
      <c r="G3203" s="4">
        <v>4</v>
      </c>
      <c r="H3203" s="1">
        <v>76093</v>
      </c>
      <c r="I3203" s="3" t="s">
        <v>15</v>
      </c>
      <c r="J3203" s="4">
        <v>3</v>
      </c>
    </row>
    <row r="3204" spans="1:10" x14ac:dyDescent="0.35">
      <c r="A3204" s="2" t="s">
        <v>3240</v>
      </c>
      <c r="B3204" s="4">
        <v>65</v>
      </c>
      <c r="C3204" t="s">
        <v>17</v>
      </c>
      <c r="D3204" t="s">
        <v>33</v>
      </c>
      <c r="E3204" t="s">
        <v>24</v>
      </c>
      <c r="F3204" t="s">
        <v>20</v>
      </c>
      <c r="G3204" s="4">
        <v>9</v>
      </c>
      <c r="H3204" s="1">
        <v>69105</v>
      </c>
      <c r="I3204" s="3" t="s">
        <v>21</v>
      </c>
      <c r="J3204" s="4">
        <v>5</v>
      </c>
    </row>
    <row r="3205" spans="1:10" x14ac:dyDescent="0.35">
      <c r="A3205" s="2" t="s">
        <v>3241</v>
      </c>
      <c r="B3205" s="4">
        <v>5</v>
      </c>
      <c r="C3205" t="s">
        <v>17</v>
      </c>
      <c r="D3205" t="s">
        <v>36</v>
      </c>
      <c r="E3205" t="s">
        <v>65</v>
      </c>
      <c r="F3205" t="s">
        <v>30</v>
      </c>
      <c r="G3205" s="4">
        <v>2</v>
      </c>
      <c r="H3205" s="1">
        <v>11023</v>
      </c>
      <c r="I3205" s="3" t="s">
        <v>21</v>
      </c>
      <c r="J3205" s="4">
        <v>3</v>
      </c>
    </row>
    <row r="3206" spans="1:10" x14ac:dyDescent="0.35">
      <c r="A3206" s="2" t="s">
        <v>3242</v>
      </c>
      <c r="B3206" s="4">
        <v>10</v>
      </c>
      <c r="C3206" t="s">
        <v>11</v>
      </c>
      <c r="D3206" t="s">
        <v>33</v>
      </c>
      <c r="E3206" t="s">
        <v>27</v>
      </c>
      <c r="F3206" t="s">
        <v>14</v>
      </c>
      <c r="G3206" s="4">
        <v>13</v>
      </c>
      <c r="H3206" s="1">
        <v>92864</v>
      </c>
      <c r="I3206" s="3" t="s">
        <v>21</v>
      </c>
      <c r="J3206" s="4">
        <v>3</v>
      </c>
    </row>
    <row r="3207" spans="1:10" x14ac:dyDescent="0.35">
      <c r="A3207" s="2" t="s">
        <v>3243</v>
      </c>
      <c r="B3207" s="4">
        <v>15</v>
      </c>
      <c r="C3207" t="s">
        <v>11</v>
      </c>
      <c r="D3207" t="s">
        <v>36</v>
      </c>
      <c r="E3207" t="s">
        <v>29</v>
      </c>
      <c r="F3207" t="s">
        <v>20</v>
      </c>
      <c r="G3207" s="4">
        <v>10</v>
      </c>
      <c r="H3207" s="1">
        <v>61430</v>
      </c>
      <c r="I3207" s="3" t="s">
        <v>21</v>
      </c>
      <c r="J3207" s="4">
        <v>4</v>
      </c>
    </row>
    <row r="3208" spans="1:10" x14ac:dyDescent="0.35">
      <c r="A3208" s="2" t="s">
        <v>3244</v>
      </c>
      <c r="B3208" s="4">
        <v>4</v>
      </c>
      <c r="C3208" t="s">
        <v>17</v>
      </c>
      <c r="D3208" t="s">
        <v>12</v>
      </c>
      <c r="E3208" t="s">
        <v>13</v>
      </c>
      <c r="F3208" t="s">
        <v>30</v>
      </c>
      <c r="G3208" s="4">
        <v>6</v>
      </c>
      <c r="H3208" s="1">
        <v>58669</v>
      </c>
      <c r="I3208" s="3" t="s">
        <v>15</v>
      </c>
      <c r="J3208" s="4">
        <v>3</v>
      </c>
    </row>
    <row r="3209" spans="1:10" x14ac:dyDescent="0.35">
      <c r="A3209" s="2" t="s">
        <v>3245</v>
      </c>
      <c r="B3209" s="4">
        <v>83</v>
      </c>
      <c r="C3209" t="s">
        <v>11</v>
      </c>
      <c r="D3209" t="s">
        <v>26</v>
      </c>
      <c r="E3209" t="s">
        <v>65</v>
      </c>
      <c r="F3209" t="s">
        <v>20</v>
      </c>
      <c r="G3209" s="4">
        <v>8</v>
      </c>
      <c r="H3209" s="1">
        <v>56060</v>
      </c>
      <c r="I3209" s="3" t="s">
        <v>15</v>
      </c>
      <c r="J3209" s="4">
        <v>2</v>
      </c>
    </row>
    <row r="3210" spans="1:10" x14ac:dyDescent="0.35">
      <c r="A3210" s="2" t="s">
        <v>3246</v>
      </c>
      <c r="B3210" s="4">
        <v>42</v>
      </c>
      <c r="C3210" t="s">
        <v>11</v>
      </c>
      <c r="D3210" t="s">
        <v>36</v>
      </c>
      <c r="E3210" t="s">
        <v>53</v>
      </c>
      <c r="F3210" t="s">
        <v>20</v>
      </c>
      <c r="G3210" s="4">
        <v>2</v>
      </c>
      <c r="H3210" s="1">
        <v>54257</v>
      </c>
      <c r="I3210" s="3" t="s">
        <v>21</v>
      </c>
      <c r="J3210" s="4">
        <v>2</v>
      </c>
    </row>
    <row r="3211" spans="1:10" x14ac:dyDescent="0.35">
      <c r="A3211" s="2" t="s">
        <v>3247</v>
      </c>
      <c r="B3211" s="4">
        <v>55</v>
      </c>
      <c r="C3211" t="s">
        <v>11</v>
      </c>
      <c r="D3211" t="s">
        <v>33</v>
      </c>
      <c r="E3211" t="s">
        <v>13</v>
      </c>
      <c r="F3211" t="s">
        <v>20</v>
      </c>
      <c r="G3211" s="4">
        <v>11</v>
      </c>
      <c r="H3211" s="1">
        <v>90163</v>
      </c>
      <c r="I3211" s="3" t="s">
        <v>21</v>
      </c>
      <c r="J3211" s="4">
        <v>2</v>
      </c>
    </row>
    <row r="3212" spans="1:10" x14ac:dyDescent="0.35">
      <c r="A3212" s="2" t="s">
        <v>3248</v>
      </c>
      <c r="B3212" s="4">
        <v>54</v>
      </c>
      <c r="C3212" t="s">
        <v>17</v>
      </c>
      <c r="D3212" t="s">
        <v>18</v>
      </c>
      <c r="E3212" t="s">
        <v>27</v>
      </c>
      <c r="F3212" t="s">
        <v>14</v>
      </c>
      <c r="G3212" s="4">
        <v>6</v>
      </c>
      <c r="H3212" s="1">
        <v>72605</v>
      </c>
      <c r="I3212" s="3" t="s">
        <v>15</v>
      </c>
      <c r="J3212" s="4">
        <v>2</v>
      </c>
    </row>
    <row r="3213" spans="1:10" x14ac:dyDescent="0.35">
      <c r="A3213" s="2" t="s">
        <v>3249</v>
      </c>
      <c r="B3213" s="4">
        <v>50</v>
      </c>
      <c r="C3213" t="s">
        <v>17</v>
      </c>
      <c r="D3213" t="s">
        <v>49</v>
      </c>
      <c r="E3213" t="s">
        <v>24</v>
      </c>
      <c r="F3213" t="s">
        <v>14</v>
      </c>
      <c r="G3213" s="4">
        <v>5</v>
      </c>
      <c r="H3213" s="1">
        <v>80190</v>
      </c>
      <c r="I3213" s="3" t="s">
        <v>15</v>
      </c>
      <c r="J3213" s="4">
        <v>3</v>
      </c>
    </row>
    <row r="3214" spans="1:10" x14ac:dyDescent="0.35">
      <c r="A3214" s="2" t="s">
        <v>3250</v>
      </c>
      <c r="B3214" s="4">
        <v>19</v>
      </c>
      <c r="C3214" t="s">
        <v>17</v>
      </c>
      <c r="D3214" t="s">
        <v>49</v>
      </c>
      <c r="E3214" t="s">
        <v>29</v>
      </c>
      <c r="F3214" t="s">
        <v>14</v>
      </c>
      <c r="G3214" s="4">
        <v>3</v>
      </c>
      <c r="H3214" s="1">
        <v>19761</v>
      </c>
      <c r="I3214" s="3" t="s">
        <v>15</v>
      </c>
      <c r="J3214" s="4">
        <v>1</v>
      </c>
    </row>
    <row r="3215" spans="1:10" x14ac:dyDescent="0.35">
      <c r="A3215" s="2" t="s">
        <v>3251</v>
      </c>
      <c r="B3215" s="4">
        <v>68</v>
      </c>
      <c r="C3215" t="s">
        <v>17</v>
      </c>
      <c r="D3215" t="s">
        <v>18</v>
      </c>
      <c r="E3215" t="s">
        <v>24</v>
      </c>
      <c r="F3215" t="s">
        <v>30</v>
      </c>
      <c r="G3215" s="4">
        <v>1</v>
      </c>
      <c r="H3215" s="1">
        <v>53772</v>
      </c>
      <c r="I3215" s="3" t="s">
        <v>21</v>
      </c>
      <c r="J3215" s="4">
        <v>1</v>
      </c>
    </row>
    <row r="3216" spans="1:10" x14ac:dyDescent="0.35">
      <c r="A3216" s="2" t="s">
        <v>3252</v>
      </c>
      <c r="B3216" s="4">
        <v>60</v>
      </c>
      <c r="C3216" t="s">
        <v>11</v>
      </c>
      <c r="D3216" t="s">
        <v>18</v>
      </c>
      <c r="E3216" t="s">
        <v>24</v>
      </c>
      <c r="F3216" t="s">
        <v>20</v>
      </c>
      <c r="G3216" s="4">
        <v>3</v>
      </c>
      <c r="H3216" s="1">
        <v>35863</v>
      </c>
      <c r="I3216" s="3" t="s">
        <v>21</v>
      </c>
      <c r="J3216" s="4">
        <v>3</v>
      </c>
    </row>
    <row r="3217" spans="1:10" x14ac:dyDescent="0.35">
      <c r="A3217" s="2" t="s">
        <v>3253</v>
      </c>
      <c r="B3217" s="4">
        <v>22</v>
      </c>
      <c r="C3217" t="s">
        <v>11</v>
      </c>
      <c r="D3217" t="s">
        <v>41</v>
      </c>
      <c r="E3217" t="s">
        <v>65</v>
      </c>
      <c r="F3217" t="s">
        <v>20</v>
      </c>
      <c r="G3217" s="4">
        <v>3</v>
      </c>
      <c r="H3217" s="1">
        <v>52016</v>
      </c>
      <c r="I3217" s="3" t="s">
        <v>21</v>
      </c>
      <c r="J3217" s="4">
        <v>4</v>
      </c>
    </row>
    <row r="3218" spans="1:10" x14ac:dyDescent="0.35">
      <c r="A3218" s="2" t="s">
        <v>3254</v>
      </c>
      <c r="B3218" s="4">
        <v>60</v>
      </c>
      <c r="C3218" t="s">
        <v>11</v>
      </c>
      <c r="D3218" t="s">
        <v>33</v>
      </c>
      <c r="E3218" t="s">
        <v>37</v>
      </c>
      <c r="F3218" t="s">
        <v>20</v>
      </c>
      <c r="G3218" s="4">
        <v>4</v>
      </c>
      <c r="H3218" s="1">
        <v>47936</v>
      </c>
      <c r="I3218" s="3" t="s">
        <v>15</v>
      </c>
      <c r="J3218" s="4">
        <v>1</v>
      </c>
    </row>
    <row r="3219" spans="1:10" x14ac:dyDescent="0.35">
      <c r="A3219" s="2" t="s">
        <v>3255</v>
      </c>
      <c r="B3219" s="4">
        <v>70</v>
      </c>
      <c r="C3219" t="s">
        <v>17</v>
      </c>
      <c r="D3219" t="s">
        <v>41</v>
      </c>
      <c r="E3219" t="s">
        <v>37</v>
      </c>
      <c r="F3219" t="s">
        <v>20</v>
      </c>
      <c r="G3219" s="4">
        <v>10</v>
      </c>
      <c r="H3219" s="1">
        <v>91306</v>
      </c>
      <c r="I3219" s="3" t="s">
        <v>15</v>
      </c>
      <c r="J3219" s="4">
        <v>1</v>
      </c>
    </row>
    <row r="3220" spans="1:10" x14ac:dyDescent="0.35">
      <c r="A3220" s="2" t="s">
        <v>3256</v>
      </c>
      <c r="B3220" s="4">
        <v>23</v>
      </c>
      <c r="C3220" t="s">
        <v>17</v>
      </c>
      <c r="D3220" t="s">
        <v>12</v>
      </c>
      <c r="E3220" t="s">
        <v>29</v>
      </c>
      <c r="F3220" t="s">
        <v>14</v>
      </c>
      <c r="G3220" s="4">
        <v>13</v>
      </c>
      <c r="H3220" s="1">
        <v>94967</v>
      </c>
      <c r="I3220" s="3" t="s">
        <v>15</v>
      </c>
      <c r="J3220" s="4">
        <v>3</v>
      </c>
    </row>
    <row r="3221" spans="1:10" x14ac:dyDescent="0.35">
      <c r="A3221" s="2" t="s">
        <v>3257</v>
      </c>
      <c r="B3221" s="4">
        <v>66</v>
      </c>
      <c r="C3221" t="s">
        <v>11</v>
      </c>
      <c r="D3221" t="s">
        <v>39</v>
      </c>
      <c r="E3221" t="s">
        <v>29</v>
      </c>
      <c r="F3221" t="s">
        <v>14</v>
      </c>
      <c r="G3221" s="4">
        <v>4</v>
      </c>
      <c r="H3221" s="1">
        <v>99426</v>
      </c>
      <c r="I3221" s="3" t="s">
        <v>21</v>
      </c>
      <c r="J3221" s="4">
        <v>5</v>
      </c>
    </row>
    <row r="3222" spans="1:10" x14ac:dyDescent="0.35">
      <c r="A3222" s="2" t="s">
        <v>3258</v>
      </c>
      <c r="B3222" s="4">
        <v>76</v>
      </c>
      <c r="C3222" t="s">
        <v>11</v>
      </c>
      <c r="D3222" t="s">
        <v>49</v>
      </c>
      <c r="E3222" t="s">
        <v>53</v>
      </c>
      <c r="F3222" t="s">
        <v>14</v>
      </c>
      <c r="G3222" s="4">
        <v>14</v>
      </c>
      <c r="H3222" s="1">
        <v>97089</v>
      </c>
      <c r="I3222" s="3" t="s">
        <v>15</v>
      </c>
      <c r="J3222" s="4">
        <v>2</v>
      </c>
    </row>
    <row r="3223" spans="1:10" x14ac:dyDescent="0.35">
      <c r="A3223" s="2" t="s">
        <v>3259</v>
      </c>
      <c r="B3223" s="4">
        <v>82</v>
      </c>
      <c r="C3223" t="s">
        <v>11</v>
      </c>
      <c r="D3223" t="s">
        <v>41</v>
      </c>
      <c r="E3223" t="s">
        <v>37</v>
      </c>
      <c r="F3223" t="s">
        <v>20</v>
      </c>
      <c r="G3223" s="4">
        <v>14</v>
      </c>
      <c r="H3223" s="1">
        <v>78749</v>
      </c>
      <c r="I3223" s="3" t="s">
        <v>21</v>
      </c>
      <c r="J3223" s="4">
        <v>1</v>
      </c>
    </row>
    <row r="3224" spans="1:10" x14ac:dyDescent="0.35">
      <c r="A3224" s="2" t="s">
        <v>3260</v>
      </c>
      <c r="B3224" s="4">
        <v>14</v>
      </c>
      <c r="C3224" t="s">
        <v>11</v>
      </c>
      <c r="D3224" t="s">
        <v>12</v>
      </c>
      <c r="E3224" t="s">
        <v>19</v>
      </c>
      <c r="F3224" t="s">
        <v>14</v>
      </c>
      <c r="G3224" s="4">
        <v>15</v>
      </c>
      <c r="H3224" s="1">
        <v>65197</v>
      </c>
      <c r="I3224" s="3" t="s">
        <v>15</v>
      </c>
      <c r="J3224" s="4">
        <v>5</v>
      </c>
    </row>
    <row r="3225" spans="1:10" x14ac:dyDescent="0.35">
      <c r="A3225" s="2" t="s">
        <v>3261</v>
      </c>
      <c r="B3225" s="4">
        <v>70</v>
      </c>
      <c r="C3225" t="s">
        <v>11</v>
      </c>
      <c r="D3225" t="s">
        <v>18</v>
      </c>
      <c r="E3225" t="s">
        <v>13</v>
      </c>
      <c r="F3225" t="s">
        <v>20</v>
      </c>
      <c r="G3225" s="4">
        <v>1</v>
      </c>
      <c r="H3225" s="1">
        <v>19194</v>
      </c>
      <c r="I3225" s="3" t="s">
        <v>15</v>
      </c>
      <c r="J3225" s="4">
        <v>1</v>
      </c>
    </row>
    <row r="3226" spans="1:10" x14ac:dyDescent="0.35">
      <c r="A3226" s="2" t="s">
        <v>3262</v>
      </c>
      <c r="B3226" s="4">
        <v>48</v>
      </c>
      <c r="C3226" t="s">
        <v>17</v>
      </c>
      <c r="D3226" t="s">
        <v>49</v>
      </c>
      <c r="E3226" t="s">
        <v>29</v>
      </c>
      <c r="F3226" t="s">
        <v>14</v>
      </c>
      <c r="G3226" s="4">
        <v>10</v>
      </c>
      <c r="H3226" s="1">
        <v>20771</v>
      </c>
      <c r="I3226" s="3" t="s">
        <v>15</v>
      </c>
      <c r="J3226" s="4">
        <v>2</v>
      </c>
    </row>
    <row r="3227" spans="1:10" x14ac:dyDescent="0.35">
      <c r="A3227" s="2" t="s">
        <v>3263</v>
      </c>
      <c r="B3227" s="4">
        <v>47</v>
      </c>
      <c r="C3227" t="s">
        <v>11</v>
      </c>
      <c r="D3227" t="s">
        <v>39</v>
      </c>
      <c r="E3227" t="s">
        <v>53</v>
      </c>
      <c r="F3227" t="s">
        <v>30</v>
      </c>
      <c r="G3227" s="4">
        <v>6</v>
      </c>
      <c r="H3227" s="1">
        <v>26533</v>
      </c>
      <c r="I3227" s="3" t="s">
        <v>21</v>
      </c>
      <c r="J3227" s="4">
        <v>1</v>
      </c>
    </row>
    <row r="3228" spans="1:10" x14ac:dyDescent="0.35">
      <c r="A3228" s="2" t="s">
        <v>3264</v>
      </c>
      <c r="B3228" s="4">
        <v>39</v>
      </c>
      <c r="C3228" t="s">
        <v>17</v>
      </c>
      <c r="D3228" t="s">
        <v>39</v>
      </c>
      <c r="E3228" t="s">
        <v>29</v>
      </c>
      <c r="F3228" t="s">
        <v>30</v>
      </c>
      <c r="G3228" s="4">
        <v>14</v>
      </c>
      <c r="H3228" s="1">
        <v>85630</v>
      </c>
      <c r="I3228" s="3" t="s">
        <v>15</v>
      </c>
      <c r="J3228" s="4">
        <v>3</v>
      </c>
    </row>
    <row r="3229" spans="1:10" x14ac:dyDescent="0.35">
      <c r="A3229" s="2" t="s">
        <v>3265</v>
      </c>
      <c r="B3229" s="4">
        <v>76</v>
      </c>
      <c r="C3229" t="s">
        <v>11</v>
      </c>
      <c r="D3229" t="s">
        <v>36</v>
      </c>
      <c r="E3229" t="s">
        <v>24</v>
      </c>
      <c r="F3229" t="s">
        <v>30</v>
      </c>
      <c r="G3229" s="4">
        <v>4</v>
      </c>
      <c r="H3229" s="1">
        <v>83080</v>
      </c>
      <c r="I3229" s="3" t="s">
        <v>15</v>
      </c>
      <c r="J3229" s="4">
        <v>3</v>
      </c>
    </row>
    <row r="3230" spans="1:10" x14ac:dyDescent="0.35">
      <c r="A3230" s="2" t="s">
        <v>3266</v>
      </c>
      <c r="B3230" s="4">
        <v>46</v>
      </c>
      <c r="C3230" t="s">
        <v>17</v>
      </c>
      <c r="D3230" t="s">
        <v>23</v>
      </c>
      <c r="E3230" t="s">
        <v>19</v>
      </c>
      <c r="F3230" t="s">
        <v>14</v>
      </c>
      <c r="G3230" s="4">
        <v>4</v>
      </c>
      <c r="H3230" s="1">
        <v>68329</v>
      </c>
      <c r="I3230" s="3" t="s">
        <v>15</v>
      </c>
      <c r="J3230" s="4">
        <v>2</v>
      </c>
    </row>
    <row r="3231" spans="1:10" x14ac:dyDescent="0.35">
      <c r="A3231" s="2" t="s">
        <v>3267</v>
      </c>
      <c r="B3231" s="4">
        <v>68</v>
      </c>
      <c r="C3231" t="s">
        <v>11</v>
      </c>
      <c r="D3231" t="s">
        <v>41</v>
      </c>
      <c r="E3231" t="s">
        <v>19</v>
      </c>
      <c r="F3231" t="s">
        <v>14</v>
      </c>
      <c r="G3231" s="4">
        <v>13</v>
      </c>
      <c r="H3231" s="1">
        <v>9624</v>
      </c>
      <c r="I3231" s="3" t="s">
        <v>21</v>
      </c>
      <c r="J3231" s="4">
        <v>2</v>
      </c>
    </row>
    <row r="3232" spans="1:10" x14ac:dyDescent="0.35">
      <c r="A3232" s="2" t="s">
        <v>3268</v>
      </c>
      <c r="B3232" s="4">
        <v>1</v>
      </c>
      <c r="C3232" t="s">
        <v>11</v>
      </c>
      <c r="D3232" t="s">
        <v>49</v>
      </c>
      <c r="E3232" t="s">
        <v>53</v>
      </c>
      <c r="F3232" t="s">
        <v>20</v>
      </c>
      <c r="G3232" s="4">
        <v>15</v>
      </c>
      <c r="H3232" s="1">
        <v>54823</v>
      </c>
      <c r="I3232" s="3" t="s">
        <v>21</v>
      </c>
      <c r="J3232" s="4">
        <v>1</v>
      </c>
    </row>
    <row r="3233" spans="1:10" x14ac:dyDescent="0.35">
      <c r="A3233" s="2" t="s">
        <v>3269</v>
      </c>
      <c r="B3233" s="4">
        <v>49</v>
      </c>
      <c r="C3233" t="s">
        <v>11</v>
      </c>
      <c r="D3233" t="s">
        <v>39</v>
      </c>
      <c r="E3233" t="s">
        <v>53</v>
      </c>
      <c r="F3233" t="s">
        <v>30</v>
      </c>
      <c r="G3233" s="4">
        <v>11</v>
      </c>
      <c r="H3233" s="1">
        <v>98838</v>
      </c>
      <c r="I3233" s="3" t="s">
        <v>15</v>
      </c>
      <c r="J3233" s="4">
        <v>1</v>
      </c>
    </row>
    <row r="3234" spans="1:10" x14ac:dyDescent="0.35">
      <c r="A3234" s="2" t="s">
        <v>3270</v>
      </c>
      <c r="B3234" s="4">
        <v>31</v>
      </c>
      <c r="C3234" t="s">
        <v>11</v>
      </c>
      <c r="D3234" t="s">
        <v>33</v>
      </c>
      <c r="E3234" t="s">
        <v>29</v>
      </c>
      <c r="F3234" t="s">
        <v>14</v>
      </c>
      <c r="G3234" s="4">
        <v>14</v>
      </c>
      <c r="H3234" s="1">
        <v>65207</v>
      </c>
      <c r="I3234" s="3" t="s">
        <v>21</v>
      </c>
      <c r="J3234" s="4">
        <v>5</v>
      </c>
    </row>
    <row r="3235" spans="1:10" x14ac:dyDescent="0.35">
      <c r="A3235" s="2" t="s">
        <v>3271</v>
      </c>
      <c r="B3235" s="4">
        <v>67</v>
      </c>
      <c r="C3235" t="s">
        <v>11</v>
      </c>
      <c r="D3235" t="s">
        <v>23</v>
      </c>
      <c r="E3235" t="s">
        <v>42</v>
      </c>
      <c r="F3235" t="s">
        <v>30</v>
      </c>
      <c r="G3235" s="4">
        <v>10</v>
      </c>
      <c r="H3235" s="1">
        <v>66472</v>
      </c>
      <c r="I3235" s="3" t="s">
        <v>21</v>
      </c>
      <c r="J3235" s="4">
        <v>2</v>
      </c>
    </row>
    <row r="3236" spans="1:10" x14ac:dyDescent="0.35">
      <c r="A3236" s="2" t="s">
        <v>3272</v>
      </c>
      <c r="B3236" s="4">
        <v>57</v>
      </c>
      <c r="C3236" t="s">
        <v>11</v>
      </c>
      <c r="D3236" t="s">
        <v>33</v>
      </c>
      <c r="E3236" t="s">
        <v>19</v>
      </c>
      <c r="F3236" t="s">
        <v>14</v>
      </c>
      <c r="G3236" s="4">
        <v>11</v>
      </c>
      <c r="H3236" s="1">
        <v>20443</v>
      </c>
      <c r="I3236" s="3" t="s">
        <v>21</v>
      </c>
      <c r="J3236" s="4">
        <v>3</v>
      </c>
    </row>
    <row r="3237" spans="1:10" x14ac:dyDescent="0.35">
      <c r="A3237" s="2" t="s">
        <v>3273</v>
      </c>
      <c r="B3237" s="4">
        <v>17</v>
      </c>
      <c r="C3237" t="s">
        <v>11</v>
      </c>
      <c r="D3237" t="s">
        <v>18</v>
      </c>
      <c r="E3237" t="s">
        <v>19</v>
      </c>
      <c r="F3237" t="s">
        <v>20</v>
      </c>
      <c r="G3237" s="4">
        <v>4</v>
      </c>
      <c r="H3237" s="1">
        <v>63171</v>
      </c>
      <c r="I3237" s="3" t="s">
        <v>15</v>
      </c>
      <c r="J3237" s="4">
        <v>4</v>
      </c>
    </row>
    <row r="3238" spans="1:10" x14ac:dyDescent="0.35">
      <c r="A3238" s="2" t="s">
        <v>3274</v>
      </c>
      <c r="B3238" s="4">
        <v>63</v>
      </c>
      <c r="C3238" t="s">
        <v>17</v>
      </c>
      <c r="D3238" t="s">
        <v>33</v>
      </c>
      <c r="E3238" t="s">
        <v>37</v>
      </c>
      <c r="F3238" t="s">
        <v>20</v>
      </c>
      <c r="G3238" s="4">
        <v>1</v>
      </c>
      <c r="H3238" s="1">
        <v>48296</v>
      </c>
      <c r="I3238" s="3" t="s">
        <v>21</v>
      </c>
      <c r="J3238" s="4">
        <v>1</v>
      </c>
    </row>
    <row r="3239" spans="1:10" x14ac:dyDescent="0.35">
      <c r="A3239" s="2" t="s">
        <v>3275</v>
      </c>
      <c r="B3239" s="4">
        <v>78</v>
      </c>
      <c r="C3239" t="s">
        <v>17</v>
      </c>
      <c r="D3239" t="s">
        <v>23</v>
      </c>
      <c r="E3239" t="s">
        <v>65</v>
      </c>
      <c r="F3239" t="s">
        <v>30</v>
      </c>
      <c r="G3239" s="4">
        <v>2</v>
      </c>
      <c r="H3239" s="1">
        <v>8761</v>
      </c>
      <c r="I3239" s="3" t="s">
        <v>21</v>
      </c>
      <c r="J3239" s="4">
        <v>3</v>
      </c>
    </row>
    <row r="3240" spans="1:10" x14ac:dyDescent="0.35">
      <c r="A3240" s="2" t="s">
        <v>3276</v>
      </c>
      <c r="B3240" s="4">
        <v>52</v>
      </c>
      <c r="C3240" t="s">
        <v>17</v>
      </c>
      <c r="D3240" t="s">
        <v>26</v>
      </c>
      <c r="E3240" t="s">
        <v>65</v>
      </c>
      <c r="F3240" t="s">
        <v>20</v>
      </c>
      <c r="G3240" s="4">
        <v>14</v>
      </c>
      <c r="H3240" s="1">
        <v>80141</v>
      </c>
      <c r="I3240" s="3" t="s">
        <v>21</v>
      </c>
      <c r="J3240" s="4">
        <v>3</v>
      </c>
    </row>
    <row r="3241" spans="1:10" x14ac:dyDescent="0.35">
      <c r="A3241" s="2" t="s">
        <v>3277</v>
      </c>
      <c r="B3241" s="4">
        <v>14</v>
      </c>
      <c r="C3241" t="s">
        <v>17</v>
      </c>
      <c r="D3241" t="s">
        <v>41</v>
      </c>
      <c r="E3241" t="s">
        <v>29</v>
      </c>
      <c r="F3241" t="s">
        <v>14</v>
      </c>
      <c r="G3241" s="4">
        <v>5</v>
      </c>
      <c r="H3241" s="1">
        <v>54692</v>
      </c>
      <c r="I3241" s="3" t="s">
        <v>15</v>
      </c>
      <c r="J3241" s="4">
        <v>2</v>
      </c>
    </row>
    <row r="3242" spans="1:10" x14ac:dyDescent="0.35">
      <c r="A3242" s="2" t="s">
        <v>3278</v>
      </c>
      <c r="B3242" s="4">
        <v>82</v>
      </c>
      <c r="C3242" t="s">
        <v>17</v>
      </c>
      <c r="D3242" t="s">
        <v>12</v>
      </c>
      <c r="E3242" t="s">
        <v>37</v>
      </c>
      <c r="F3242" t="s">
        <v>30</v>
      </c>
      <c r="G3242" s="4">
        <v>15</v>
      </c>
      <c r="H3242" s="1">
        <v>70807</v>
      </c>
      <c r="I3242" s="3" t="s">
        <v>15</v>
      </c>
      <c r="J3242" s="4">
        <v>3</v>
      </c>
    </row>
    <row r="3243" spans="1:10" x14ac:dyDescent="0.35">
      <c r="A3243" s="2" t="s">
        <v>3279</v>
      </c>
      <c r="B3243" s="4">
        <v>24</v>
      </c>
      <c r="C3243" t="s">
        <v>17</v>
      </c>
      <c r="D3243" t="s">
        <v>26</v>
      </c>
      <c r="E3243" t="s">
        <v>42</v>
      </c>
      <c r="F3243" t="s">
        <v>30</v>
      </c>
      <c r="G3243" s="4">
        <v>4</v>
      </c>
      <c r="H3243" s="1">
        <v>59795</v>
      </c>
      <c r="I3243" s="3" t="s">
        <v>15</v>
      </c>
      <c r="J3243" s="4">
        <v>2</v>
      </c>
    </row>
    <row r="3244" spans="1:10" x14ac:dyDescent="0.35">
      <c r="A3244" s="2" t="s">
        <v>3280</v>
      </c>
      <c r="B3244" s="4">
        <v>10</v>
      </c>
      <c r="C3244" t="s">
        <v>17</v>
      </c>
      <c r="D3244" t="s">
        <v>26</v>
      </c>
      <c r="E3244" t="s">
        <v>19</v>
      </c>
      <c r="F3244" t="s">
        <v>14</v>
      </c>
      <c r="G3244" s="4">
        <v>7</v>
      </c>
      <c r="H3244" s="1">
        <v>93269</v>
      </c>
      <c r="I3244" s="3" t="s">
        <v>21</v>
      </c>
      <c r="J3244" s="4">
        <v>1</v>
      </c>
    </row>
    <row r="3245" spans="1:10" x14ac:dyDescent="0.35">
      <c r="A3245" s="2" t="s">
        <v>3281</v>
      </c>
      <c r="B3245" s="4">
        <v>55</v>
      </c>
      <c r="C3245" t="s">
        <v>11</v>
      </c>
      <c r="D3245" t="s">
        <v>33</v>
      </c>
      <c r="E3245" t="s">
        <v>34</v>
      </c>
      <c r="F3245" t="s">
        <v>30</v>
      </c>
      <c r="G3245" s="4">
        <v>6</v>
      </c>
      <c r="H3245" s="1">
        <v>50237</v>
      </c>
      <c r="I3245" s="3" t="s">
        <v>21</v>
      </c>
      <c r="J3245" s="4">
        <v>1</v>
      </c>
    </row>
    <row r="3246" spans="1:10" x14ac:dyDescent="0.35">
      <c r="A3246" s="2" t="s">
        <v>3282</v>
      </c>
      <c r="B3246" s="4">
        <v>82</v>
      </c>
      <c r="C3246" t="s">
        <v>11</v>
      </c>
      <c r="D3246" t="s">
        <v>41</v>
      </c>
      <c r="E3246" t="s">
        <v>42</v>
      </c>
      <c r="F3246" t="s">
        <v>20</v>
      </c>
      <c r="G3246" s="4">
        <v>12</v>
      </c>
      <c r="H3246" s="1">
        <v>63336</v>
      </c>
      <c r="I3246" s="3" t="s">
        <v>15</v>
      </c>
      <c r="J3246" s="4">
        <v>4</v>
      </c>
    </row>
    <row r="3247" spans="1:10" x14ac:dyDescent="0.35">
      <c r="A3247" s="2" t="s">
        <v>3283</v>
      </c>
      <c r="B3247" s="4">
        <v>30</v>
      </c>
      <c r="C3247" t="s">
        <v>11</v>
      </c>
      <c r="D3247" t="s">
        <v>26</v>
      </c>
      <c r="E3247" t="s">
        <v>34</v>
      </c>
      <c r="F3247" t="s">
        <v>30</v>
      </c>
      <c r="G3247" s="4">
        <v>13</v>
      </c>
      <c r="H3247" s="1">
        <v>18422</v>
      </c>
      <c r="I3247" s="3" t="s">
        <v>21</v>
      </c>
      <c r="J3247" s="4">
        <v>5</v>
      </c>
    </row>
    <row r="3248" spans="1:10" x14ac:dyDescent="0.35">
      <c r="A3248" s="2" t="s">
        <v>3284</v>
      </c>
      <c r="B3248" s="4">
        <v>51</v>
      </c>
      <c r="C3248" t="s">
        <v>11</v>
      </c>
      <c r="D3248" t="s">
        <v>23</v>
      </c>
      <c r="E3248" t="s">
        <v>19</v>
      </c>
      <c r="F3248" t="s">
        <v>30</v>
      </c>
      <c r="G3248" s="4">
        <v>15</v>
      </c>
      <c r="H3248" s="1">
        <v>46341</v>
      </c>
      <c r="I3248" s="3" t="s">
        <v>15</v>
      </c>
      <c r="J3248" s="4">
        <v>4</v>
      </c>
    </row>
    <row r="3249" spans="1:10" x14ac:dyDescent="0.35">
      <c r="A3249" s="2" t="s">
        <v>3285</v>
      </c>
      <c r="B3249" s="4">
        <v>27</v>
      </c>
      <c r="C3249" t="s">
        <v>17</v>
      </c>
      <c r="D3249" t="s">
        <v>49</v>
      </c>
      <c r="E3249" t="s">
        <v>34</v>
      </c>
      <c r="F3249" t="s">
        <v>30</v>
      </c>
      <c r="G3249" s="4">
        <v>14</v>
      </c>
      <c r="H3249" s="1">
        <v>54085</v>
      </c>
      <c r="I3249" s="3" t="s">
        <v>15</v>
      </c>
      <c r="J3249" s="4">
        <v>5</v>
      </c>
    </row>
    <row r="3250" spans="1:10" x14ac:dyDescent="0.35">
      <c r="A3250" s="2" t="s">
        <v>3286</v>
      </c>
      <c r="B3250" s="4">
        <v>59</v>
      </c>
      <c r="C3250" t="s">
        <v>11</v>
      </c>
      <c r="D3250" t="s">
        <v>26</v>
      </c>
      <c r="E3250" t="s">
        <v>53</v>
      </c>
      <c r="F3250" t="s">
        <v>20</v>
      </c>
      <c r="G3250" s="4">
        <v>6</v>
      </c>
      <c r="H3250" s="1">
        <v>27618</v>
      </c>
      <c r="I3250" s="3" t="s">
        <v>15</v>
      </c>
      <c r="J3250" s="4">
        <v>2</v>
      </c>
    </row>
    <row r="3251" spans="1:10" x14ac:dyDescent="0.35">
      <c r="A3251" s="2" t="s">
        <v>3287</v>
      </c>
      <c r="B3251" s="4">
        <v>30</v>
      </c>
      <c r="C3251" t="s">
        <v>11</v>
      </c>
      <c r="D3251" t="s">
        <v>18</v>
      </c>
      <c r="E3251" t="s">
        <v>29</v>
      </c>
      <c r="F3251" t="s">
        <v>14</v>
      </c>
      <c r="G3251" s="4">
        <v>10</v>
      </c>
      <c r="H3251" s="1">
        <v>6296</v>
      </c>
      <c r="I3251" s="3" t="s">
        <v>15</v>
      </c>
      <c r="J3251" s="4">
        <v>2</v>
      </c>
    </row>
    <row r="3252" spans="1:10" x14ac:dyDescent="0.35">
      <c r="A3252" s="2" t="s">
        <v>3288</v>
      </c>
      <c r="B3252" s="4">
        <v>89</v>
      </c>
      <c r="C3252" t="s">
        <v>11</v>
      </c>
      <c r="D3252" t="s">
        <v>26</v>
      </c>
      <c r="E3252" t="s">
        <v>42</v>
      </c>
      <c r="F3252" t="s">
        <v>30</v>
      </c>
      <c r="G3252" s="4">
        <v>12</v>
      </c>
      <c r="H3252" s="1">
        <v>7218</v>
      </c>
      <c r="I3252" s="3" t="s">
        <v>15</v>
      </c>
      <c r="J3252" s="4">
        <v>3</v>
      </c>
    </row>
    <row r="3253" spans="1:10" x14ac:dyDescent="0.35">
      <c r="A3253" s="2" t="s">
        <v>3289</v>
      </c>
      <c r="B3253" s="4">
        <v>2</v>
      </c>
      <c r="C3253" t="s">
        <v>17</v>
      </c>
      <c r="D3253" t="s">
        <v>23</v>
      </c>
      <c r="E3253" t="s">
        <v>53</v>
      </c>
      <c r="F3253" t="s">
        <v>14</v>
      </c>
      <c r="G3253" s="4">
        <v>14</v>
      </c>
      <c r="H3253" s="1">
        <v>89265</v>
      </c>
      <c r="I3253" s="3" t="s">
        <v>21</v>
      </c>
      <c r="J3253" s="4">
        <v>5</v>
      </c>
    </row>
    <row r="3254" spans="1:10" x14ac:dyDescent="0.35">
      <c r="A3254" s="2" t="s">
        <v>3290</v>
      </c>
      <c r="B3254" s="4">
        <v>32</v>
      </c>
      <c r="C3254" t="s">
        <v>17</v>
      </c>
      <c r="D3254" t="s">
        <v>28</v>
      </c>
      <c r="E3254" t="s">
        <v>27</v>
      </c>
      <c r="F3254" t="s">
        <v>20</v>
      </c>
      <c r="G3254" s="4">
        <v>12</v>
      </c>
      <c r="H3254" s="1">
        <v>24086</v>
      </c>
      <c r="I3254" s="3" t="s">
        <v>15</v>
      </c>
      <c r="J3254" s="4">
        <v>4</v>
      </c>
    </row>
    <row r="3255" spans="1:10" x14ac:dyDescent="0.35">
      <c r="A3255" s="2" t="s">
        <v>3291</v>
      </c>
      <c r="B3255" s="4">
        <v>39</v>
      </c>
      <c r="C3255" t="s">
        <v>17</v>
      </c>
      <c r="D3255" t="s">
        <v>39</v>
      </c>
      <c r="E3255" t="s">
        <v>24</v>
      </c>
      <c r="F3255" t="s">
        <v>20</v>
      </c>
      <c r="G3255" s="4">
        <v>12</v>
      </c>
      <c r="H3255" s="1">
        <v>6592</v>
      </c>
      <c r="I3255" s="3" t="s">
        <v>21</v>
      </c>
      <c r="J3255" s="4">
        <v>3</v>
      </c>
    </row>
    <row r="3256" spans="1:10" x14ac:dyDescent="0.35">
      <c r="A3256" s="2" t="s">
        <v>3292</v>
      </c>
      <c r="B3256" s="4">
        <v>86</v>
      </c>
      <c r="C3256" t="s">
        <v>17</v>
      </c>
      <c r="D3256" t="s">
        <v>12</v>
      </c>
      <c r="E3256" t="s">
        <v>42</v>
      </c>
      <c r="F3256" t="s">
        <v>30</v>
      </c>
      <c r="G3256" s="4">
        <v>14</v>
      </c>
      <c r="H3256" s="1">
        <v>39973</v>
      </c>
      <c r="I3256" s="3" t="s">
        <v>21</v>
      </c>
      <c r="J3256" s="4">
        <v>2</v>
      </c>
    </row>
    <row r="3257" spans="1:10" x14ac:dyDescent="0.35">
      <c r="A3257" s="2" t="s">
        <v>3293</v>
      </c>
      <c r="B3257" s="4">
        <v>84</v>
      </c>
      <c r="C3257" t="s">
        <v>11</v>
      </c>
      <c r="D3257" t="s">
        <v>23</v>
      </c>
      <c r="E3257" t="s">
        <v>13</v>
      </c>
      <c r="F3257" t="s">
        <v>30</v>
      </c>
      <c r="G3257" s="4">
        <v>6</v>
      </c>
      <c r="H3257" s="1">
        <v>84656</v>
      </c>
      <c r="I3257" s="3" t="s">
        <v>15</v>
      </c>
      <c r="J3257" s="4">
        <v>4</v>
      </c>
    </row>
    <row r="3258" spans="1:10" x14ac:dyDescent="0.35">
      <c r="A3258" s="2" t="s">
        <v>3294</v>
      </c>
      <c r="B3258" s="4">
        <v>66</v>
      </c>
      <c r="C3258" t="s">
        <v>11</v>
      </c>
      <c r="D3258" t="s">
        <v>33</v>
      </c>
      <c r="E3258" t="s">
        <v>27</v>
      </c>
      <c r="F3258" t="s">
        <v>14</v>
      </c>
      <c r="G3258" s="4">
        <v>8</v>
      </c>
      <c r="H3258" s="1">
        <v>14263</v>
      </c>
      <c r="I3258" s="3" t="s">
        <v>15</v>
      </c>
      <c r="J3258" s="4">
        <v>4</v>
      </c>
    </row>
    <row r="3259" spans="1:10" x14ac:dyDescent="0.35">
      <c r="A3259" s="2" t="s">
        <v>3295</v>
      </c>
      <c r="B3259" s="4">
        <v>83</v>
      </c>
      <c r="C3259" t="s">
        <v>11</v>
      </c>
      <c r="D3259" t="s">
        <v>33</v>
      </c>
      <c r="E3259" t="s">
        <v>29</v>
      </c>
      <c r="F3259" t="s">
        <v>14</v>
      </c>
      <c r="G3259" s="4">
        <v>15</v>
      </c>
      <c r="H3259" s="1">
        <v>59730</v>
      </c>
      <c r="I3259" s="3" t="s">
        <v>15</v>
      </c>
      <c r="J3259" s="4">
        <v>1</v>
      </c>
    </row>
    <row r="3260" spans="1:10" x14ac:dyDescent="0.35">
      <c r="A3260" s="2" t="s">
        <v>3296</v>
      </c>
      <c r="B3260" s="4">
        <v>48</v>
      </c>
      <c r="C3260" t="s">
        <v>17</v>
      </c>
      <c r="D3260" t="s">
        <v>12</v>
      </c>
      <c r="E3260" t="s">
        <v>65</v>
      </c>
      <c r="F3260" t="s">
        <v>20</v>
      </c>
      <c r="G3260" s="4">
        <v>14</v>
      </c>
      <c r="H3260" s="1">
        <v>17568</v>
      </c>
      <c r="I3260" s="3" t="s">
        <v>21</v>
      </c>
      <c r="J3260" s="4">
        <v>2</v>
      </c>
    </row>
    <row r="3261" spans="1:10" x14ac:dyDescent="0.35">
      <c r="A3261" s="2" t="s">
        <v>3297</v>
      </c>
      <c r="B3261" s="4">
        <v>38</v>
      </c>
      <c r="C3261" t="s">
        <v>17</v>
      </c>
      <c r="D3261" t="s">
        <v>41</v>
      </c>
      <c r="E3261" t="s">
        <v>53</v>
      </c>
      <c r="F3261" t="s">
        <v>14</v>
      </c>
      <c r="G3261" s="4">
        <v>11</v>
      </c>
      <c r="H3261" s="1">
        <v>16076</v>
      </c>
      <c r="I3261" s="3" t="s">
        <v>15</v>
      </c>
      <c r="J3261" s="4">
        <v>1</v>
      </c>
    </row>
    <row r="3262" spans="1:10" x14ac:dyDescent="0.35">
      <c r="A3262" s="2" t="s">
        <v>3298</v>
      </c>
      <c r="B3262" s="4">
        <v>31</v>
      </c>
      <c r="C3262" t="s">
        <v>11</v>
      </c>
      <c r="D3262" t="s">
        <v>28</v>
      </c>
      <c r="E3262" t="s">
        <v>29</v>
      </c>
      <c r="F3262" t="s">
        <v>30</v>
      </c>
      <c r="G3262" s="4">
        <v>10</v>
      </c>
      <c r="H3262" s="1">
        <v>84834</v>
      </c>
      <c r="I3262" s="3" t="s">
        <v>15</v>
      </c>
      <c r="J3262" s="4">
        <v>5</v>
      </c>
    </row>
    <row r="3263" spans="1:10" x14ac:dyDescent="0.35">
      <c r="A3263" s="2" t="s">
        <v>3299</v>
      </c>
      <c r="B3263" s="4">
        <v>3</v>
      </c>
      <c r="C3263" t="s">
        <v>11</v>
      </c>
      <c r="D3263" t="s">
        <v>23</v>
      </c>
      <c r="E3263" t="s">
        <v>37</v>
      </c>
      <c r="F3263" t="s">
        <v>30</v>
      </c>
      <c r="G3263" s="4">
        <v>9</v>
      </c>
      <c r="H3263" s="1">
        <v>10410</v>
      </c>
      <c r="I3263" s="3" t="s">
        <v>15</v>
      </c>
      <c r="J3263" s="4">
        <v>5</v>
      </c>
    </row>
    <row r="3264" spans="1:10" x14ac:dyDescent="0.35">
      <c r="A3264" s="2" t="s">
        <v>3300</v>
      </c>
      <c r="B3264" s="4">
        <v>37</v>
      </c>
      <c r="C3264" t="s">
        <v>11</v>
      </c>
      <c r="D3264" t="s">
        <v>12</v>
      </c>
      <c r="E3264" t="s">
        <v>37</v>
      </c>
      <c r="F3264" t="s">
        <v>14</v>
      </c>
      <c r="G3264" s="4">
        <v>9</v>
      </c>
      <c r="H3264" s="1">
        <v>41470</v>
      </c>
      <c r="I3264" s="3" t="s">
        <v>21</v>
      </c>
      <c r="J3264" s="4">
        <v>4</v>
      </c>
    </row>
    <row r="3265" spans="1:10" x14ac:dyDescent="0.35">
      <c r="A3265" s="2" t="s">
        <v>3301</v>
      </c>
      <c r="B3265" s="4">
        <v>65</v>
      </c>
      <c r="C3265" t="s">
        <v>17</v>
      </c>
      <c r="D3265" t="s">
        <v>28</v>
      </c>
      <c r="E3265" t="s">
        <v>27</v>
      </c>
      <c r="F3265" t="s">
        <v>30</v>
      </c>
      <c r="G3265" s="4">
        <v>6</v>
      </c>
      <c r="H3265" s="1">
        <v>66302</v>
      </c>
      <c r="I3265" s="3" t="s">
        <v>15</v>
      </c>
      <c r="J3265" s="4">
        <v>1</v>
      </c>
    </row>
    <row r="3266" spans="1:10" x14ac:dyDescent="0.35">
      <c r="A3266" s="2" t="s">
        <v>3302</v>
      </c>
      <c r="B3266" s="4">
        <v>51</v>
      </c>
      <c r="C3266" t="s">
        <v>11</v>
      </c>
      <c r="D3266" t="s">
        <v>12</v>
      </c>
      <c r="E3266" t="s">
        <v>13</v>
      </c>
      <c r="F3266" t="s">
        <v>30</v>
      </c>
      <c r="G3266" s="4">
        <v>12</v>
      </c>
      <c r="H3266" s="1">
        <v>27158</v>
      </c>
      <c r="I3266" s="3" t="s">
        <v>15</v>
      </c>
      <c r="J3266" s="4">
        <v>2</v>
      </c>
    </row>
    <row r="3267" spans="1:10" x14ac:dyDescent="0.35">
      <c r="A3267" s="2" t="s">
        <v>3303</v>
      </c>
      <c r="B3267" s="4">
        <v>19</v>
      </c>
      <c r="C3267" t="s">
        <v>17</v>
      </c>
      <c r="D3267" t="s">
        <v>41</v>
      </c>
      <c r="E3267" t="s">
        <v>24</v>
      </c>
      <c r="F3267" t="s">
        <v>30</v>
      </c>
      <c r="G3267" s="4">
        <v>7</v>
      </c>
      <c r="H3267" s="1">
        <v>89193</v>
      </c>
      <c r="I3267" s="3" t="s">
        <v>15</v>
      </c>
      <c r="J3267" s="4">
        <v>4</v>
      </c>
    </row>
    <row r="3268" spans="1:10" x14ac:dyDescent="0.35">
      <c r="A3268" s="2" t="s">
        <v>3304</v>
      </c>
      <c r="B3268" s="4">
        <v>6</v>
      </c>
      <c r="C3268" t="s">
        <v>17</v>
      </c>
      <c r="D3268" t="s">
        <v>26</v>
      </c>
      <c r="E3268" t="s">
        <v>13</v>
      </c>
      <c r="F3268" t="s">
        <v>20</v>
      </c>
      <c r="G3268" s="4">
        <v>2</v>
      </c>
      <c r="H3268" s="1">
        <v>77284</v>
      </c>
      <c r="I3268" s="3" t="s">
        <v>15</v>
      </c>
      <c r="J3268" s="4">
        <v>3</v>
      </c>
    </row>
    <row r="3269" spans="1:10" x14ac:dyDescent="0.35">
      <c r="A3269" s="2" t="s">
        <v>3305</v>
      </c>
      <c r="B3269" s="4">
        <v>79</v>
      </c>
      <c r="C3269" t="s">
        <v>17</v>
      </c>
      <c r="D3269" t="s">
        <v>36</v>
      </c>
      <c r="E3269" t="s">
        <v>19</v>
      </c>
      <c r="F3269" t="s">
        <v>20</v>
      </c>
      <c r="G3269" s="4">
        <v>7</v>
      </c>
      <c r="H3269" s="1">
        <v>16239</v>
      </c>
      <c r="I3269" s="3" t="s">
        <v>21</v>
      </c>
      <c r="J3269" s="4">
        <v>2</v>
      </c>
    </row>
    <row r="3270" spans="1:10" x14ac:dyDescent="0.35">
      <c r="A3270" s="2" t="s">
        <v>3306</v>
      </c>
      <c r="B3270" s="4">
        <v>50</v>
      </c>
      <c r="C3270" t="s">
        <v>17</v>
      </c>
      <c r="D3270" t="s">
        <v>26</v>
      </c>
      <c r="E3270" t="s">
        <v>34</v>
      </c>
      <c r="F3270" t="s">
        <v>30</v>
      </c>
      <c r="G3270" s="4">
        <v>6</v>
      </c>
      <c r="H3270" s="1">
        <v>98681</v>
      </c>
      <c r="I3270" s="3" t="s">
        <v>15</v>
      </c>
      <c r="J3270" s="4">
        <v>4</v>
      </c>
    </row>
    <row r="3271" spans="1:10" x14ac:dyDescent="0.35">
      <c r="A3271" s="2" t="s">
        <v>3307</v>
      </c>
      <c r="B3271" s="4">
        <v>6</v>
      </c>
      <c r="C3271" t="s">
        <v>17</v>
      </c>
      <c r="D3271" t="s">
        <v>41</v>
      </c>
      <c r="E3271" t="s">
        <v>13</v>
      </c>
      <c r="F3271" t="s">
        <v>14</v>
      </c>
      <c r="G3271" s="4">
        <v>1</v>
      </c>
      <c r="H3271" s="1">
        <v>81164</v>
      </c>
      <c r="I3271" s="3" t="s">
        <v>21</v>
      </c>
      <c r="J3271" s="4">
        <v>3</v>
      </c>
    </row>
    <row r="3272" spans="1:10" x14ac:dyDescent="0.35">
      <c r="A3272" s="2" t="s">
        <v>3308</v>
      </c>
      <c r="B3272" s="4">
        <v>56</v>
      </c>
      <c r="C3272" t="s">
        <v>11</v>
      </c>
      <c r="D3272" t="s">
        <v>26</v>
      </c>
      <c r="E3272" t="s">
        <v>27</v>
      </c>
      <c r="F3272" t="s">
        <v>14</v>
      </c>
      <c r="G3272" s="4">
        <v>12</v>
      </c>
      <c r="H3272" s="1">
        <v>49847</v>
      </c>
      <c r="I3272" s="3" t="s">
        <v>21</v>
      </c>
      <c r="J3272" s="4">
        <v>2</v>
      </c>
    </row>
    <row r="3273" spans="1:10" x14ac:dyDescent="0.35">
      <c r="A3273" s="2" t="s">
        <v>3309</v>
      </c>
      <c r="B3273" s="4">
        <v>69</v>
      </c>
      <c r="C3273" t="s">
        <v>11</v>
      </c>
      <c r="D3273" t="s">
        <v>28</v>
      </c>
      <c r="E3273" t="s">
        <v>19</v>
      </c>
      <c r="F3273" t="s">
        <v>30</v>
      </c>
      <c r="G3273" s="4">
        <v>11</v>
      </c>
      <c r="H3273" s="1">
        <v>21821</v>
      </c>
      <c r="I3273" s="3" t="s">
        <v>21</v>
      </c>
      <c r="J3273" s="4">
        <v>4</v>
      </c>
    </row>
    <row r="3274" spans="1:10" x14ac:dyDescent="0.35">
      <c r="A3274" s="2" t="s">
        <v>3310</v>
      </c>
      <c r="B3274" s="4">
        <v>46</v>
      </c>
      <c r="C3274" t="s">
        <v>11</v>
      </c>
      <c r="D3274" t="s">
        <v>41</v>
      </c>
      <c r="E3274" t="s">
        <v>34</v>
      </c>
      <c r="F3274" t="s">
        <v>30</v>
      </c>
      <c r="G3274" s="4">
        <v>3</v>
      </c>
      <c r="H3274" s="1">
        <v>65771</v>
      </c>
      <c r="I3274" s="3" t="s">
        <v>21</v>
      </c>
      <c r="J3274" s="4">
        <v>5</v>
      </c>
    </row>
    <row r="3275" spans="1:10" x14ac:dyDescent="0.35">
      <c r="A3275" s="2" t="s">
        <v>3311</v>
      </c>
      <c r="B3275" s="4">
        <v>79</v>
      </c>
      <c r="C3275" t="s">
        <v>11</v>
      </c>
      <c r="D3275" t="s">
        <v>28</v>
      </c>
      <c r="E3275" t="s">
        <v>42</v>
      </c>
      <c r="F3275" t="s">
        <v>30</v>
      </c>
      <c r="G3275" s="4">
        <v>5</v>
      </c>
      <c r="H3275" s="1">
        <v>96270</v>
      </c>
      <c r="I3275" s="3" t="s">
        <v>15</v>
      </c>
      <c r="J3275" s="4">
        <v>4</v>
      </c>
    </row>
    <row r="3276" spans="1:10" x14ac:dyDescent="0.35">
      <c r="A3276" s="2" t="s">
        <v>3312</v>
      </c>
      <c r="B3276" s="4">
        <v>73</v>
      </c>
      <c r="C3276" t="s">
        <v>17</v>
      </c>
      <c r="D3276" t="s">
        <v>39</v>
      </c>
      <c r="E3276" t="s">
        <v>24</v>
      </c>
      <c r="F3276" t="s">
        <v>30</v>
      </c>
      <c r="G3276" s="4">
        <v>13</v>
      </c>
      <c r="H3276" s="1">
        <v>6918</v>
      </c>
      <c r="I3276" s="3" t="s">
        <v>15</v>
      </c>
      <c r="J3276" s="4">
        <v>5</v>
      </c>
    </row>
    <row r="3277" spans="1:10" x14ac:dyDescent="0.35">
      <c r="A3277" s="2" t="s">
        <v>3313</v>
      </c>
      <c r="B3277" s="4">
        <v>7</v>
      </c>
      <c r="C3277" t="s">
        <v>11</v>
      </c>
      <c r="D3277" t="s">
        <v>36</v>
      </c>
      <c r="E3277" t="s">
        <v>19</v>
      </c>
      <c r="F3277" t="s">
        <v>14</v>
      </c>
      <c r="G3277" s="4">
        <v>6</v>
      </c>
      <c r="H3277" s="1">
        <v>69943</v>
      </c>
      <c r="I3277" s="3" t="s">
        <v>15</v>
      </c>
      <c r="J3277" s="4">
        <v>1</v>
      </c>
    </row>
    <row r="3278" spans="1:10" x14ac:dyDescent="0.35">
      <c r="A3278" s="2" t="s">
        <v>3314</v>
      </c>
      <c r="B3278" s="4">
        <v>73</v>
      </c>
      <c r="C3278" t="s">
        <v>11</v>
      </c>
      <c r="D3278" t="s">
        <v>28</v>
      </c>
      <c r="E3278" t="s">
        <v>34</v>
      </c>
      <c r="F3278" t="s">
        <v>14</v>
      </c>
      <c r="G3278" s="4">
        <v>11</v>
      </c>
      <c r="H3278" s="1">
        <v>51982</v>
      </c>
      <c r="I3278" s="3" t="s">
        <v>15</v>
      </c>
      <c r="J3278" s="4">
        <v>4</v>
      </c>
    </row>
    <row r="3279" spans="1:10" x14ac:dyDescent="0.35">
      <c r="A3279" s="2" t="s">
        <v>3315</v>
      </c>
      <c r="B3279" s="4">
        <v>64</v>
      </c>
      <c r="C3279" t="s">
        <v>17</v>
      </c>
      <c r="D3279" t="s">
        <v>12</v>
      </c>
      <c r="E3279" t="s">
        <v>13</v>
      </c>
      <c r="F3279" t="s">
        <v>14</v>
      </c>
      <c r="G3279" s="4">
        <v>14</v>
      </c>
      <c r="H3279" s="1">
        <v>32792</v>
      </c>
      <c r="I3279" s="3" t="s">
        <v>21</v>
      </c>
      <c r="J3279" s="4">
        <v>4</v>
      </c>
    </row>
    <row r="3280" spans="1:10" x14ac:dyDescent="0.35">
      <c r="A3280" s="2" t="s">
        <v>3316</v>
      </c>
      <c r="B3280" s="4">
        <v>10</v>
      </c>
      <c r="C3280" t="s">
        <v>17</v>
      </c>
      <c r="D3280" t="s">
        <v>12</v>
      </c>
      <c r="E3280" t="s">
        <v>19</v>
      </c>
      <c r="F3280" t="s">
        <v>30</v>
      </c>
      <c r="G3280" s="4">
        <v>5</v>
      </c>
      <c r="H3280" s="1">
        <v>62536</v>
      </c>
      <c r="I3280" s="3" t="s">
        <v>15</v>
      </c>
      <c r="J3280" s="4">
        <v>3</v>
      </c>
    </row>
    <row r="3281" spans="1:10" x14ac:dyDescent="0.35">
      <c r="A3281" s="2" t="s">
        <v>3317</v>
      </c>
      <c r="B3281" s="4">
        <v>80</v>
      </c>
      <c r="C3281" t="s">
        <v>17</v>
      </c>
      <c r="D3281" t="s">
        <v>23</v>
      </c>
      <c r="E3281" t="s">
        <v>13</v>
      </c>
      <c r="F3281" t="s">
        <v>20</v>
      </c>
      <c r="G3281" s="4">
        <v>11</v>
      </c>
      <c r="H3281" s="1">
        <v>55021</v>
      </c>
      <c r="I3281" s="3" t="s">
        <v>21</v>
      </c>
      <c r="J3281" s="4">
        <v>4</v>
      </c>
    </row>
    <row r="3282" spans="1:10" x14ac:dyDescent="0.35">
      <c r="A3282" s="2" t="s">
        <v>3318</v>
      </c>
      <c r="B3282" s="4">
        <v>88</v>
      </c>
      <c r="C3282" t="s">
        <v>11</v>
      </c>
      <c r="D3282" t="s">
        <v>18</v>
      </c>
      <c r="E3282" t="s">
        <v>53</v>
      </c>
      <c r="F3282" t="s">
        <v>30</v>
      </c>
      <c r="G3282" s="4">
        <v>11</v>
      </c>
      <c r="H3282" s="1">
        <v>72124</v>
      </c>
      <c r="I3282" s="3" t="s">
        <v>21</v>
      </c>
      <c r="J3282" s="4">
        <v>4</v>
      </c>
    </row>
    <row r="3283" spans="1:10" x14ac:dyDescent="0.35">
      <c r="A3283" s="2" t="s">
        <v>3319</v>
      </c>
      <c r="B3283" s="4">
        <v>8</v>
      </c>
      <c r="C3283" t="s">
        <v>17</v>
      </c>
      <c r="D3283" t="s">
        <v>41</v>
      </c>
      <c r="E3283" t="s">
        <v>19</v>
      </c>
      <c r="F3283" t="s">
        <v>14</v>
      </c>
      <c r="G3283" s="4">
        <v>15</v>
      </c>
      <c r="H3283" s="1">
        <v>87561</v>
      </c>
      <c r="I3283" s="3" t="s">
        <v>21</v>
      </c>
      <c r="J3283" s="4">
        <v>1</v>
      </c>
    </row>
    <row r="3284" spans="1:10" x14ac:dyDescent="0.35">
      <c r="A3284" s="2" t="s">
        <v>3320</v>
      </c>
      <c r="B3284" s="4">
        <v>19</v>
      </c>
      <c r="C3284" t="s">
        <v>11</v>
      </c>
      <c r="D3284" t="s">
        <v>28</v>
      </c>
      <c r="E3284" t="s">
        <v>65</v>
      </c>
      <c r="F3284" t="s">
        <v>14</v>
      </c>
      <c r="G3284" s="4">
        <v>12</v>
      </c>
      <c r="H3284" s="1">
        <v>95962</v>
      </c>
      <c r="I3284" s="3" t="s">
        <v>21</v>
      </c>
      <c r="J3284" s="4">
        <v>1</v>
      </c>
    </row>
    <row r="3285" spans="1:10" x14ac:dyDescent="0.35">
      <c r="A3285" s="2" t="s">
        <v>3321</v>
      </c>
      <c r="B3285" s="4">
        <v>71</v>
      </c>
      <c r="C3285" t="s">
        <v>11</v>
      </c>
      <c r="D3285" t="s">
        <v>33</v>
      </c>
      <c r="E3285" t="s">
        <v>24</v>
      </c>
      <c r="F3285" t="s">
        <v>30</v>
      </c>
      <c r="G3285" s="4">
        <v>1</v>
      </c>
      <c r="H3285" s="1">
        <v>39152</v>
      </c>
      <c r="I3285" s="3" t="s">
        <v>15</v>
      </c>
      <c r="J3285" s="4">
        <v>3</v>
      </c>
    </row>
    <row r="3286" spans="1:10" x14ac:dyDescent="0.35">
      <c r="A3286" s="2" t="s">
        <v>3322</v>
      </c>
      <c r="B3286" s="4">
        <v>83</v>
      </c>
      <c r="C3286" t="s">
        <v>11</v>
      </c>
      <c r="D3286" t="s">
        <v>18</v>
      </c>
      <c r="E3286" t="s">
        <v>42</v>
      </c>
      <c r="F3286" t="s">
        <v>30</v>
      </c>
      <c r="G3286" s="4">
        <v>8</v>
      </c>
      <c r="H3286" s="1">
        <v>38396</v>
      </c>
      <c r="I3286" s="3" t="s">
        <v>21</v>
      </c>
      <c r="J3286" s="4">
        <v>3</v>
      </c>
    </row>
    <row r="3287" spans="1:10" x14ac:dyDescent="0.35">
      <c r="A3287" s="2" t="s">
        <v>3323</v>
      </c>
      <c r="B3287" s="4">
        <v>27</v>
      </c>
      <c r="C3287" t="s">
        <v>17</v>
      </c>
      <c r="D3287" t="s">
        <v>12</v>
      </c>
      <c r="E3287" t="s">
        <v>65</v>
      </c>
      <c r="F3287" t="s">
        <v>20</v>
      </c>
      <c r="G3287" s="4">
        <v>1</v>
      </c>
      <c r="H3287" s="1">
        <v>46186</v>
      </c>
      <c r="I3287" s="3" t="s">
        <v>21</v>
      </c>
      <c r="J3287" s="4">
        <v>3</v>
      </c>
    </row>
    <row r="3288" spans="1:10" x14ac:dyDescent="0.35">
      <c r="A3288" s="2" t="s">
        <v>3324</v>
      </c>
      <c r="B3288" s="4">
        <v>88</v>
      </c>
      <c r="C3288" t="s">
        <v>11</v>
      </c>
      <c r="D3288" t="s">
        <v>23</v>
      </c>
      <c r="E3288" t="s">
        <v>37</v>
      </c>
      <c r="F3288" t="s">
        <v>30</v>
      </c>
      <c r="G3288" s="4">
        <v>2</v>
      </c>
      <c r="H3288" s="1">
        <v>36398</v>
      </c>
      <c r="I3288" s="3" t="s">
        <v>15</v>
      </c>
      <c r="J3288" s="4">
        <v>3</v>
      </c>
    </row>
    <row r="3289" spans="1:10" x14ac:dyDescent="0.35">
      <c r="A3289" s="2" t="s">
        <v>3325</v>
      </c>
      <c r="B3289" s="4">
        <v>39</v>
      </c>
      <c r="C3289" t="s">
        <v>11</v>
      </c>
      <c r="D3289" t="s">
        <v>26</v>
      </c>
      <c r="E3289" t="s">
        <v>34</v>
      </c>
      <c r="F3289" t="s">
        <v>30</v>
      </c>
      <c r="G3289" s="4">
        <v>7</v>
      </c>
      <c r="H3289" s="1">
        <v>48015</v>
      </c>
      <c r="I3289" s="3" t="s">
        <v>21</v>
      </c>
      <c r="J3289" s="4">
        <v>2</v>
      </c>
    </row>
    <row r="3290" spans="1:10" x14ac:dyDescent="0.35">
      <c r="A3290" s="2" t="s">
        <v>3326</v>
      </c>
      <c r="B3290" s="4">
        <v>10</v>
      </c>
      <c r="C3290" t="s">
        <v>11</v>
      </c>
      <c r="D3290" t="s">
        <v>26</v>
      </c>
      <c r="E3290" t="s">
        <v>27</v>
      </c>
      <c r="F3290" t="s">
        <v>14</v>
      </c>
      <c r="G3290" s="4">
        <v>4</v>
      </c>
      <c r="H3290" s="1">
        <v>11434</v>
      </c>
      <c r="I3290" s="3" t="s">
        <v>21</v>
      </c>
      <c r="J3290" s="4">
        <v>5</v>
      </c>
    </row>
    <row r="3291" spans="1:10" x14ac:dyDescent="0.35">
      <c r="A3291" s="2" t="s">
        <v>3327</v>
      </c>
      <c r="B3291" s="4">
        <v>37</v>
      </c>
      <c r="C3291" t="s">
        <v>11</v>
      </c>
      <c r="D3291" t="s">
        <v>26</v>
      </c>
      <c r="E3291" t="s">
        <v>27</v>
      </c>
      <c r="F3291" t="s">
        <v>30</v>
      </c>
      <c r="G3291" s="4">
        <v>6</v>
      </c>
      <c r="H3291" s="1">
        <v>93540</v>
      </c>
      <c r="I3291" s="3" t="s">
        <v>21</v>
      </c>
      <c r="J3291" s="4">
        <v>3</v>
      </c>
    </row>
    <row r="3292" spans="1:10" x14ac:dyDescent="0.35">
      <c r="A3292" s="2" t="s">
        <v>3328</v>
      </c>
      <c r="B3292" s="4">
        <v>7</v>
      </c>
      <c r="C3292" t="s">
        <v>11</v>
      </c>
      <c r="D3292" t="s">
        <v>36</v>
      </c>
      <c r="E3292" t="s">
        <v>24</v>
      </c>
      <c r="F3292" t="s">
        <v>20</v>
      </c>
      <c r="G3292" s="4">
        <v>6</v>
      </c>
      <c r="H3292" s="1">
        <v>47316</v>
      </c>
      <c r="I3292" s="3" t="s">
        <v>21</v>
      </c>
      <c r="J3292" s="4">
        <v>2</v>
      </c>
    </row>
    <row r="3293" spans="1:10" x14ac:dyDescent="0.35">
      <c r="A3293" s="2" t="s">
        <v>3329</v>
      </c>
      <c r="B3293" s="4">
        <v>84</v>
      </c>
      <c r="C3293" t="s">
        <v>11</v>
      </c>
      <c r="D3293" t="s">
        <v>49</v>
      </c>
      <c r="E3293" t="s">
        <v>24</v>
      </c>
      <c r="F3293" t="s">
        <v>14</v>
      </c>
      <c r="G3293" s="4">
        <v>1</v>
      </c>
      <c r="H3293" s="1">
        <v>96489</v>
      </c>
      <c r="I3293" s="3" t="s">
        <v>21</v>
      </c>
      <c r="J3293" s="4">
        <v>5</v>
      </c>
    </row>
    <row r="3294" spans="1:10" x14ac:dyDescent="0.35">
      <c r="A3294" s="2" t="s">
        <v>3330</v>
      </c>
      <c r="B3294" s="4">
        <v>17</v>
      </c>
      <c r="C3294" t="s">
        <v>11</v>
      </c>
      <c r="D3294" t="s">
        <v>49</v>
      </c>
      <c r="E3294" t="s">
        <v>13</v>
      </c>
      <c r="F3294" t="s">
        <v>20</v>
      </c>
      <c r="G3294" s="4">
        <v>2</v>
      </c>
      <c r="H3294" s="1">
        <v>10377</v>
      </c>
      <c r="I3294" s="3" t="s">
        <v>15</v>
      </c>
      <c r="J3294" s="4">
        <v>2</v>
      </c>
    </row>
    <row r="3295" spans="1:10" x14ac:dyDescent="0.35">
      <c r="A3295" s="2" t="s">
        <v>3331</v>
      </c>
      <c r="B3295" s="4">
        <v>81</v>
      </c>
      <c r="C3295" t="s">
        <v>17</v>
      </c>
      <c r="D3295" t="s">
        <v>39</v>
      </c>
      <c r="E3295" t="s">
        <v>19</v>
      </c>
      <c r="F3295" t="s">
        <v>14</v>
      </c>
      <c r="G3295" s="4">
        <v>6</v>
      </c>
      <c r="H3295" s="1">
        <v>28086</v>
      </c>
      <c r="I3295" s="3" t="s">
        <v>21</v>
      </c>
      <c r="J3295" s="4">
        <v>3</v>
      </c>
    </row>
    <row r="3296" spans="1:10" x14ac:dyDescent="0.35">
      <c r="A3296" s="2" t="s">
        <v>3332</v>
      </c>
      <c r="B3296" s="4">
        <v>10</v>
      </c>
      <c r="C3296" t="s">
        <v>11</v>
      </c>
      <c r="D3296" t="s">
        <v>28</v>
      </c>
      <c r="E3296" t="s">
        <v>53</v>
      </c>
      <c r="F3296" t="s">
        <v>20</v>
      </c>
      <c r="G3296" s="4">
        <v>3</v>
      </c>
      <c r="H3296" s="1">
        <v>47861</v>
      </c>
      <c r="I3296" s="3" t="s">
        <v>21</v>
      </c>
      <c r="J3296" s="4">
        <v>1</v>
      </c>
    </row>
    <row r="3297" spans="1:10" x14ac:dyDescent="0.35">
      <c r="A3297" s="2" t="s">
        <v>3333</v>
      </c>
      <c r="B3297" s="4">
        <v>16</v>
      </c>
      <c r="C3297" t="s">
        <v>17</v>
      </c>
      <c r="D3297" t="s">
        <v>33</v>
      </c>
      <c r="E3297" t="s">
        <v>29</v>
      </c>
      <c r="F3297" t="s">
        <v>20</v>
      </c>
      <c r="G3297" s="4">
        <v>11</v>
      </c>
      <c r="H3297" s="1">
        <v>16852</v>
      </c>
      <c r="I3297" s="3" t="s">
        <v>21</v>
      </c>
      <c r="J3297" s="4">
        <v>2</v>
      </c>
    </row>
    <row r="3298" spans="1:10" x14ac:dyDescent="0.35">
      <c r="A3298" s="2" t="s">
        <v>3334</v>
      </c>
      <c r="B3298" s="4">
        <v>2</v>
      </c>
      <c r="C3298" t="s">
        <v>17</v>
      </c>
      <c r="D3298" t="s">
        <v>12</v>
      </c>
      <c r="E3298" t="s">
        <v>37</v>
      </c>
      <c r="F3298" t="s">
        <v>14</v>
      </c>
      <c r="G3298" s="4">
        <v>12</v>
      </c>
      <c r="H3298" s="1">
        <v>92075</v>
      </c>
      <c r="I3298" s="3" t="s">
        <v>21</v>
      </c>
      <c r="J3298" s="4">
        <v>2</v>
      </c>
    </row>
    <row r="3299" spans="1:10" x14ac:dyDescent="0.35">
      <c r="A3299" s="2" t="s">
        <v>3335</v>
      </c>
      <c r="B3299" s="4">
        <v>64</v>
      </c>
      <c r="C3299" t="s">
        <v>11</v>
      </c>
      <c r="D3299" t="s">
        <v>12</v>
      </c>
      <c r="E3299" t="s">
        <v>65</v>
      </c>
      <c r="F3299" t="s">
        <v>20</v>
      </c>
      <c r="G3299" s="4">
        <v>2</v>
      </c>
      <c r="H3299" s="1">
        <v>81783</v>
      </c>
      <c r="I3299" s="3" t="s">
        <v>15</v>
      </c>
      <c r="J3299" s="4">
        <v>5</v>
      </c>
    </row>
    <row r="3300" spans="1:10" x14ac:dyDescent="0.35">
      <c r="A3300" s="2" t="s">
        <v>3336</v>
      </c>
      <c r="B3300" s="4">
        <v>37</v>
      </c>
      <c r="C3300" t="s">
        <v>17</v>
      </c>
      <c r="D3300" t="s">
        <v>26</v>
      </c>
      <c r="E3300" t="s">
        <v>29</v>
      </c>
      <c r="F3300" t="s">
        <v>14</v>
      </c>
      <c r="G3300" s="4">
        <v>1</v>
      </c>
      <c r="H3300" s="1">
        <v>20295</v>
      </c>
      <c r="I3300" s="3" t="s">
        <v>21</v>
      </c>
      <c r="J3300" s="4">
        <v>3</v>
      </c>
    </row>
    <row r="3301" spans="1:10" x14ac:dyDescent="0.35">
      <c r="A3301" s="2" t="s">
        <v>3337</v>
      </c>
      <c r="B3301" s="4">
        <v>61</v>
      </c>
      <c r="C3301" t="s">
        <v>17</v>
      </c>
      <c r="D3301" t="s">
        <v>36</v>
      </c>
      <c r="E3301" t="s">
        <v>37</v>
      </c>
      <c r="F3301" t="s">
        <v>14</v>
      </c>
      <c r="G3301" s="4">
        <v>2</v>
      </c>
      <c r="H3301" s="1">
        <v>99599</v>
      </c>
      <c r="I3301" s="3" t="s">
        <v>15</v>
      </c>
      <c r="J3301" s="4">
        <v>3</v>
      </c>
    </row>
    <row r="3302" spans="1:10" x14ac:dyDescent="0.35">
      <c r="A3302" s="2" t="s">
        <v>3338</v>
      </c>
      <c r="B3302" s="4">
        <v>90</v>
      </c>
      <c r="C3302" t="s">
        <v>11</v>
      </c>
      <c r="D3302" t="s">
        <v>49</v>
      </c>
      <c r="E3302" t="s">
        <v>27</v>
      </c>
      <c r="F3302" t="s">
        <v>20</v>
      </c>
      <c r="G3302" s="4">
        <v>13</v>
      </c>
      <c r="H3302" s="1">
        <v>20351</v>
      </c>
      <c r="I3302" s="3" t="s">
        <v>15</v>
      </c>
      <c r="J3302" s="4">
        <v>1</v>
      </c>
    </row>
    <row r="3303" spans="1:10" x14ac:dyDescent="0.35">
      <c r="A3303" s="2" t="s">
        <v>3339</v>
      </c>
      <c r="B3303" s="4">
        <v>6</v>
      </c>
      <c r="C3303" t="s">
        <v>17</v>
      </c>
      <c r="D3303" t="s">
        <v>23</v>
      </c>
      <c r="E3303" t="s">
        <v>29</v>
      </c>
      <c r="F3303" t="s">
        <v>30</v>
      </c>
      <c r="G3303" s="4">
        <v>1</v>
      </c>
      <c r="H3303" s="1">
        <v>13365</v>
      </c>
      <c r="I3303" s="3" t="s">
        <v>15</v>
      </c>
      <c r="J3303" s="4">
        <v>2</v>
      </c>
    </row>
    <row r="3304" spans="1:10" x14ac:dyDescent="0.35">
      <c r="A3304" s="2" t="s">
        <v>3340</v>
      </c>
      <c r="B3304" s="4">
        <v>83</v>
      </c>
      <c r="C3304" t="s">
        <v>17</v>
      </c>
      <c r="D3304" t="s">
        <v>41</v>
      </c>
      <c r="E3304" t="s">
        <v>37</v>
      </c>
      <c r="F3304" t="s">
        <v>30</v>
      </c>
      <c r="G3304" s="4">
        <v>5</v>
      </c>
      <c r="H3304" s="1">
        <v>36909</v>
      </c>
      <c r="I3304" s="3" t="s">
        <v>21</v>
      </c>
      <c r="J3304" s="4">
        <v>2</v>
      </c>
    </row>
    <row r="3305" spans="1:10" x14ac:dyDescent="0.35">
      <c r="A3305" s="2" t="s">
        <v>3341</v>
      </c>
      <c r="B3305" s="4">
        <v>77</v>
      </c>
      <c r="C3305" t="s">
        <v>17</v>
      </c>
      <c r="D3305" t="s">
        <v>28</v>
      </c>
      <c r="E3305" t="s">
        <v>19</v>
      </c>
      <c r="F3305" t="s">
        <v>30</v>
      </c>
      <c r="G3305" s="4">
        <v>4</v>
      </c>
      <c r="H3305" s="1">
        <v>59329</v>
      </c>
      <c r="I3305" s="3" t="s">
        <v>15</v>
      </c>
      <c r="J3305" s="4">
        <v>5</v>
      </c>
    </row>
    <row r="3306" spans="1:10" x14ac:dyDescent="0.35">
      <c r="A3306" s="2" t="s">
        <v>3342</v>
      </c>
      <c r="B3306" s="4">
        <v>14</v>
      </c>
      <c r="C3306" t="s">
        <v>17</v>
      </c>
      <c r="D3306" t="s">
        <v>41</v>
      </c>
      <c r="E3306" t="s">
        <v>27</v>
      </c>
      <c r="F3306" t="s">
        <v>20</v>
      </c>
      <c r="G3306" s="4">
        <v>15</v>
      </c>
      <c r="H3306" s="1">
        <v>91091</v>
      </c>
      <c r="I3306" s="3" t="s">
        <v>15</v>
      </c>
      <c r="J3306" s="4">
        <v>3</v>
      </c>
    </row>
    <row r="3307" spans="1:10" x14ac:dyDescent="0.35">
      <c r="A3307" s="2" t="s">
        <v>3343</v>
      </c>
      <c r="B3307" s="4">
        <v>51</v>
      </c>
      <c r="C3307" t="s">
        <v>11</v>
      </c>
      <c r="D3307" t="s">
        <v>49</v>
      </c>
      <c r="E3307" t="s">
        <v>19</v>
      </c>
      <c r="F3307" t="s">
        <v>30</v>
      </c>
      <c r="G3307" s="4">
        <v>11</v>
      </c>
      <c r="H3307" s="1">
        <v>71660</v>
      </c>
      <c r="I3307" s="3" t="s">
        <v>21</v>
      </c>
      <c r="J3307" s="4">
        <v>3</v>
      </c>
    </row>
    <row r="3308" spans="1:10" x14ac:dyDescent="0.35">
      <c r="A3308" s="2" t="s">
        <v>3344</v>
      </c>
      <c r="B3308" s="4">
        <v>84</v>
      </c>
      <c r="C3308" t="s">
        <v>17</v>
      </c>
      <c r="D3308" t="s">
        <v>49</v>
      </c>
      <c r="E3308" t="s">
        <v>53</v>
      </c>
      <c r="F3308" t="s">
        <v>14</v>
      </c>
      <c r="G3308" s="4">
        <v>14</v>
      </c>
      <c r="H3308" s="1">
        <v>95048</v>
      </c>
      <c r="I3308" s="3" t="s">
        <v>21</v>
      </c>
      <c r="J3308" s="4">
        <v>2</v>
      </c>
    </row>
    <row r="3309" spans="1:10" x14ac:dyDescent="0.35">
      <c r="A3309" s="2" t="s">
        <v>3345</v>
      </c>
      <c r="B3309" s="4">
        <v>90</v>
      </c>
      <c r="C3309" t="s">
        <v>17</v>
      </c>
      <c r="D3309" t="s">
        <v>49</v>
      </c>
      <c r="E3309" t="s">
        <v>42</v>
      </c>
      <c r="F3309" t="s">
        <v>20</v>
      </c>
      <c r="G3309" s="4">
        <v>13</v>
      </c>
      <c r="H3309" s="1">
        <v>94313</v>
      </c>
      <c r="I3309" s="3" t="s">
        <v>21</v>
      </c>
      <c r="J3309" s="4">
        <v>2</v>
      </c>
    </row>
    <row r="3310" spans="1:10" x14ac:dyDescent="0.35">
      <c r="A3310" s="2" t="s">
        <v>3346</v>
      </c>
      <c r="B3310" s="4">
        <v>42</v>
      </c>
      <c r="C3310" t="s">
        <v>17</v>
      </c>
      <c r="D3310" t="s">
        <v>12</v>
      </c>
      <c r="E3310" t="s">
        <v>65</v>
      </c>
      <c r="F3310" t="s">
        <v>30</v>
      </c>
      <c r="G3310" s="4">
        <v>5</v>
      </c>
      <c r="H3310" s="1">
        <v>59773</v>
      </c>
      <c r="I3310" s="3" t="s">
        <v>21</v>
      </c>
      <c r="J3310" s="4">
        <v>4</v>
      </c>
    </row>
    <row r="3311" spans="1:10" x14ac:dyDescent="0.35">
      <c r="A3311" s="2" t="s">
        <v>3347</v>
      </c>
      <c r="B3311" s="4">
        <v>59</v>
      </c>
      <c r="C3311" t="s">
        <v>17</v>
      </c>
      <c r="D3311" t="s">
        <v>41</v>
      </c>
      <c r="E3311" t="s">
        <v>37</v>
      </c>
      <c r="F3311" t="s">
        <v>20</v>
      </c>
      <c r="G3311" s="4">
        <v>2</v>
      </c>
      <c r="H3311" s="1">
        <v>20386</v>
      </c>
      <c r="I3311" s="3" t="s">
        <v>21</v>
      </c>
      <c r="J3311" s="4">
        <v>5</v>
      </c>
    </row>
    <row r="3312" spans="1:10" x14ac:dyDescent="0.35">
      <c r="A3312" s="2" t="s">
        <v>3348</v>
      </c>
      <c r="B3312" s="4">
        <v>83</v>
      </c>
      <c r="C3312" t="s">
        <v>11</v>
      </c>
      <c r="D3312" t="s">
        <v>28</v>
      </c>
      <c r="E3312" t="s">
        <v>34</v>
      </c>
      <c r="F3312" t="s">
        <v>14</v>
      </c>
      <c r="G3312" s="4">
        <v>12</v>
      </c>
      <c r="H3312" s="1">
        <v>68954</v>
      </c>
      <c r="I3312" s="3" t="s">
        <v>15</v>
      </c>
      <c r="J3312" s="4">
        <v>2</v>
      </c>
    </row>
    <row r="3313" spans="1:10" x14ac:dyDescent="0.35">
      <c r="A3313" s="2" t="s">
        <v>3349</v>
      </c>
      <c r="B3313" s="4">
        <v>38</v>
      </c>
      <c r="C3313" t="s">
        <v>17</v>
      </c>
      <c r="D3313" t="s">
        <v>36</v>
      </c>
      <c r="E3313" t="s">
        <v>34</v>
      </c>
      <c r="F3313" t="s">
        <v>14</v>
      </c>
      <c r="G3313" s="4">
        <v>8</v>
      </c>
      <c r="H3313" s="1">
        <v>12075</v>
      </c>
      <c r="I3313" s="3" t="s">
        <v>21</v>
      </c>
      <c r="J3313" s="4">
        <v>5</v>
      </c>
    </row>
    <row r="3314" spans="1:10" x14ac:dyDescent="0.35">
      <c r="A3314" s="2" t="s">
        <v>3350</v>
      </c>
      <c r="B3314" s="4">
        <v>45</v>
      </c>
      <c r="C3314" t="s">
        <v>11</v>
      </c>
      <c r="D3314" t="s">
        <v>33</v>
      </c>
      <c r="E3314" t="s">
        <v>24</v>
      </c>
      <c r="F3314" t="s">
        <v>14</v>
      </c>
      <c r="G3314" s="4">
        <v>6</v>
      </c>
      <c r="H3314" s="1">
        <v>73252</v>
      </c>
      <c r="I3314" s="3" t="s">
        <v>15</v>
      </c>
      <c r="J3314" s="4">
        <v>5</v>
      </c>
    </row>
    <row r="3315" spans="1:10" x14ac:dyDescent="0.35">
      <c r="A3315" s="2" t="s">
        <v>3351</v>
      </c>
      <c r="B3315" s="4">
        <v>2</v>
      </c>
      <c r="C3315" t="s">
        <v>11</v>
      </c>
      <c r="D3315" t="s">
        <v>49</v>
      </c>
      <c r="E3315" t="s">
        <v>34</v>
      </c>
      <c r="F3315" t="s">
        <v>14</v>
      </c>
      <c r="G3315" s="4">
        <v>15</v>
      </c>
      <c r="H3315" s="1">
        <v>77060</v>
      </c>
      <c r="I3315" s="3" t="s">
        <v>15</v>
      </c>
      <c r="J3315" s="4">
        <v>4</v>
      </c>
    </row>
    <row r="3316" spans="1:10" x14ac:dyDescent="0.35">
      <c r="A3316" s="2" t="s">
        <v>3352</v>
      </c>
      <c r="B3316" s="4">
        <v>37</v>
      </c>
      <c r="C3316" t="s">
        <v>11</v>
      </c>
      <c r="D3316" t="s">
        <v>39</v>
      </c>
      <c r="E3316" t="s">
        <v>13</v>
      </c>
      <c r="F3316" t="s">
        <v>20</v>
      </c>
      <c r="G3316" s="4">
        <v>3</v>
      </c>
      <c r="H3316" s="1">
        <v>76331</v>
      </c>
      <c r="I3316" s="3" t="s">
        <v>21</v>
      </c>
      <c r="J3316" s="4">
        <v>5</v>
      </c>
    </row>
    <row r="3317" spans="1:10" x14ac:dyDescent="0.35">
      <c r="A3317" s="2" t="s">
        <v>3353</v>
      </c>
      <c r="B3317" s="4">
        <v>5</v>
      </c>
      <c r="C3317" t="s">
        <v>11</v>
      </c>
      <c r="D3317" t="s">
        <v>12</v>
      </c>
      <c r="E3317" t="s">
        <v>37</v>
      </c>
      <c r="F3317" t="s">
        <v>20</v>
      </c>
      <c r="G3317" s="4">
        <v>10</v>
      </c>
      <c r="H3317" s="1">
        <v>64376</v>
      </c>
      <c r="I3317" s="3" t="s">
        <v>15</v>
      </c>
      <c r="J3317" s="4">
        <v>2</v>
      </c>
    </row>
    <row r="3318" spans="1:10" x14ac:dyDescent="0.35">
      <c r="A3318" s="2" t="s">
        <v>3354</v>
      </c>
      <c r="B3318" s="4">
        <v>43</v>
      </c>
      <c r="C3318" t="s">
        <v>11</v>
      </c>
      <c r="D3318" t="s">
        <v>39</v>
      </c>
      <c r="E3318" t="s">
        <v>37</v>
      </c>
      <c r="F3318" t="s">
        <v>20</v>
      </c>
      <c r="G3318" s="4">
        <v>11</v>
      </c>
      <c r="H3318" s="1">
        <v>65816</v>
      </c>
      <c r="I3318" s="3" t="s">
        <v>21</v>
      </c>
      <c r="J3318" s="4">
        <v>1</v>
      </c>
    </row>
    <row r="3319" spans="1:10" x14ac:dyDescent="0.35">
      <c r="A3319" s="2" t="s">
        <v>3355</v>
      </c>
      <c r="B3319" s="4">
        <v>73</v>
      </c>
      <c r="C3319" t="s">
        <v>11</v>
      </c>
      <c r="D3319" t="s">
        <v>39</v>
      </c>
      <c r="E3319" t="s">
        <v>29</v>
      </c>
      <c r="F3319" t="s">
        <v>14</v>
      </c>
      <c r="G3319" s="4">
        <v>7</v>
      </c>
      <c r="H3319" s="1">
        <v>57490</v>
      </c>
      <c r="I3319" s="3" t="s">
        <v>15</v>
      </c>
      <c r="J3319" s="4">
        <v>4</v>
      </c>
    </row>
    <row r="3320" spans="1:10" x14ac:dyDescent="0.35">
      <c r="A3320" s="2" t="s">
        <v>3356</v>
      </c>
      <c r="B3320" s="4">
        <v>22</v>
      </c>
      <c r="C3320" t="s">
        <v>11</v>
      </c>
      <c r="D3320" t="s">
        <v>23</v>
      </c>
      <c r="E3320" t="s">
        <v>42</v>
      </c>
      <c r="F3320" t="s">
        <v>30</v>
      </c>
      <c r="G3320" s="4">
        <v>13</v>
      </c>
      <c r="H3320" s="1">
        <v>48796</v>
      </c>
      <c r="I3320" s="3" t="s">
        <v>21</v>
      </c>
      <c r="J3320" s="4">
        <v>4</v>
      </c>
    </row>
    <row r="3321" spans="1:10" x14ac:dyDescent="0.35">
      <c r="A3321" s="2" t="s">
        <v>3357</v>
      </c>
      <c r="B3321" s="4">
        <v>54</v>
      </c>
      <c r="C3321" t="s">
        <v>11</v>
      </c>
      <c r="D3321" t="s">
        <v>41</v>
      </c>
      <c r="E3321" t="s">
        <v>27</v>
      </c>
      <c r="F3321" t="s">
        <v>20</v>
      </c>
      <c r="G3321" s="4">
        <v>8</v>
      </c>
      <c r="H3321" s="1">
        <v>33758</v>
      </c>
      <c r="I3321" s="3" t="s">
        <v>21</v>
      </c>
      <c r="J3321" s="4">
        <v>2</v>
      </c>
    </row>
    <row r="3322" spans="1:10" x14ac:dyDescent="0.35">
      <c r="A3322" s="2" t="s">
        <v>3358</v>
      </c>
      <c r="B3322" s="4">
        <v>27</v>
      </c>
      <c r="C3322" t="s">
        <v>17</v>
      </c>
      <c r="D3322" t="s">
        <v>18</v>
      </c>
      <c r="E3322" t="s">
        <v>27</v>
      </c>
      <c r="F3322" t="s">
        <v>14</v>
      </c>
      <c r="G3322" s="4">
        <v>15</v>
      </c>
      <c r="H3322" s="1">
        <v>33119</v>
      </c>
      <c r="I3322" s="3" t="s">
        <v>15</v>
      </c>
      <c r="J3322" s="4">
        <v>1</v>
      </c>
    </row>
    <row r="3323" spans="1:10" x14ac:dyDescent="0.35">
      <c r="A3323" s="2" t="s">
        <v>3359</v>
      </c>
      <c r="B3323" s="4">
        <v>40</v>
      </c>
      <c r="C3323" t="s">
        <v>17</v>
      </c>
      <c r="D3323" t="s">
        <v>28</v>
      </c>
      <c r="E3323" t="s">
        <v>42</v>
      </c>
      <c r="F3323" t="s">
        <v>20</v>
      </c>
      <c r="G3323" s="4">
        <v>1</v>
      </c>
      <c r="H3323" s="1">
        <v>55432</v>
      </c>
      <c r="I3323" s="3" t="s">
        <v>21</v>
      </c>
      <c r="J3323" s="4">
        <v>3</v>
      </c>
    </row>
    <row r="3324" spans="1:10" x14ac:dyDescent="0.35">
      <c r="A3324" s="2" t="s">
        <v>3360</v>
      </c>
      <c r="B3324" s="4">
        <v>71</v>
      </c>
      <c r="C3324" t="s">
        <v>17</v>
      </c>
      <c r="D3324" t="s">
        <v>36</v>
      </c>
      <c r="E3324" t="s">
        <v>34</v>
      </c>
      <c r="F3324" t="s">
        <v>30</v>
      </c>
      <c r="G3324" s="4">
        <v>3</v>
      </c>
      <c r="H3324" s="1">
        <v>75229</v>
      </c>
      <c r="I3324" s="3" t="s">
        <v>21</v>
      </c>
      <c r="J3324" s="4">
        <v>4</v>
      </c>
    </row>
    <row r="3325" spans="1:10" x14ac:dyDescent="0.35">
      <c r="A3325" s="2" t="s">
        <v>3361</v>
      </c>
      <c r="B3325" s="4">
        <v>16</v>
      </c>
      <c r="C3325" t="s">
        <v>17</v>
      </c>
      <c r="D3325" t="s">
        <v>36</v>
      </c>
      <c r="E3325" t="s">
        <v>24</v>
      </c>
      <c r="F3325" t="s">
        <v>14</v>
      </c>
      <c r="G3325" s="4">
        <v>11</v>
      </c>
      <c r="H3325" s="1">
        <v>84635</v>
      </c>
      <c r="I3325" s="3" t="s">
        <v>15</v>
      </c>
      <c r="J3325" s="4">
        <v>3</v>
      </c>
    </row>
    <row r="3326" spans="1:10" x14ac:dyDescent="0.35">
      <c r="A3326" s="2" t="s">
        <v>3362</v>
      </c>
      <c r="B3326" s="4">
        <v>6</v>
      </c>
      <c r="C3326" t="s">
        <v>17</v>
      </c>
      <c r="D3326" t="s">
        <v>26</v>
      </c>
      <c r="E3326" t="s">
        <v>65</v>
      </c>
      <c r="F3326" t="s">
        <v>14</v>
      </c>
      <c r="G3326" s="4">
        <v>15</v>
      </c>
      <c r="H3326" s="1">
        <v>54667</v>
      </c>
      <c r="I3326" s="3" t="s">
        <v>15</v>
      </c>
      <c r="J3326" s="4">
        <v>2</v>
      </c>
    </row>
    <row r="3327" spans="1:10" x14ac:dyDescent="0.35">
      <c r="A3327" s="2" t="s">
        <v>3363</v>
      </c>
      <c r="B3327" s="4">
        <v>43</v>
      </c>
      <c r="C3327" t="s">
        <v>17</v>
      </c>
      <c r="D3327" t="s">
        <v>18</v>
      </c>
      <c r="E3327" t="s">
        <v>19</v>
      </c>
      <c r="F3327" t="s">
        <v>14</v>
      </c>
      <c r="G3327" s="4">
        <v>15</v>
      </c>
      <c r="H3327" s="1">
        <v>9126</v>
      </c>
      <c r="I3327" s="3" t="s">
        <v>21</v>
      </c>
      <c r="J3327" s="4">
        <v>3</v>
      </c>
    </row>
    <row r="3328" spans="1:10" x14ac:dyDescent="0.35">
      <c r="A3328" s="2" t="s">
        <v>3364</v>
      </c>
      <c r="B3328" s="4">
        <v>67</v>
      </c>
      <c r="C3328" t="s">
        <v>17</v>
      </c>
      <c r="D3328" t="s">
        <v>49</v>
      </c>
      <c r="E3328" t="s">
        <v>27</v>
      </c>
      <c r="F3328" t="s">
        <v>20</v>
      </c>
      <c r="G3328" s="4">
        <v>1</v>
      </c>
      <c r="H3328" s="1">
        <v>69874</v>
      </c>
      <c r="I3328" s="3" t="s">
        <v>21</v>
      </c>
      <c r="J3328" s="4">
        <v>4</v>
      </c>
    </row>
    <row r="3329" spans="1:10" x14ac:dyDescent="0.35">
      <c r="A3329" s="2" t="s">
        <v>3365</v>
      </c>
      <c r="B3329" s="4">
        <v>66</v>
      </c>
      <c r="C3329" t="s">
        <v>11</v>
      </c>
      <c r="D3329" t="s">
        <v>18</v>
      </c>
      <c r="E3329" t="s">
        <v>42</v>
      </c>
      <c r="F3329" t="s">
        <v>30</v>
      </c>
      <c r="G3329" s="4">
        <v>2</v>
      </c>
      <c r="H3329" s="1">
        <v>70075</v>
      </c>
      <c r="I3329" s="3" t="s">
        <v>21</v>
      </c>
      <c r="J3329" s="4">
        <v>3</v>
      </c>
    </row>
    <row r="3330" spans="1:10" x14ac:dyDescent="0.35">
      <c r="A3330" s="2" t="s">
        <v>3366</v>
      </c>
      <c r="B3330" s="4">
        <v>79</v>
      </c>
      <c r="C3330" t="s">
        <v>11</v>
      </c>
      <c r="D3330" t="s">
        <v>36</v>
      </c>
      <c r="E3330" t="s">
        <v>13</v>
      </c>
      <c r="F3330" t="s">
        <v>14</v>
      </c>
      <c r="G3330" s="4">
        <v>4</v>
      </c>
      <c r="H3330" s="1">
        <v>20175</v>
      </c>
      <c r="I3330" s="3" t="s">
        <v>21</v>
      </c>
      <c r="J3330" s="4">
        <v>4</v>
      </c>
    </row>
    <row r="3331" spans="1:10" x14ac:dyDescent="0.35">
      <c r="A3331" s="2" t="s">
        <v>3367</v>
      </c>
      <c r="B3331" s="4">
        <v>10</v>
      </c>
      <c r="C3331" t="s">
        <v>17</v>
      </c>
      <c r="D3331" t="s">
        <v>28</v>
      </c>
      <c r="E3331" t="s">
        <v>37</v>
      </c>
      <c r="F3331" t="s">
        <v>20</v>
      </c>
      <c r="G3331" s="4">
        <v>9</v>
      </c>
      <c r="H3331" s="1">
        <v>70141</v>
      </c>
      <c r="I3331" s="3" t="s">
        <v>21</v>
      </c>
      <c r="J3331" s="4">
        <v>4</v>
      </c>
    </row>
    <row r="3332" spans="1:10" x14ac:dyDescent="0.35">
      <c r="A3332" s="2" t="s">
        <v>3368</v>
      </c>
      <c r="B3332" s="4">
        <v>12</v>
      </c>
      <c r="C3332" t="s">
        <v>17</v>
      </c>
      <c r="D3332" t="s">
        <v>41</v>
      </c>
      <c r="E3332" t="s">
        <v>34</v>
      </c>
      <c r="F3332" t="s">
        <v>20</v>
      </c>
      <c r="G3332" s="4">
        <v>10</v>
      </c>
      <c r="H3332" s="1">
        <v>75754</v>
      </c>
      <c r="I3332" s="3" t="s">
        <v>21</v>
      </c>
      <c r="J3332" s="4">
        <v>4</v>
      </c>
    </row>
    <row r="3333" spans="1:10" x14ac:dyDescent="0.35">
      <c r="A3333" s="2" t="s">
        <v>3369</v>
      </c>
      <c r="B3333" s="4">
        <v>23</v>
      </c>
      <c r="C3333" t="s">
        <v>17</v>
      </c>
      <c r="D3333" t="s">
        <v>41</v>
      </c>
      <c r="E3333" t="s">
        <v>27</v>
      </c>
      <c r="F3333" t="s">
        <v>14</v>
      </c>
      <c r="G3333" s="4">
        <v>10</v>
      </c>
      <c r="H3333" s="1">
        <v>6256</v>
      </c>
      <c r="I3333" s="3" t="s">
        <v>21</v>
      </c>
      <c r="J3333" s="4">
        <v>5</v>
      </c>
    </row>
    <row r="3334" spans="1:10" x14ac:dyDescent="0.35">
      <c r="A3334" s="2" t="s">
        <v>3370</v>
      </c>
      <c r="B3334" s="4">
        <v>67</v>
      </c>
      <c r="C3334" t="s">
        <v>17</v>
      </c>
      <c r="D3334" t="s">
        <v>33</v>
      </c>
      <c r="E3334" t="s">
        <v>19</v>
      </c>
      <c r="F3334" t="s">
        <v>14</v>
      </c>
      <c r="G3334" s="4">
        <v>2</v>
      </c>
      <c r="H3334" s="1">
        <v>73782</v>
      </c>
      <c r="I3334" s="3" t="s">
        <v>15</v>
      </c>
      <c r="J3334" s="4">
        <v>5</v>
      </c>
    </row>
    <row r="3335" spans="1:10" x14ac:dyDescent="0.35">
      <c r="A3335" s="2" t="s">
        <v>3371</v>
      </c>
      <c r="B3335" s="4">
        <v>80</v>
      </c>
      <c r="C3335" t="s">
        <v>11</v>
      </c>
      <c r="D3335" t="s">
        <v>26</v>
      </c>
      <c r="E3335" t="s">
        <v>24</v>
      </c>
      <c r="F3335" t="s">
        <v>20</v>
      </c>
      <c r="G3335" s="4">
        <v>2</v>
      </c>
      <c r="H3335" s="1">
        <v>43726</v>
      </c>
      <c r="I3335" s="3" t="s">
        <v>15</v>
      </c>
      <c r="J3335" s="4">
        <v>5</v>
      </c>
    </row>
    <row r="3336" spans="1:10" x14ac:dyDescent="0.35">
      <c r="A3336" s="2" t="s">
        <v>3372</v>
      </c>
      <c r="B3336" s="4">
        <v>32</v>
      </c>
      <c r="C3336" t="s">
        <v>17</v>
      </c>
      <c r="D3336" t="s">
        <v>26</v>
      </c>
      <c r="E3336" t="s">
        <v>27</v>
      </c>
      <c r="F3336" t="s">
        <v>20</v>
      </c>
      <c r="G3336" s="4">
        <v>8</v>
      </c>
      <c r="H3336" s="1">
        <v>37353</v>
      </c>
      <c r="I3336" s="3" t="s">
        <v>15</v>
      </c>
      <c r="J3336" s="4">
        <v>4</v>
      </c>
    </row>
    <row r="3337" spans="1:10" x14ac:dyDescent="0.35">
      <c r="A3337" s="2" t="s">
        <v>3373</v>
      </c>
      <c r="B3337" s="4">
        <v>86</v>
      </c>
      <c r="C3337" t="s">
        <v>11</v>
      </c>
      <c r="D3337" t="s">
        <v>33</v>
      </c>
      <c r="E3337" t="s">
        <v>27</v>
      </c>
      <c r="F3337" t="s">
        <v>20</v>
      </c>
      <c r="G3337" s="4">
        <v>11</v>
      </c>
      <c r="H3337" s="1">
        <v>70426</v>
      </c>
      <c r="I3337" s="3" t="s">
        <v>15</v>
      </c>
      <c r="J3337" s="4">
        <v>5</v>
      </c>
    </row>
    <row r="3338" spans="1:10" x14ac:dyDescent="0.35">
      <c r="A3338" s="2" t="s">
        <v>3374</v>
      </c>
      <c r="B3338" s="4">
        <v>50</v>
      </c>
      <c r="C3338" t="s">
        <v>11</v>
      </c>
      <c r="D3338" t="s">
        <v>26</v>
      </c>
      <c r="E3338" t="s">
        <v>27</v>
      </c>
      <c r="F3338" t="s">
        <v>30</v>
      </c>
      <c r="G3338" s="4">
        <v>8</v>
      </c>
      <c r="H3338" s="1">
        <v>69066</v>
      </c>
      <c r="I3338" s="3" t="s">
        <v>15</v>
      </c>
      <c r="J3338" s="4">
        <v>1</v>
      </c>
    </row>
    <row r="3339" spans="1:10" x14ac:dyDescent="0.35">
      <c r="A3339" s="2" t="s">
        <v>3375</v>
      </c>
      <c r="B3339" s="4">
        <v>77</v>
      </c>
      <c r="C3339" t="s">
        <v>11</v>
      </c>
      <c r="D3339" t="s">
        <v>26</v>
      </c>
      <c r="E3339" t="s">
        <v>24</v>
      </c>
      <c r="F3339" t="s">
        <v>14</v>
      </c>
      <c r="G3339" s="4">
        <v>13</v>
      </c>
      <c r="H3339" s="1">
        <v>36417</v>
      </c>
      <c r="I3339" s="3" t="s">
        <v>21</v>
      </c>
      <c r="J3339" s="4">
        <v>3</v>
      </c>
    </row>
    <row r="3340" spans="1:10" x14ac:dyDescent="0.35">
      <c r="A3340" s="2" t="s">
        <v>3376</v>
      </c>
      <c r="B3340" s="4">
        <v>26</v>
      </c>
      <c r="C3340" t="s">
        <v>11</v>
      </c>
      <c r="D3340" t="s">
        <v>18</v>
      </c>
      <c r="E3340" t="s">
        <v>24</v>
      </c>
      <c r="F3340" t="s">
        <v>20</v>
      </c>
      <c r="G3340" s="4">
        <v>1</v>
      </c>
      <c r="H3340" s="1">
        <v>23073</v>
      </c>
      <c r="I3340" s="3" t="s">
        <v>15</v>
      </c>
      <c r="J3340" s="4">
        <v>4</v>
      </c>
    </row>
    <row r="3341" spans="1:10" x14ac:dyDescent="0.35">
      <c r="A3341" s="2" t="s">
        <v>3377</v>
      </c>
      <c r="B3341" s="4">
        <v>20</v>
      </c>
      <c r="C3341" t="s">
        <v>17</v>
      </c>
      <c r="D3341" t="s">
        <v>39</v>
      </c>
      <c r="E3341" t="s">
        <v>34</v>
      </c>
      <c r="F3341" t="s">
        <v>20</v>
      </c>
      <c r="G3341" s="4">
        <v>12</v>
      </c>
      <c r="H3341" s="1">
        <v>17910</v>
      </c>
      <c r="I3341" s="3" t="s">
        <v>21</v>
      </c>
      <c r="J3341" s="4">
        <v>1</v>
      </c>
    </row>
    <row r="3342" spans="1:10" x14ac:dyDescent="0.35">
      <c r="A3342" s="2" t="s">
        <v>3378</v>
      </c>
      <c r="B3342" s="4">
        <v>79</v>
      </c>
      <c r="C3342" t="s">
        <v>17</v>
      </c>
      <c r="D3342" t="s">
        <v>12</v>
      </c>
      <c r="E3342" t="s">
        <v>42</v>
      </c>
      <c r="F3342" t="s">
        <v>20</v>
      </c>
      <c r="G3342" s="4">
        <v>2</v>
      </c>
      <c r="H3342" s="1">
        <v>46839</v>
      </c>
      <c r="I3342" s="3" t="s">
        <v>21</v>
      </c>
      <c r="J3342" s="4">
        <v>5</v>
      </c>
    </row>
    <row r="3343" spans="1:10" x14ac:dyDescent="0.35">
      <c r="A3343" s="2" t="s">
        <v>3379</v>
      </c>
      <c r="B3343" s="4">
        <v>22</v>
      </c>
      <c r="C3343" t="s">
        <v>17</v>
      </c>
      <c r="D3343" t="s">
        <v>18</v>
      </c>
      <c r="E3343" t="s">
        <v>37</v>
      </c>
      <c r="F3343" t="s">
        <v>30</v>
      </c>
      <c r="G3343" s="4">
        <v>4</v>
      </c>
      <c r="H3343" s="1">
        <v>69595</v>
      </c>
      <c r="I3343" s="3" t="s">
        <v>21</v>
      </c>
      <c r="J3343" s="4">
        <v>5</v>
      </c>
    </row>
    <row r="3344" spans="1:10" x14ac:dyDescent="0.35">
      <c r="A3344" s="2" t="s">
        <v>3380</v>
      </c>
      <c r="B3344" s="4">
        <v>29</v>
      </c>
      <c r="C3344" t="s">
        <v>11</v>
      </c>
      <c r="D3344" t="s">
        <v>28</v>
      </c>
      <c r="E3344" t="s">
        <v>27</v>
      </c>
      <c r="F3344" t="s">
        <v>14</v>
      </c>
      <c r="G3344" s="4">
        <v>1</v>
      </c>
      <c r="H3344" s="1">
        <v>30992</v>
      </c>
      <c r="I3344" s="3" t="s">
        <v>15</v>
      </c>
      <c r="J3344" s="4">
        <v>5</v>
      </c>
    </row>
    <row r="3345" spans="1:10" x14ac:dyDescent="0.35">
      <c r="A3345" s="2" t="s">
        <v>3381</v>
      </c>
      <c r="B3345" s="4">
        <v>20</v>
      </c>
      <c r="C3345" t="s">
        <v>17</v>
      </c>
      <c r="D3345" t="s">
        <v>12</v>
      </c>
      <c r="E3345" t="s">
        <v>42</v>
      </c>
      <c r="F3345" t="s">
        <v>14</v>
      </c>
      <c r="G3345" s="4">
        <v>15</v>
      </c>
      <c r="H3345" s="1">
        <v>57427</v>
      </c>
      <c r="I3345" s="3" t="s">
        <v>21</v>
      </c>
      <c r="J3345" s="4">
        <v>3</v>
      </c>
    </row>
    <row r="3346" spans="1:10" x14ac:dyDescent="0.35">
      <c r="A3346" s="2" t="s">
        <v>3382</v>
      </c>
      <c r="B3346" s="4">
        <v>16</v>
      </c>
      <c r="C3346" t="s">
        <v>11</v>
      </c>
      <c r="D3346" t="s">
        <v>28</v>
      </c>
      <c r="E3346" t="s">
        <v>42</v>
      </c>
      <c r="F3346" t="s">
        <v>20</v>
      </c>
      <c r="G3346" s="4">
        <v>13</v>
      </c>
      <c r="H3346" s="1">
        <v>68841</v>
      </c>
      <c r="I3346" s="3" t="s">
        <v>21</v>
      </c>
      <c r="J3346" s="4">
        <v>3</v>
      </c>
    </row>
    <row r="3347" spans="1:10" x14ac:dyDescent="0.35">
      <c r="A3347" s="2" t="s">
        <v>3383</v>
      </c>
      <c r="B3347" s="4">
        <v>86</v>
      </c>
      <c r="C3347" t="s">
        <v>17</v>
      </c>
      <c r="D3347" t="s">
        <v>49</v>
      </c>
      <c r="E3347" t="s">
        <v>27</v>
      </c>
      <c r="F3347" t="s">
        <v>20</v>
      </c>
      <c r="G3347" s="4">
        <v>4</v>
      </c>
      <c r="H3347" s="1">
        <v>46949</v>
      </c>
      <c r="I3347" s="3" t="s">
        <v>15</v>
      </c>
      <c r="J3347" s="4">
        <v>5</v>
      </c>
    </row>
    <row r="3348" spans="1:10" x14ac:dyDescent="0.35">
      <c r="A3348" s="2" t="s">
        <v>3384</v>
      </c>
      <c r="B3348" s="4">
        <v>64</v>
      </c>
      <c r="C3348" t="s">
        <v>11</v>
      </c>
      <c r="D3348" t="s">
        <v>18</v>
      </c>
      <c r="E3348" t="s">
        <v>24</v>
      </c>
      <c r="F3348" t="s">
        <v>30</v>
      </c>
      <c r="G3348" s="4">
        <v>13</v>
      </c>
      <c r="H3348" s="1">
        <v>63983</v>
      </c>
      <c r="I3348" s="3" t="s">
        <v>21</v>
      </c>
      <c r="J3348" s="4">
        <v>3</v>
      </c>
    </row>
    <row r="3349" spans="1:10" x14ac:dyDescent="0.35">
      <c r="A3349" s="2" t="s">
        <v>3385</v>
      </c>
      <c r="B3349" s="4">
        <v>17</v>
      </c>
      <c r="C3349" t="s">
        <v>17</v>
      </c>
      <c r="D3349" t="s">
        <v>28</v>
      </c>
      <c r="E3349" t="s">
        <v>34</v>
      </c>
      <c r="F3349" t="s">
        <v>30</v>
      </c>
      <c r="G3349" s="4">
        <v>1</v>
      </c>
      <c r="H3349" s="1">
        <v>42711</v>
      </c>
      <c r="I3349" s="3" t="s">
        <v>21</v>
      </c>
      <c r="J3349" s="4">
        <v>4</v>
      </c>
    </row>
    <row r="3350" spans="1:10" x14ac:dyDescent="0.35">
      <c r="A3350" s="2" t="s">
        <v>3386</v>
      </c>
      <c r="B3350" s="4">
        <v>62</v>
      </c>
      <c r="C3350" t="s">
        <v>11</v>
      </c>
      <c r="D3350" t="s">
        <v>39</v>
      </c>
      <c r="E3350" t="s">
        <v>42</v>
      </c>
      <c r="F3350" t="s">
        <v>30</v>
      </c>
      <c r="G3350" s="4">
        <v>13</v>
      </c>
      <c r="H3350" s="1">
        <v>17602</v>
      </c>
      <c r="I3350" s="3" t="s">
        <v>21</v>
      </c>
      <c r="J3350" s="4">
        <v>2</v>
      </c>
    </row>
    <row r="3351" spans="1:10" x14ac:dyDescent="0.35">
      <c r="A3351" s="2" t="s">
        <v>3387</v>
      </c>
      <c r="B3351" s="4">
        <v>43</v>
      </c>
      <c r="C3351" t="s">
        <v>11</v>
      </c>
      <c r="D3351" t="s">
        <v>18</v>
      </c>
      <c r="E3351" t="s">
        <v>42</v>
      </c>
      <c r="F3351" t="s">
        <v>14</v>
      </c>
      <c r="G3351" s="4">
        <v>7</v>
      </c>
      <c r="H3351" s="1">
        <v>39184</v>
      </c>
      <c r="I3351" s="3" t="s">
        <v>15</v>
      </c>
      <c r="J3351" s="4">
        <v>5</v>
      </c>
    </row>
    <row r="3352" spans="1:10" x14ac:dyDescent="0.35">
      <c r="A3352" s="2" t="s">
        <v>3388</v>
      </c>
      <c r="B3352" s="4">
        <v>11</v>
      </c>
      <c r="C3352" t="s">
        <v>17</v>
      </c>
      <c r="D3352" t="s">
        <v>23</v>
      </c>
      <c r="E3352" t="s">
        <v>65</v>
      </c>
      <c r="F3352" t="s">
        <v>30</v>
      </c>
      <c r="G3352" s="4">
        <v>8</v>
      </c>
      <c r="H3352" s="1">
        <v>16744</v>
      </c>
      <c r="I3352" s="3" t="s">
        <v>15</v>
      </c>
      <c r="J3352" s="4">
        <v>3</v>
      </c>
    </row>
    <row r="3353" spans="1:10" x14ac:dyDescent="0.35">
      <c r="A3353" s="2" t="s">
        <v>3389</v>
      </c>
      <c r="B3353" s="4">
        <v>87</v>
      </c>
      <c r="C3353" t="s">
        <v>17</v>
      </c>
      <c r="D3353" t="s">
        <v>18</v>
      </c>
      <c r="E3353" t="s">
        <v>37</v>
      </c>
      <c r="F3353" t="s">
        <v>20</v>
      </c>
      <c r="G3353" s="4">
        <v>4</v>
      </c>
      <c r="H3353" s="1">
        <v>51261</v>
      </c>
      <c r="I3353" s="3" t="s">
        <v>21</v>
      </c>
      <c r="J3353" s="4">
        <v>1</v>
      </c>
    </row>
    <row r="3354" spans="1:10" x14ac:dyDescent="0.35">
      <c r="A3354" s="2" t="s">
        <v>3390</v>
      </c>
      <c r="B3354" s="4">
        <v>33</v>
      </c>
      <c r="C3354" t="s">
        <v>11</v>
      </c>
      <c r="D3354" t="s">
        <v>49</v>
      </c>
      <c r="E3354" t="s">
        <v>29</v>
      </c>
      <c r="F3354" t="s">
        <v>14</v>
      </c>
      <c r="G3354" s="4">
        <v>11</v>
      </c>
      <c r="H3354" s="1">
        <v>83555</v>
      </c>
      <c r="I3354" s="3" t="s">
        <v>15</v>
      </c>
      <c r="J3354" s="4">
        <v>3</v>
      </c>
    </row>
    <row r="3355" spans="1:10" x14ac:dyDescent="0.35">
      <c r="A3355" s="2" t="s">
        <v>3391</v>
      </c>
      <c r="B3355" s="4">
        <v>38</v>
      </c>
      <c r="C3355" t="s">
        <v>11</v>
      </c>
      <c r="D3355" t="s">
        <v>39</v>
      </c>
      <c r="E3355" t="s">
        <v>37</v>
      </c>
      <c r="F3355" t="s">
        <v>14</v>
      </c>
      <c r="G3355" s="4">
        <v>7</v>
      </c>
      <c r="H3355" s="1">
        <v>30385</v>
      </c>
      <c r="I3355" s="3" t="s">
        <v>21</v>
      </c>
      <c r="J3355" s="4">
        <v>5</v>
      </c>
    </row>
    <row r="3356" spans="1:10" x14ac:dyDescent="0.35">
      <c r="A3356" s="2" t="s">
        <v>3392</v>
      </c>
      <c r="B3356" s="4">
        <v>82</v>
      </c>
      <c r="C3356" t="s">
        <v>11</v>
      </c>
      <c r="D3356" t="s">
        <v>26</v>
      </c>
      <c r="E3356" t="s">
        <v>42</v>
      </c>
      <c r="F3356" t="s">
        <v>20</v>
      </c>
      <c r="G3356" s="4">
        <v>12</v>
      </c>
      <c r="H3356" s="1">
        <v>22831</v>
      </c>
      <c r="I3356" s="3" t="s">
        <v>15</v>
      </c>
      <c r="J3356" s="4">
        <v>4</v>
      </c>
    </row>
    <row r="3357" spans="1:10" x14ac:dyDescent="0.35">
      <c r="A3357" s="2" t="s">
        <v>3393</v>
      </c>
      <c r="B3357" s="4">
        <v>73</v>
      </c>
      <c r="C3357" t="s">
        <v>11</v>
      </c>
      <c r="D3357" t="s">
        <v>26</v>
      </c>
      <c r="E3357" t="s">
        <v>53</v>
      </c>
      <c r="F3357" t="s">
        <v>14</v>
      </c>
      <c r="G3357" s="4">
        <v>8</v>
      </c>
      <c r="H3357" s="1">
        <v>16273</v>
      </c>
      <c r="I3357" s="3" t="s">
        <v>15</v>
      </c>
      <c r="J3357" s="4">
        <v>5</v>
      </c>
    </row>
    <row r="3358" spans="1:10" x14ac:dyDescent="0.35">
      <c r="A3358" s="2" t="s">
        <v>3394</v>
      </c>
      <c r="B3358" s="4">
        <v>14</v>
      </c>
      <c r="C3358" t="s">
        <v>11</v>
      </c>
      <c r="D3358" t="s">
        <v>12</v>
      </c>
      <c r="E3358" t="s">
        <v>13</v>
      </c>
      <c r="F3358" t="s">
        <v>20</v>
      </c>
      <c r="G3358" s="4">
        <v>5</v>
      </c>
      <c r="H3358" s="1">
        <v>9231</v>
      </c>
      <c r="I3358" s="3" t="s">
        <v>15</v>
      </c>
      <c r="J3358" s="4">
        <v>3</v>
      </c>
    </row>
    <row r="3359" spans="1:10" x14ac:dyDescent="0.35">
      <c r="A3359" s="2" t="s">
        <v>3395</v>
      </c>
      <c r="B3359" s="4">
        <v>6</v>
      </c>
      <c r="C3359" t="s">
        <v>11</v>
      </c>
      <c r="D3359" t="s">
        <v>26</v>
      </c>
      <c r="E3359" t="s">
        <v>24</v>
      </c>
      <c r="F3359" t="s">
        <v>20</v>
      </c>
      <c r="G3359" s="4">
        <v>7</v>
      </c>
      <c r="H3359" s="1">
        <v>90240</v>
      </c>
      <c r="I3359" s="3" t="s">
        <v>15</v>
      </c>
      <c r="J3359" s="4">
        <v>2</v>
      </c>
    </row>
    <row r="3360" spans="1:10" x14ac:dyDescent="0.35">
      <c r="A3360" s="2" t="s">
        <v>3396</v>
      </c>
      <c r="B3360" s="4">
        <v>85</v>
      </c>
      <c r="C3360" t="s">
        <v>11</v>
      </c>
      <c r="D3360" t="s">
        <v>41</v>
      </c>
      <c r="E3360" t="s">
        <v>27</v>
      </c>
      <c r="F3360" t="s">
        <v>20</v>
      </c>
      <c r="G3360" s="4">
        <v>2</v>
      </c>
      <c r="H3360" s="1">
        <v>69808</v>
      </c>
      <c r="I3360" s="3" t="s">
        <v>15</v>
      </c>
      <c r="J3360" s="4">
        <v>3</v>
      </c>
    </row>
    <row r="3361" spans="1:10" x14ac:dyDescent="0.35">
      <c r="A3361" s="2" t="s">
        <v>3397</v>
      </c>
      <c r="B3361" s="4">
        <v>34</v>
      </c>
      <c r="C3361" t="s">
        <v>17</v>
      </c>
      <c r="D3361" t="s">
        <v>49</v>
      </c>
      <c r="E3361" t="s">
        <v>34</v>
      </c>
      <c r="F3361" t="s">
        <v>20</v>
      </c>
      <c r="G3361" s="4">
        <v>11</v>
      </c>
      <c r="H3361" s="1">
        <v>83772</v>
      </c>
      <c r="I3361" s="3" t="s">
        <v>15</v>
      </c>
      <c r="J3361" s="4">
        <v>3</v>
      </c>
    </row>
    <row r="3362" spans="1:10" x14ac:dyDescent="0.35">
      <c r="A3362" s="2" t="s">
        <v>3398</v>
      </c>
      <c r="B3362" s="4">
        <v>24</v>
      </c>
      <c r="C3362" t="s">
        <v>17</v>
      </c>
      <c r="D3362" t="s">
        <v>28</v>
      </c>
      <c r="E3362" t="s">
        <v>13</v>
      </c>
      <c r="F3362" t="s">
        <v>30</v>
      </c>
      <c r="G3362" s="4">
        <v>9</v>
      </c>
      <c r="H3362" s="1">
        <v>89176</v>
      </c>
      <c r="I3362" s="3" t="s">
        <v>21</v>
      </c>
      <c r="J3362" s="4">
        <v>5</v>
      </c>
    </row>
    <row r="3363" spans="1:10" x14ac:dyDescent="0.35">
      <c r="A3363" s="2" t="s">
        <v>3399</v>
      </c>
      <c r="B3363" s="4">
        <v>37</v>
      </c>
      <c r="C3363" t="s">
        <v>11</v>
      </c>
      <c r="D3363" t="s">
        <v>26</v>
      </c>
      <c r="E3363" t="s">
        <v>13</v>
      </c>
      <c r="F3363" t="s">
        <v>20</v>
      </c>
      <c r="G3363" s="4">
        <v>11</v>
      </c>
      <c r="H3363" s="1">
        <v>36757</v>
      </c>
      <c r="I3363" s="3" t="s">
        <v>15</v>
      </c>
      <c r="J3363" s="4">
        <v>1</v>
      </c>
    </row>
    <row r="3364" spans="1:10" x14ac:dyDescent="0.35">
      <c r="A3364" s="2" t="s">
        <v>3400</v>
      </c>
      <c r="B3364" s="4">
        <v>16</v>
      </c>
      <c r="C3364" t="s">
        <v>17</v>
      </c>
      <c r="D3364" t="s">
        <v>49</v>
      </c>
      <c r="E3364" t="s">
        <v>42</v>
      </c>
      <c r="F3364" t="s">
        <v>14</v>
      </c>
      <c r="G3364" s="4">
        <v>12</v>
      </c>
      <c r="H3364" s="1">
        <v>13488</v>
      </c>
      <c r="I3364" s="3" t="s">
        <v>15</v>
      </c>
      <c r="J3364" s="4">
        <v>2</v>
      </c>
    </row>
    <row r="3365" spans="1:10" x14ac:dyDescent="0.35">
      <c r="A3365" s="2" t="s">
        <v>3401</v>
      </c>
      <c r="B3365" s="4">
        <v>74</v>
      </c>
      <c r="C3365" t="s">
        <v>11</v>
      </c>
      <c r="D3365" t="s">
        <v>26</v>
      </c>
      <c r="E3365" t="s">
        <v>13</v>
      </c>
      <c r="F3365" t="s">
        <v>14</v>
      </c>
      <c r="G3365" s="4">
        <v>5</v>
      </c>
      <c r="H3365" s="1">
        <v>80168</v>
      </c>
      <c r="I3365" s="3" t="s">
        <v>21</v>
      </c>
      <c r="J3365" s="4">
        <v>3</v>
      </c>
    </row>
    <row r="3366" spans="1:10" x14ac:dyDescent="0.35">
      <c r="A3366" s="2" t="s">
        <v>3402</v>
      </c>
      <c r="B3366" s="4">
        <v>46</v>
      </c>
      <c r="C3366" t="s">
        <v>11</v>
      </c>
      <c r="D3366" t="s">
        <v>28</v>
      </c>
      <c r="E3366" t="s">
        <v>29</v>
      </c>
      <c r="F3366" t="s">
        <v>14</v>
      </c>
      <c r="G3366" s="4">
        <v>2</v>
      </c>
      <c r="H3366" s="1">
        <v>57907</v>
      </c>
      <c r="I3366" s="3" t="s">
        <v>21</v>
      </c>
      <c r="J3366" s="4">
        <v>3</v>
      </c>
    </row>
    <row r="3367" spans="1:10" x14ac:dyDescent="0.35">
      <c r="A3367" s="2" t="s">
        <v>3403</v>
      </c>
      <c r="B3367" s="4">
        <v>51</v>
      </c>
      <c r="C3367" t="s">
        <v>11</v>
      </c>
      <c r="D3367" t="s">
        <v>12</v>
      </c>
      <c r="E3367" t="s">
        <v>19</v>
      </c>
      <c r="F3367" t="s">
        <v>30</v>
      </c>
      <c r="G3367" s="4">
        <v>15</v>
      </c>
      <c r="H3367" s="1">
        <v>37567</v>
      </c>
      <c r="I3367" s="3" t="s">
        <v>21</v>
      </c>
      <c r="J3367" s="4">
        <v>3</v>
      </c>
    </row>
    <row r="3368" spans="1:10" x14ac:dyDescent="0.35">
      <c r="A3368" s="2" t="s">
        <v>3404</v>
      </c>
      <c r="B3368" s="4">
        <v>52</v>
      </c>
      <c r="C3368" t="s">
        <v>17</v>
      </c>
      <c r="D3368" t="s">
        <v>18</v>
      </c>
      <c r="E3368" t="s">
        <v>19</v>
      </c>
      <c r="F3368" t="s">
        <v>30</v>
      </c>
      <c r="G3368" s="4">
        <v>4</v>
      </c>
      <c r="H3368" s="1">
        <v>79986</v>
      </c>
      <c r="I3368" s="3" t="s">
        <v>21</v>
      </c>
      <c r="J3368" s="4">
        <v>2</v>
      </c>
    </row>
    <row r="3369" spans="1:10" x14ac:dyDescent="0.35">
      <c r="A3369" s="2" t="s">
        <v>3405</v>
      </c>
      <c r="B3369" s="4">
        <v>78</v>
      </c>
      <c r="C3369" t="s">
        <v>17</v>
      </c>
      <c r="D3369" t="s">
        <v>23</v>
      </c>
      <c r="E3369" t="s">
        <v>34</v>
      </c>
      <c r="F3369" t="s">
        <v>20</v>
      </c>
      <c r="G3369" s="4">
        <v>8</v>
      </c>
      <c r="H3369" s="1">
        <v>32838</v>
      </c>
      <c r="I3369" s="3" t="s">
        <v>15</v>
      </c>
      <c r="J3369" s="4">
        <v>3</v>
      </c>
    </row>
    <row r="3370" spans="1:10" x14ac:dyDescent="0.35">
      <c r="A3370" s="2" t="s">
        <v>3406</v>
      </c>
      <c r="B3370" s="4">
        <v>2</v>
      </c>
      <c r="C3370" t="s">
        <v>17</v>
      </c>
      <c r="D3370" t="s">
        <v>33</v>
      </c>
      <c r="E3370" t="s">
        <v>65</v>
      </c>
      <c r="F3370" t="s">
        <v>20</v>
      </c>
      <c r="G3370" s="4">
        <v>5</v>
      </c>
      <c r="H3370" s="1">
        <v>26963</v>
      </c>
      <c r="I3370" s="3" t="s">
        <v>21</v>
      </c>
      <c r="J3370" s="4">
        <v>4</v>
      </c>
    </row>
    <row r="3371" spans="1:10" x14ac:dyDescent="0.35">
      <c r="A3371" s="2" t="s">
        <v>3407</v>
      </c>
      <c r="B3371" s="4">
        <v>43</v>
      </c>
      <c r="C3371" t="s">
        <v>11</v>
      </c>
      <c r="D3371" t="s">
        <v>39</v>
      </c>
      <c r="E3371" t="s">
        <v>34</v>
      </c>
      <c r="F3371" t="s">
        <v>20</v>
      </c>
      <c r="G3371" s="4">
        <v>14</v>
      </c>
      <c r="H3371" s="1">
        <v>70108</v>
      </c>
      <c r="I3371" s="3" t="s">
        <v>21</v>
      </c>
      <c r="J3371" s="4">
        <v>5</v>
      </c>
    </row>
    <row r="3372" spans="1:10" x14ac:dyDescent="0.35">
      <c r="A3372" s="2" t="s">
        <v>3408</v>
      </c>
      <c r="B3372" s="4">
        <v>27</v>
      </c>
      <c r="C3372" t="s">
        <v>17</v>
      </c>
      <c r="D3372" t="s">
        <v>26</v>
      </c>
      <c r="E3372" t="s">
        <v>19</v>
      </c>
      <c r="F3372" t="s">
        <v>20</v>
      </c>
      <c r="G3372" s="4">
        <v>15</v>
      </c>
      <c r="H3372" s="1">
        <v>69621</v>
      </c>
      <c r="I3372" s="3" t="s">
        <v>15</v>
      </c>
      <c r="J3372" s="4">
        <v>1</v>
      </c>
    </row>
    <row r="3373" spans="1:10" x14ac:dyDescent="0.35">
      <c r="A3373" s="2" t="s">
        <v>3409</v>
      </c>
      <c r="B3373" s="4">
        <v>83</v>
      </c>
      <c r="C3373" t="s">
        <v>11</v>
      </c>
      <c r="D3373" t="s">
        <v>12</v>
      </c>
      <c r="E3373" t="s">
        <v>19</v>
      </c>
      <c r="F3373" t="s">
        <v>30</v>
      </c>
      <c r="G3373" s="4">
        <v>10</v>
      </c>
      <c r="H3373" s="1">
        <v>87821</v>
      </c>
      <c r="I3373" s="3" t="s">
        <v>21</v>
      </c>
      <c r="J3373" s="4">
        <v>1</v>
      </c>
    </row>
    <row r="3374" spans="1:10" x14ac:dyDescent="0.35">
      <c r="A3374" s="2" t="s">
        <v>3410</v>
      </c>
      <c r="B3374" s="4">
        <v>32</v>
      </c>
      <c r="C3374" t="s">
        <v>11</v>
      </c>
      <c r="D3374" t="s">
        <v>26</v>
      </c>
      <c r="E3374" t="s">
        <v>13</v>
      </c>
      <c r="F3374" t="s">
        <v>20</v>
      </c>
      <c r="G3374" s="4">
        <v>13</v>
      </c>
      <c r="H3374" s="1">
        <v>12919</v>
      </c>
      <c r="I3374" s="3" t="s">
        <v>21</v>
      </c>
      <c r="J3374" s="4">
        <v>3</v>
      </c>
    </row>
    <row r="3375" spans="1:10" x14ac:dyDescent="0.35">
      <c r="A3375" s="2" t="s">
        <v>3411</v>
      </c>
      <c r="B3375" s="4">
        <v>67</v>
      </c>
      <c r="C3375" t="s">
        <v>11</v>
      </c>
      <c r="D3375" t="s">
        <v>49</v>
      </c>
      <c r="E3375" t="s">
        <v>65</v>
      </c>
      <c r="F3375" t="s">
        <v>30</v>
      </c>
      <c r="G3375" s="4">
        <v>15</v>
      </c>
      <c r="H3375" s="1">
        <v>63103</v>
      </c>
      <c r="I3375" s="3" t="s">
        <v>15</v>
      </c>
      <c r="J3375" s="4">
        <v>4</v>
      </c>
    </row>
    <row r="3376" spans="1:10" x14ac:dyDescent="0.35">
      <c r="A3376" s="2" t="s">
        <v>3412</v>
      </c>
      <c r="B3376" s="4">
        <v>9</v>
      </c>
      <c r="C3376" t="s">
        <v>17</v>
      </c>
      <c r="D3376" t="s">
        <v>39</v>
      </c>
      <c r="E3376" t="s">
        <v>42</v>
      </c>
      <c r="F3376" t="s">
        <v>30</v>
      </c>
      <c r="G3376" s="4">
        <v>5</v>
      </c>
      <c r="H3376" s="1">
        <v>77696</v>
      </c>
      <c r="I3376" s="3" t="s">
        <v>21</v>
      </c>
      <c r="J3376" s="4">
        <v>2</v>
      </c>
    </row>
    <row r="3377" spans="1:10" x14ac:dyDescent="0.35">
      <c r="A3377" s="2" t="s">
        <v>3413</v>
      </c>
      <c r="B3377" s="4">
        <v>24</v>
      </c>
      <c r="C3377" t="s">
        <v>17</v>
      </c>
      <c r="D3377" t="s">
        <v>49</v>
      </c>
      <c r="E3377" t="s">
        <v>34</v>
      </c>
      <c r="F3377" t="s">
        <v>30</v>
      </c>
      <c r="G3377" s="4">
        <v>13</v>
      </c>
      <c r="H3377" s="1">
        <v>68162</v>
      </c>
      <c r="I3377" s="3" t="s">
        <v>15</v>
      </c>
      <c r="J3377" s="4">
        <v>2</v>
      </c>
    </row>
    <row r="3378" spans="1:10" x14ac:dyDescent="0.35">
      <c r="A3378" s="2" t="s">
        <v>3414</v>
      </c>
      <c r="B3378" s="4">
        <v>4</v>
      </c>
      <c r="C3378" t="s">
        <v>11</v>
      </c>
      <c r="D3378" t="s">
        <v>18</v>
      </c>
      <c r="E3378" t="s">
        <v>53</v>
      </c>
      <c r="F3378" t="s">
        <v>14</v>
      </c>
      <c r="G3378" s="4">
        <v>2</v>
      </c>
      <c r="H3378" s="1">
        <v>77787</v>
      </c>
      <c r="I3378" s="3" t="s">
        <v>15</v>
      </c>
      <c r="J3378" s="4">
        <v>3</v>
      </c>
    </row>
    <row r="3379" spans="1:10" x14ac:dyDescent="0.35">
      <c r="A3379" s="2" t="s">
        <v>3415</v>
      </c>
      <c r="B3379" s="4">
        <v>26</v>
      </c>
      <c r="C3379" t="s">
        <v>11</v>
      </c>
      <c r="D3379" t="s">
        <v>39</v>
      </c>
      <c r="E3379" t="s">
        <v>53</v>
      </c>
      <c r="F3379" t="s">
        <v>14</v>
      </c>
      <c r="G3379" s="4">
        <v>15</v>
      </c>
      <c r="H3379" s="1">
        <v>18155</v>
      </c>
      <c r="I3379" s="3" t="s">
        <v>21</v>
      </c>
      <c r="J3379" s="4">
        <v>2</v>
      </c>
    </row>
    <row r="3380" spans="1:10" x14ac:dyDescent="0.35">
      <c r="A3380" s="2" t="s">
        <v>3416</v>
      </c>
      <c r="B3380" s="4">
        <v>39</v>
      </c>
      <c r="C3380" t="s">
        <v>17</v>
      </c>
      <c r="D3380" t="s">
        <v>41</v>
      </c>
      <c r="E3380" t="s">
        <v>34</v>
      </c>
      <c r="F3380" t="s">
        <v>14</v>
      </c>
      <c r="G3380" s="4">
        <v>10</v>
      </c>
      <c r="H3380" s="1">
        <v>50323</v>
      </c>
      <c r="I3380" s="3" t="s">
        <v>15</v>
      </c>
      <c r="J3380" s="4">
        <v>4</v>
      </c>
    </row>
    <row r="3381" spans="1:10" x14ac:dyDescent="0.35">
      <c r="A3381" s="2" t="s">
        <v>3417</v>
      </c>
      <c r="B3381" s="4">
        <v>13</v>
      </c>
      <c r="C3381" t="s">
        <v>11</v>
      </c>
      <c r="D3381" t="s">
        <v>33</v>
      </c>
      <c r="E3381" t="s">
        <v>65</v>
      </c>
      <c r="F3381" t="s">
        <v>14</v>
      </c>
      <c r="G3381" s="4">
        <v>4</v>
      </c>
      <c r="H3381" s="1">
        <v>58688</v>
      </c>
      <c r="I3381" s="3" t="s">
        <v>21</v>
      </c>
      <c r="J3381" s="4">
        <v>1</v>
      </c>
    </row>
    <row r="3382" spans="1:10" x14ac:dyDescent="0.35">
      <c r="A3382" s="2" t="s">
        <v>3418</v>
      </c>
      <c r="B3382" s="4">
        <v>66</v>
      </c>
      <c r="C3382" t="s">
        <v>11</v>
      </c>
      <c r="D3382" t="s">
        <v>41</v>
      </c>
      <c r="E3382" t="s">
        <v>13</v>
      </c>
      <c r="F3382" t="s">
        <v>30</v>
      </c>
      <c r="G3382" s="4">
        <v>10</v>
      </c>
      <c r="H3382" s="1">
        <v>71586</v>
      </c>
      <c r="I3382" s="3" t="s">
        <v>15</v>
      </c>
      <c r="J3382" s="4">
        <v>1</v>
      </c>
    </row>
    <row r="3383" spans="1:10" x14ac:dyDescent="0.35">
      <c r="A3383" s="2" t="s">
        <v>3419</v>
      </c>
      <c r="B3383" s="4">
        <v>8</v>
      </c>
      <c r="C3383" t="s">
        <v>17</v>
      </c>
      <c r="D3383" t="s">
        <v>49</v>
      </c>
      <c r="E3383" t="s">
        <v>24</v>
      </c>
      <c r="F3383" t="s">
        <v>30</v>
      </c>
      <c r="G3383" s="4">
        <v>12</v>
      </c>
      <c r="H3383" s="1">
        <v>11719</v>
      </c>
      <c r="I3383" s="3" t="s">
        <v>15</v>
      </c>
      <c r="J3383" s="4">
        <v>4</v>
      </c>
    </row>
    <row r="3384" spans="1:10" x14ac:dyDescent="0.35">
      <c r="A3384" s="2" t="s">
        <v>3420</v>
      </c>
      <c r="B3384" s="4">
        <v>6</v>
      </c>
      <c r="C3384" t="s">
        <v>17</v>
      </c>
      <c r="D3384" t="s">
        <v>12</v>
      </c>
      <c r="E3384" t="s">
        <v>42</v>
      </c>
      <c r="F3384" t="s">
        <v>30</v>
      </c>
      <c r="G3384" s="4">
        <v>4</v>
      </c>
      <c r="H3384" s="1">
        <v>59740</v>
      </c>
      <c r="I3384" s="3" t="s">
        <v>21</v>
      </c>
      <c r="J3384" s="4">
        <v>4</v>
      </c>
    </row>
    <row r="3385" spans="1:10" x14ac:dyDescent="0.35">
      <c r="A3385" s="2" t="s">
        <v>3421</v>
      </c>
      <c r="B3385" s="4">
        <v>17</v>
      </c>
      <c r="C3385" t="s">
        <v>17</v>
      </c>
      <c r="D3385" t="s">
        <v>26</v>
      </c>
      <c r="E3385" t="s">
        <v>19</v>
      </c>
      <c r="F3385" t="s">
        <v>30</v>
      </c>
      <c r="G3385" s="4">
        <v>12</v>
      </c>
      <c r="H3385" s="1">
        <v>94505</v>
      </c>
      <c r="I3385" s="3" t="s">
        <v>21</v>
      </c>
      <c r="J3385" s="4">
        <v>3</v>
      </c>
    </row>
    <row r="3386" spans="1:10" x14ac:dyDescent="0.35">
      <c r="A3386" s="2" t="s">
        <v>3422</v>
      </c>
      <c r="B3386" s="4">
        <v>12</v>
      </c>
      <c r="C3386" t="s">
        <v>17</v>
      </c>
      <c r="D3386" t="s">
        <v>12</v>
      </c>
      <c r="E3386" t="s">
        <v>65</v>
      </c>
      <c r="F3386" t="s">
        <v>20</v>
      </c>
      <c r="G3386" s="4">
        <v>9</v>
      </c>
      <c r="H3386" s="1">
        <v>35293</v>
      </c>
      <c r="I3386" s="3" t="s">
        <v>15</v>
      </c>
      <c r="J3386" s="4">
        <v>1</v>
      </c>
    </row>
    <row r="3387" spans="1:10" x14ac:dyDescent="0.35">
      <c r="A3387" s="2" t="s">
        <v>3423</v>
      </c>
      <c r="B3387" s="4">
        <v>84</v>
      </c>
      <c r="C3387" t="s">
        <v>11</v>
      </c>
      <c r="D3387" t="s">
        <v>28</v>
      </c>
      <c r="E3387" t="s">
        <v>53</v>
      </c>
      <c r="F3387" t="s">
        <v>30</v>
      </c>
      <c r="G3387" s="4">
        <v>14</v>
      </c>
      <c r="H3387" s="1">
        <v>14365</v>
      </c>
      <c r="I3387" s="3" t="s">
        <v>15</v>
      </c>
      <c r="J3387" s="4">
        <v>2</v>
      </c>
    </row>
    <row r="3388" spans="1:10" x14ac:dyDescent="0.35">
      <c r="A3388" s="2" t="s">
        <v>3424</v>
      </c>
      <c r="B3388" s="4">
        <v>86</v>
      </c>
      <c r="C3388" t="s">
        <v>17</v>
      </c>
      <c r="D3388" t="s">
        <v>26</v>
      </c>
      <c r="E3388" t="s">
        <v>29</v>
      </c>
      <c r="F3388" t="s">
        <v>30</v>
      </c>
      <c r="G3388" s="4">
        <v>8</v>
      </c>
      <c r="H3388" s="1">
        <v>61359</v>
      </c>
      <c r="I3388" s="3" t="s">
        <v>21</v>
      </c>
      <c r="J3388" s="4">
        <v>3</v>
      </c>
    </row>
    <row r="3389" spans="1:10" x14ac:dyDescent="0.35">
      <c r="A3389" s="2" t="s">
        <v>3425</v>
      </c>
      <c r="B3389" s="4">
        <v>49</v>
      </c>
      <c r="C3389" t="s">
        <v>11</v>
      </c>
      <c r="D3389" t="s">
        <v>12</v>
      </c>
      <c r="E3389" t="s">
        <v>42</v>
      </c>
      <c r="F3389" t="s">
        <v>30</v>
      </c>
      <c r="G3389" s="4">
        <v>4</v>
      </c>
      <c r="H3389" s="1">
        <v>19745</v>
      </c>
      <c r="I3389" s="3" t="s">
        <v>21</v>
      </c>
      <c r="J3389" s="4">
        <v>2</v>
      </c>
    </row>
    <row r="3390" spans="1:10" x14ac:dyDescent="0.35">
      <c r="A3390" s="2" t="s">
        <v>3426</v>
      </c>
      <c r="B3390" s="4">
        <v>3</v>
      </c>
      <c r="C3390" t="s">
        <v>11</v>
      </c>
      <c r="D3390" t="s">
        <v>33</v>
      </c>
      <c r="E3390" t="s">
        <v>65</v>
      </c>
      <c r="F3390" t="s">
        <v>14</v>
      </c>
      <c r="G3390" s="4">
        <v>10</v>
      </c>
      <c r="H3390" s="1">
        <v>14706</v>
      </c>
      <c r="I3390" s="3" t="s">
        <v>21</v>
      </c>
      <c r="J3390" s="4">
        <v>1</v>
      </c>
    </row>
    <row r="3391" spans="1:10" x14ac:dyDescent="0.35">
      <c r="A3391" s="2" t="s">
        <v>3427</v>
      </c>
      <c r="B3391" s="4">
        <v>86</v>
      </c>
      <c r="C3391" t="s">
        <v>11</v>
      </c>
      <c r="D3391" t="s">
        <v>33</v>
      </c>
      <c r="E3391" t="s">
        <v>42</v>
      </c>
      <c r="F3391" t="s">
        <v>30</v>
      </c>
      <c r="G3391" s="4">
        <v>9</v>
      </c>
      <c r="H3391" s="1">
        <v>9592</v>
      </c>
      <c r="I3391" s="3" t="s">
        <v>21</v>
      </c>
      <c r="J3391" s="4">
        <v>2</v>
      </c>
    </row>
    <row r="3392" spans="1:10" x14ac:dyDescent="0.35">
      <c r="A3392" s="2" t="s">
        <v>3428</v>
      </c>
      <c r="B3392" s="4">
        <v>10</v>
      </c>
      <c r="C3392" t="s">
        <v>17</v>
      </c>
      <c r="D3392" t="s">
        <v>36</v>
      </c>
      <c r="E3392" t="s">
        <v>13</v>
      </c>
      <c r="F3392" t="s">
        <v>30</v>
      </c>
      <c r="G3392" s="4">
        <v>8</v>
      </c>
      <c r="H3392" s="1">
        <v>63539</v>
      </c>
      <c r="I3392" s="3" t="s">
        <v>15</v>
      </c>
      <c r="J3392" s="4">
        <v>3</v>
      </c>
    </row>
    <row r="3393" spans="1:10" x14ac:dyDescent="0.35">
      <c r="A3393" s="2" t="s">
        <v>3429</v>
      </c>
      <c r="B3393" s="4">
        <v>61</v>
      </c>
      <c r="C3393" t="s">
        <v>11</v>
      </c>
      <c r="D3393" t="s">
        <v>26</v>
      </c>
      <c r="E3393" t="s">
        <v>53</v>
      </c>
      <c r="F3393" t="s">
        <v>20</v>
      </c>
      <c r="G3393" s="4">
        <v>5</v>
      </c>
      <c r="H3393" s="1">
        <v>42067</v>
      </c>
      <c r="I3393" s="3" t="s">
        <v>21</v>
      </c>
      <c r="J3393" s="4">
        <v>2</v>
      </c>
    </row>
    <row r="3394" spans="1:10" x14ac:dyDescent="0.35">
      <c r="A3394" s="2" t="s">
        <v>3430</v>
      </c>
      <c r="B3394" s="4">
        <v>12</v>
      </c>
      <c r="C3394" t="s">
        <v>17</v>
      </c>
      <c r="D3394" t="s">
        <v>39</v>
      </c>
      <c r="E3394" t="s">
        <v>53</v>
      </c>
      <c r="F3394" t="s">
        <v>20</v>
      </c>
      <c r="G3394" s="4">
        <v>15</v>
      </c>
      <c r="H3394" s="1">
        <v>41478</v>
      </c>
      <c r="I3394" s="3" t="s">
        <v>15</v>
      </c>
      <c r="J3394" s="4">
        <v>3</v>
      </c>
    </row>
    <row r="3395" spans="1:10" x14ac:dyDescent="0.35">
      <c r="A3395" s="2" t="s">
        <v>3431</v>
      </c>
      <c r="B3395" s="4">
        <v>40</v>
      </c>
      <c r="C3395" t="s">
        <v>17</v>
      </c>
      <c r="D3395" t="s">
        <v>41</v>
      </c>
      <c r="E3395" t="s">
        <v>24</v>
      </c>
      <c r="F3395" t="s">
        <v>30</v>
      </c>
      <c r="G3395" s="4">
        <v>10</v>
      </c>
      <c r="H3395" s="1">
        <v>73219</v>
      </c>
      <c r="I3395" s="3" t="s">
        <v>15</v>
      </c>
      <c r="J3395" s="4">
        <v>5</v>
      </c>
    </row>
    <row r="3396" spans="1:10" x14ac:dyDescent="0.35">
      <c r="A3396" s="2" t="s">
        <v>3432</v>
      </c>
      <c r="B3396" s="4">
        <v>61</v>
      </c>
      <c r="C3396" t="s">
        <v>11</v>
      </c>
      <c r="D3396" t="s">
        <v>12</v>
      </c>
      <c r="E3396" t="s">
        <v>19</v>
      </c>
      <c r="F3396" t="s">
        <v>14</v>
      </c>
      <c r="G3396" s="4">
        <v>3</v>
      </c>
      <c r="H3396" s="1">
        <v>62791</v>
      </c>
      <c r="I3396" s="3" t="s">
        <v>15</v>
      </c>
      <c r="J3396" s="4">
        <v>5</v>
      </c>
    </row>
    <row r="3397" spans="1:10" x14ac:dyDescent="0.35">
      <c r="A3397" s="2" t="s">
        <v>3433</v>
      </c>
      <c r="B3397" s="4">
        <v>79</v>
      </c>
      <c r="C3397" t="s">
        <v>17</v>
      </c>
      <c r="D3397" t="s">
        <v>36</v>
      </c>
      <c r="E3397" t="s">
        <v>34</v>
      </c>
      <c r="F3397" t="s">
        <v>14</v>
      </c>
      <c r="G3397" s="4">
        <v>11</v>
      </c>
      <c r="H3397" s="1">
        <v>84452</v>
      </c>
      <c r="I3397" s="3" t="s">
        <v>15</v>
      </c>
      <c r="J3397" s="4">
        <v>1</v>
      </c>
    </row>
    <row r="3398" spans="1:10" x14ac:dyDescent="0.35">
      <c r="A3398" s="2" t="s">
        <v>3434</v>
      </c>
      <c r="B3398" s="4">
        <v>33</v>
      </c>
      <c r="C3398" t="s">
        <v>11</v>
      </c>
      <c r="D3398" t="s">
        <v>33</v>
      </c>
      <c r="E3398" t="s">
        <v>65</v>
      </c>
      <c r="F3398" t="s">
        <v>30</v>
      </c>
      <c r="G3398" s="4">
        <v>10</v>
      </c>
      <c r="H3398" s="1">
        <v>69411</v>
      </c>
      <c r="I3398" s="3" t="s">
        <v>21</v>
      </c>
      <c r="J3398" s="4">
        <v>4</v>
      </c>
    </row>
    <row r="3399" spans="1:10" x14ac:dyDescent="0.35">
      <c r="A3399" s="2" t="s">
        <v>3435</v>
      </c>
      <c r="B3399" s="4">
        <v>12</v>
      </c>
      <c r="C3399" t="s">
        <v>17</v>
      </c>
      <c r="D3399" t="s">
        <v>49</v>
      </c>
      <c r="E3399" t="s">
        <v>65</v>
      </c>
      <c r="F3399" t="s">
        <v>14</v>
      </c>
      <c r="G3399" s="4">
        <v>2</v>
      </c>
      <c r="H3399" s="1">
        <v>34318</v>
      </c>
      <c r="I3399" s="3" t="s">
        <v>21</v>
      </c>
      <c r="J3399" s="4">
        <v>4</v>
      </c>
    </row>
    <row r="3400" spans="1:10" x14ac:dyDescent="0.35">
      <c r="A3400" s="2" t="s">
        <v>3436</v>
      </c>
      <c r="B3400" s="4">
        <v>61</v>
      </c>
      <c r="C3400" t="s">
        <v>17</v>
      </c>
      <c r="D3400" t="s">
        <v>33</v>
      </c>
      <c r="E3400" t="s">
        <v>13</v>
      </c>
      <c r="F3400" t="s">
        <v>14</v>
      </c>
      <c r="G3400" s="4">
        <v>8</v>
      </c>
      <c r="H3400" s="1">
        <v>83247</v>
      </c>
      <c r="I3400" s="3" t="s">
        <v>21</v>
      </c>
      <c r="J3400" s="4">
        <v>3</v>
      </c>
    </row>
    <row r="3401" spans="1:10" x14ac:dyDescent="0.35">
      <c r="A3401" s="2" t="s">
        <v>3437</v>
      </c>
      <c r="B3401" s="4">
        <v>46</v>
      </c>
      <c r="C3401" t="s">
        <v>11</v>
      </c>
      <c r="D3401" t="s">
        <v>28</v>
      </c>
      <c r="E3401" t="s">
        <v>24</v>
      </c>
      <c r="F3401" t="s">
        <v>20</v>
      </c>
      <c r="G3401" s="4">
        <v>12</v>
      </c>
      <c r="H3401" s="1">
        <v>86658</v>
      </c>
      <c r="I3401" s="3" t="s">
        <v>21</v>
      </c>
      <c r="J3401" s="4">
        <v>1</v>
      </c>
    </row>
    <row r="3402" spans="1:10" x14ac:dyDescent="0.35">
      <c r="A3402" s="2" t="s">
        <v>3438</v>
      </c>
      <c r="B3402" s="4">
        <v>80</v>
      </c>
      <c r="C3402" t="s">
        <v>11</v>
      </c>
      <c r="D3402" t="s">
        <v>39</v>
      </c>
      <c r="E3402" t="s">
        <v>29</v>
      </c>
      <c r="F3402" t="s">
        <v>14</v>
      </c>
      <c r="G3402" s="4">
        <v>6</v>
      </c>
      <c r="H3402" s="1">
        <v>89840</v>
      </c>
      <c r="I3402" s="3" t="s">
        <v>15</v>
      </c>
      <c r="J3402" s="4">
        <v>4</v>
      </c>
    </row>
    <row r="3403" spans="1:10" x14ac:dyDescent="0.35">
      <c r="A3403" s="2" t="s">
        <v>3439</v>
      </c>
      <c r="B3403" s="4">
        <v>70</v>
      </c>
      <c r="C3403" t="s">
        <v>11</v>
      </c>
      <c r="D3403" t="s">
        <v>41</v>
      </c>
      <c r="E3403" t="s">
        <v>53</v>
      </c>
      <c r="F3403" t="s">
        <v>20</v>
      </c>
      <c r="G3403" s="4">
        <v>7</v>
      </c>
      <c r="H3403" s="1">
        <v>25490</v>
      </c>
      <c r="I3403" s="3" t="s">
        <v>15</v>
      </c>
      <c r="J3403" s="4">
        <v>3</v>
      </c>
    </row>
    <row r="3404" spans="1:10" x14ac:dyDescent="0.35">
      <c r="A3404" s="2" t="s">
        <v>3440</v>
      </c>
      <c r="B3404" s="4">
        <v>6</v>
      </c>
      <c r="C3404" t="s">
        <v>17</v>
      </c>
      <c r="D3404" t="s">
        <v>18</v>
      </c>
      <c r="E3404" t="s">
        <v>42</v>
      </c>
      <c r="F3404" t="s">
        <v>30</v>
      </c>
      <c r="G3404" s="4">
        <v>9</v>
      </c>
      <c r="H3404" s="1">
        <v>79466</v>
      </c>
      <c r="I3404" s="3" t="s">
        <v>21</v>
      </c>
      <c r="J3404" s="4">
        <v>5</v>
      </c>
    </row>
    <row r="3405" spans="1:10" x14ac:dyDescent="0.35">
      <c r="A3405" s="2" t="s">
        <v>3441</v>
      </c>
      <c r="B3405" s="4">
        <v>24</v>
      </c>
      <c r="C3405" t="s">
        <v>17</v>
      </c>
      <c r="D3405" t="s">
        <v>28</v>
      </c>
      <c r="E3405" t="s">
        <v>37</v>
      </c>
      <c r="F3405" t="s">
        <v>20</v>
      </c>
      <c r="G3405" s="4">
        <v>8</v>
      </c>
      <c r="H3405" s="1">
        <v>34825</v>
      </c>
      <c r="I3405" s="3" t="s">
        <v>15</v>
      </c>
      <c r="J3405" s="4">
        <v>1</v>
      </c>
    </row>
    <row r="3406" spans="1:10" x14ac:dyDescent="0.35">
      <c r="A3406" s="2" t="s">
        <v>3442</v>
      </c>
      <c r="B3406" s="4">
        <v>88</v>
      </c>
      <c r="C3406" t="s">
        <v>17</v>
      </c>
      <c r="D3406" t="s">
        <v>39</v>
      </c>
      <c r="E3406" t="s">
        <v>27</v>
      </c>
      <c r="F3406" t="s">
        <v>30</v>
      </c>
      <c r="G3406" s="4">
        <v>8</v>
      </c>
      <c r="H3406" s="1">
        <v>16366</v>
      </c>
      <c r="I3406" s="3" t="s">
        <v>15</v>
      </c>
      <c r="J3406" s="4">
        <v>1</v>
      </c>
    </row>
    <row r="3407" spans="1:10" x14ac:dyDescent="0.35">
      <c r="A3407" s="2" t="s">
        <v>3443</v>
      </c>
      <c r="B3407" s="4">
        <v>71</v>
      </c>
      <c r="C3407" t="s">
        <v>11</v>
      </c>
      <c r="D3407" t="s">
        <v>39</v>
      </c>
      <c r="E3407" t="s">
        <v>65</v>
      </c>
      <c r="F3407" t="s">
        <v>30</v>
      </c>
      <c r="G3407" s="4">
        <v>5</v>
      </c>
      <c r="H3407" s="1">
        <v>23837</v>
      </c>
      <c r="I3407" s="3" t="s">
        <v>15</v>
      </c>
      <c r="J3407" s="4">
        <v>5</v>
      </c>
    </row>
    <row r="3408" spans="1:10" x14ac:dyDescent="0.35">
      <c r="A3408" s="2" t="s">
        <v>3444</v>
      </c>
      <c r="B3408" s="4">
        <v>81</v>
      </c>
      <c r="C3408" t="s">
        <v>17</v>
      </c>
      <c r="D3408" t="s">
        <v>18</v>
      </c>
      <c r="E3408" t="s">
        <v>13</v>
      </c>
      <c r="F3408" t="s">
        <v>30</v>
      </c>
      <c r="G3408" s="4">
        <v>2</v>
      </c>
      <c r="H3408" s="1">
        <v>93884</v>
      </c>
      <c r="I3408" s="3" t="s">
        <v>15</v>
      </c>
      <c r="J3408" s="4">
        <v>4</v>
      </c>
    </row>
    <row r="3409" spans="1:10" x14ac:dyDescent="0.35">
      <c r="A3409" s="2" t="s">
        <v>3445</v>
      </c>
      <c r="B3409" s="4">
        <v>23</v>
      </c>
      <c r="C3409" t="s">
        <v>17</v>
      </c>
      <c r="D3409" t="s">
        <v>26</v>
      </c>
      <c r="E3409" t="s">
        <v>65</v>
      </c>
      <c r="F3409" t="s">
        <v>30</v>
      </c>
      <c r="G3409" s="4">
        <v>11</v>
      </c>
      <c r="H3409" s="1">
        <v>36367</v>
      </c>
      <c r="I3409" s="3" t="s">
        <v>15</v>
      </c>
      <c r="J3409" s="4">
        <v>4</v>
      </c>
    </row>
    <row r="3410" spans="1:10" x14ac:dyDescent="0.35">
      <c r="A3410" s="2" t="s">
        <v>3446</v>
      </c>
      <c r="B3410" s="4">
        <v>25</v>
      </c>
      <c r="C3410" t="s">
        <v>17</v>
      </c>
      <c r="D3410" t="s">
        <v>18</v>
      </c>
      <c r="E3410" t="s">
        <v>42</v>
      </c>
      <c r="F3410" t="s">
        <v>20</v>
      </c>
      <c r="G3410" s="4">
        <v>7</v>
      </c>
      <c r="H3410" s="1">
        <v>42415</v>
      </c>
      <c r="I3410" s="3" t="s">
        <v>21</v>
      </c>
      <c r="J3410" s="4">
        <v>1</v>
      </c>
    </row>
    <row r="3411" spans="1:10" x14ac:dyDescent="0.35">
      <c r="A3411" s="2" t="s">
        <v>3447</v>
      </c>
      <c r="B3411" s="4">
        <v>30</v>
      </c>
      <c r="C3411" t="s">
        <v>11</v>
      </c>
      <c r="D3411" t="s">
        <v>33</v>
      </c>
      <c r="E3411" t="s">
        <v>34</v>
      </c>
      <c r="F3411" t="s">
        <v>14</v>
      </c>
      <c r="G3411" s="4">
        <v>6</v>
      </c>
      <c r="H3411" s="1">
        <v>87549</v>
      </c>
      <c r="I3411" s="3" t="s">
        <v>15</v>
      </c>
      <c r="J3411" s="4">
        <v>5</v>
      </c>
    </row>
    <row r="3412" spans="1:10" x14ac:dyDescent="0.35">
      <c r="A3412" s="2" t="s">
        <v>3448</v>
      </c>
      <c r="B3412" s="4">
        <v>43</v>
      </c>
      <c r="C3412" t="s">
        <v>11</v>
      </c>
      <c r="D3412" t="s">
        <v>36</v>
      </c>
      <c r="E3412" t="s">
        <v>27</v>
      </c>
      <c r="F3412" t="s">
        <v>30</v>
      </c>
      <c r="G3412" s="4">
        <v>8</v>
      </c>
      <c r="H3412" s="1">
        <v>33530</v>
      </c>
      <c r="I3412" s="3" t="s">
        <v>21</v>
      </c>
      <c r="J3412" s="4">
        <v>5</v>
      </c>
    </row>
    <row r="3413" spans="1:10" x14ac:dyDescent="0.35">
      <c r="A3413" s="2" t="s">
        <v>3449</v>
      </c>
      <c r="B3413" s="4">
        <v>81</v>
      </c>
      <c r="C3413" t="s">
        <v>11</v>
      </c>
      <c r="D3413" t="s">
        <v>18</v>
      </c>
      <c r="E3413" t="s">
        <v>65</v>
      </c>
      <c r="F3413" t="s">
        <v>30</v>
      </c>
      <c r="G3413" s="4">
        <v>10</v>
      </c>
      <c r="H3413" s="1">
        <v>20260</v>
      </c>
      <c r="I3413" s="3" t="s">
        <v>21</v>
      </c>
      <c r="J3413" s="4">
        <v>4</v>
      </c>
    </row>
    <row r="3414" spans="1:10" x14ac:dyDescent="0.35">
      <c r="A3414" s="2" t="s">
        <v>3450</v>
      </c>
      <c r="B3414" s="4">
        <v>39</v>
      </c>
      <c r="C3414" t="s">
        <v>11</v>
      </c>
      <c r="D3414" t="s">
        <v>12</v>
      </c>
      <c r="E3414" t="s">
        <v>65</v>
      </c>
      <c r="F3414" t="s">
        <v>30</v>
      </c>
      <c r="G3414" s="4">
        <v>1</v>
      </c>
      <c r="H3414" s="1">
        <v>14705</v>
      </c>
      <c r="I3414" s="3" t="s">
        <v>15</v>
      </c>
      <c r="J3414" s="4">
        <v>1</v>
      </c>
    </row>
    <row r="3415" spans="1:10" x14ac:dyDescent="0.35">
      <c r="A3415" s="2" t="s">
        <v>3451</v>
      </c>
      <c r="B3415" s="4">
        <v>66</v>
      </c>
      <c r="C3415" t="s">
        <v>11</v>
      </c>
      <c r="D3415" t="s">
        <v>23</v>
      </c>
      <c r="E3415" t="s">
        <v>34</v>
      </c>
      <c r="F3415" t="s">
        <v>20</v>
      </c>
      <c r="G3415" s="4">
        <v>9</v>
      </c>
      <c r="H3415" s="1">
        <v>16744</v>
      </c>
      <c r="I3415" s="3" t="s">
        <v>21</v>
      </c>
      <c r="J3415" s="4">
        <v>5</v>
      </c>
    </row>
    <row r="3416" spans="1:10" x14ac:dyDescent="0.35">
      <c r="A3416" s="2" t="s">
        <v>3452</v>
      </c>
      <c r="B3416" s="4">
        <v>13</v>
      </c>
      <c r="C3416" t="s">
        <v>17</v>
      </c>
      <c r="D3416" t="s">
        <v>26</v>
      </c>
      <c r="E3416" t="s">
        <v>19</v>
      </c>
      <c r="F3416" t="s">
        <v>30</v>
      </c>
      <c r="G3416" s="4">
        <v>10</v>
      </c>
      <c r="H3416" s="1">
        <v>73208</v>
      </c>
      <c r="I3416" s="3" t="s">
        <v>15</v>
      </c>
      <c r="J3416" s="4">
        <v>2</v>
      </c>
    </row>
    <row r="3417" spans="1:10" x14ac:dyDescent="0.35">
      <c r="A3417" s="2" t="s">
        <v>3453</v>
      </c>
      <c r="B3417" s="4">
        <v>66</v>
      </c>
      <c r="C3417" t="s">
        <v>11</v>
      </c>
      <c r="D3417" t="s">
        <v>28</v>
      </c>
      <c r="E3417" t="s">
        <v>53</v>
      </c>
      <c r="F3417" t="s">
        <v>14</v>
      </c>
      <c r="G3417" s="4">
        <v>11</v>
      </c>
      <c r="H3417" s="1">
        <v>15819</v>
      </c>
      <c r="I3417" s="3" t="s">
        <v>15</v>
      </c>
      <c r="J3417" s="4">
        <v>4</v>
      </c>
    </row>
    <row r="3418" spans="1:10" x14ac:dyDescent="0.35">
      <c r="A3418" s="2" t="s">
        <v>3454</v>
      </c>
      <c r="B3418" s="4">
        <v>80</v>
      </c>
      <c r="C3418" t="s">
        <v>11</v>
      </c>
      <c r="D3418" t="s">
        <v>36</v>
      </c>
      <c r="E3418" t="s">
        <v>24</v>
      </c>
      <c r="F3418" t="s">
        <v>14</v>
      </c>
      <c r="G3418" s="4">
        <v>8</v>
      </c>
      <c r="H3418" s="1">
        <v>78357</v>
      </c>
      <c r="I3418" s="3" t="s">
        <v>15</v>
      </c>
      <c r="J3418" s="4">
        <v>3</v>
      </c>
    </row>
    <row r="3419" spans="1:10" x14ac:dyDescent="0.35">
      <c r="A3419" s="2" t="s">
        <v>3455</v>
      </c>
      <c r="B3419" s="4">
        <v>90</v>
      </c>
      <c r="C3419" t="s">
        <v>17</v>
      </c>
      <c r="D3419" t="s">
        <v>18</v>
      </c>
      <c r="E3419" t="s">
        <v>34</v>
      </c>
      <c r="F3419" t="s">
        <v>20</v>
      </c>
      <c r="G3419" s="4">
        <v>15</v>
      </c>
      <c r="H3419" s="1">
        <v>24111</v>
      </c>
      <c r="I3419" s="3" t="s">
        <v>15</v>
      </c>
      <c r="J3419" s="4">
        <v>4</v>
      </c>
    </row>
    <row r="3420" spans="1:10" x14ac:dyDescent="0.35">
      <c r="A3420" s="2" t="s">
        <v>3456</v>
      </c>
      <c r="B3420" s="4">
        <v>55</v>
      </c>
      <c r="C3420" t="s">
        <v>11</v>
      </c>
      <c r="D3420" t="s">
        <v>23</v>
      </c>
      <c r="E3420" t="s">
        <v>19</v>
      </c>
      <c r="F3420" t="s">
        <v>30</v>
      </c>
      <c r="G3420" s="4">
        <v>11</v>
      </c>
      <c r="H3420" s="1">
        <v>73346</v>
      </c>
      <c r="I3420" s="3" t="s">
        <v>15</v>
      </c>
      <c r="J3420" s="4">
        <v>5</v>
      </c>
    </row>
    <row r="3421" spans="1:10" x14ac:dyDescent="0.35">
      <c r="A3421" s="2" t="s">
        <v>3457</v>
      </c>
      <c r="B3421" s="4">
        <v>9</v>
      </c>
      <c r="C3421" t="s">
        <v>11</v>
      </c>
      <c r="D3421" t="s">
        <v>36</v>
      </c>
      <c r="E3421" t="s">
        <v>29</v>
      </c>
      <c r="F3421" t="s">
        <v>30</v>
      </c>
      <c r="G3421" s="4">
        <v>1</v>
      </c>
      <c r="H3421" s="1">
        <v>51242</v>
      </c>
      <c r="I3421" s="3" t="s">
        <v>15</v>
      </c>
      <c r="J3421" s="4">
        <v>1</v>
      </c>
    </row>
    <row r="3422" spans="1:10" x14ac:dyDescent="0.35">
      <c r="A3422" s="2" t="s">
        <v>3458</v>
      </c>
      <c r="B3422" s="4">
        <v>36</v>
      </c>
      <c r="C3422" t="s">
        <v>11</v>
      </c>
      <c r="D3422" t="s">
        <v>39</v>
      </c>
      <c r="E3422" t="s">
        <v>53</v>
      </c>
      <c r="F3422" t="s">
        <v>20</v>
      </c>
      <c r="G3422" s="4">
        <v>11</v>
      </c>
      <c r="H3422" s="1">
        <v>53502</v>
      </c>
      <c r="I3422" s="3" t="s">
        <v>15</v>
      </c>
      <c r="J3422" s="4">
        <v>2</v>
      </c>
    </row>
    <row r="3423" spans="1:10" x14ac:dyDescent="0.35">
      <c r="A3423" s="2" t="s">
        <v>3459</v>
      </c>
      <c r="B3423" s="4">
        <v>76</v>
      </c>
      <c r="C3423" t="s">
        <v>17</v>
      </c>
      <c r="D3423" t="s">
        <v>36</v>
      </c>
      <c r="E3423" t="s">
        <v>27</v>
      </c>
      <c r="F3423" t="s">
        <v>30</v>
      </c>
      <c r="G3423" s="4">
        <v>3</v>
      </c>
      <c r="H3423" s="1">
        <v>11858</v>
      </c>
      <c r="I3423" s="3" t="s">
        <v>15</v>
      </c>
      <c r="J3423" s="4">
        <v>2</v>
      </c>
    </row>
    <row r="3424" spans="1:10" x14ac:dyDescent="0.35">
      <c r="A3424" s="2" t="s">
        <v>3460</v>
      </c>
      <c r="B3424" s="4">
        <v>89</v>
      </c>
      <c r="C3424" t="s">
        <v>11</v>
      </c>
      <c r="D3424" t="s">
        <v>23</v>
      </c>
      <c r="E3424" t="s">
        <v>24</v>
      </c>
      <c r="F3424" t="s">
        <v>20</v>
      </c>
      <c r="G3424" s="4">
        <v>3</v>
      </c>
      <c r="H3424" s="1">
        <v>82723</v>
      </c>
      <c r="I3424" s="3" t="s">
        <v>21</v>
      </c>
      <c r="J3424" s="4">
        <v>5</v>
      </c>
    </row>
    <row r="3425" spans="1:10" x14ac:dyDescent="0.35">
      <c r="A3425" s="2" t="s">
        <v>3461</v>
      </c>
      <c r="B3425" s="4">
        <v>51</v>
      </c>
      <c r="C3425" t="s">
        <v>17</v>
      </c>
      <c r="D3425" t="s">
        <v>49</v>
      </c>
      <c r="E3425" t="s">
        <v>65</v>
      </c>
      <c r="F3425" t="s">
        <v>14</v>
      </c>
      <c r="G3425" s="4">
        <v>14</v>
      </c>
      <c r="H3425" s="1">
        <v>56263</v>
      </c>
      <c r="I3425" s="3" t="s">
        <v>21</v>
      </c>
      <c r="J3425" s="4">
        <v>1</v>
      </c>
    </row>
    <row r="3426" spans="1:10" x14ac:dyDescent="0.35">
      <c r="A3426" s="2" t="s">
        <v>3462</v>
      </c>
      <c r="B3426" s="4">
        <v>4</v>
      </c>
      <c r="C3426" t="s">
        <v>17</v>
      </c>
      <c r="D3426" t="s">
        <v>33</v>
      </c>
      <c r="E3426" t="s">
        <v>19</v>
      </c>
      <c r="F3426" t="s">
        <v>30</v>
      </c>
      <c r="G3426" s="4">
        <v>9</v>
      </c>
      <c r="H3426" s="1">
        <v>76924</v>
      </c>
      <c r="I3426" s="3" t="s">
        <v>21</v>
      </c>
      <c r="J3426" s="4">
        <v>1</v>
      </c>
    </row>
    <row r="3427" spans="1:10" x14ac:dyDescent="0.35">
      <c r="A3427" s="2" t="s">
        <v>3463</v>
      </c>
      <c r="B3427" s="4">
        <v>9</v>
      </c>
      <c r="C3427" t="s">
        <v>17</v>
      </c>
      <c r="D3427" t="s">
        <v>49</v>
      </c>
      <c r="E3427" t="s">
        <v>29</v>
      </c>
      <c r="F3427" t="s">
        <v>20</v>
      </c>
      <c r="G3427" s="4">
        <v>12</v>
      </c>
      <c r="H3427" s="1">
        <v>75565</v>
      </c>
      <c r="I3427" s="3" t="s">
        <v>21</v>
      </c>
      <c r="J3427" s="4">
        <v>1</v>
      </c>
    </row>
    <row r="3428" spans="1:10" x14ac:dyDescent="0.35">
      <c r="A3428" s="2" t="s">
        <v>3464</v>
      </c>
      <c r="B3428" s="4">
        <v>41</v>
      </c>
      <c r="C3428" t="s">
        <v>17</v>
      </c>
      <c r="D3428" t="s">
        <v>41</v>
      </c>
      <c r="E3428" t="s">
        <v>42</v>
      </c>
      <c r="F3428" t="s">
        <v>14</v>
      </c>
      <c r="G3428" s="4">
        <v>13</v>
      </c>
      <c r="H3428" s="1">
        <v>27165</v>
      </c>
      <c r="I3428" s="3" t="s">
        <v>15</v>
      </c>
      <c r="J3428" s="4">
        <v>3</v>
      </c>
    </row>
    <row r="3429" spans="1:10" x14ac:dyDescent="0.35">
      <c r="A3429" s="2" t="s">
        <v>3465</v>
      </c>
      <c r="B3429" s="4">
        <v>90</v>
      </c>
      <c r="C3429" t="s">
        <v>17</v>
      </c>
      <c r="D3429" t="s">
        <v>26</v>
      </c>
      <c r="E3429" t="s">
        <v>27</v>
      </c>
      <c r="F3429" t="s">
        <v>14</v>
      </c>
      <c r="G3429" s="4">
        <v>11</v>
      </c>
      <c r="H3429" s="1">
        <v>82660</v>
      </c>
      <c r="I3429" s="3" t="s">
        <v>21</v>
      </c>
      <c r="J3429" s="4">
        <v>2</v>
      </c>
    </row>
    <row r="3430" spans="1:10" x14ac:dyDescent="0.35">
      <c r="A3430" s="2" t="s">
        <v>3466</v>
      </c>
      <c r="B3430" s="4">
        <v>4</v>
      </c>
      <c r="C3430" t="s">
        <v>17</v>
      </c>
      <c r="D3430" t="s">
        <v>36</v>
      </c>
      <c r="E3430" t="s">
        <v>65</v>
      </c>
      <c r="F3430" t="s">
        <v>20</v>
      </c>
      <c r="G3430" s="4">
        <v>4</v>
      </c>
      <c r="H3430" s="1">
        <v>14350</v>
      </c>
      <c r="I3430" s="3" t="s">
        <v>21</v>
      </c>
      <c r="J3430" s="4">
        <v>5</v>
      </c>
    </row>
    <row r="3431" spans="1:10" x14ac:dyDescent="0.35">
      <c r="A3431" s="2" t="s">
        <v>3467</v>
      </c>
      <c r="B3431" s="4">
        <v>42</v>
      </c>
      <c r="C3431" t="s">
        <v>17</v>
      </c>
      <c r="D3431" t="s">
        <v>26</v>
      </c>
      <c r="E3431" t="s">
        <v>29</v>
      </c>
      <c r="F3431" t="s">
        <v>20</v>
      </c>
      <c r="G3431" s="4">
        <v>14</v>
      </c>
      <c r="H3431" s="1">
        <v>74870</v>
      </c>
      <c r="I3431" s="3" t="s">
        <v>15</v>
      </c>
      <c r="J3431" s="4">
        <v>1</v>
      </c>
    </row>
    <row r="3432" spans="1:10" x14ac:dyDescent="0.35">
      <c r="A3432" s="2" t="s">
        <v>3468</v>
      </c>
      <c r="B3432" s="4">
        <v>71</v>
      </c>
      <c r="C3432" t="s">
        <v>17</v>
      </c>
      <c r="D3432" t="s">
        <v>12</v>
      </c>
      <c r="E3432" t="s">
        <v>19</v>
      </c>
      <c r="F3432" t="s">
        <v>20</v>
      </c>
      <c r="G3432" s="4">
        <v>6</v>
      </c>
      <c r="H3432" s="1">
        <v>43331</v>
      </c>
      <c r="I3432" s="3" t="s">
        <v>15</v>
      </c>
      <c r="J3432" s="4">
        <v>4</v>
      </c>
    </row>
    <row r="3433" spans="1:10" x14ac:dyDescent="0.35">
      <c r="A3433" s="2" t="s">
        <v>3469</v>
      </c>
      <c r="B3433" s="4">
        <v>46</v>
      </c>
      <c r="C3433" t="s">
        <v>11</v>
      </c>
      <c r="D3433" t="s">
        <v>33</v>
      </c>
      <c r="E3433" t="s">
        <v>13</v>
      </c>
      <c r="F3433" t="s">
        <v>20</v>
      </c>
      <c r="G3433" s="4">
        <v>8</v>
      </c>
      <c r="H3433" s="1">
        <v>76390</v>
      </c>
      <c r="I3433" s="3" t="s">
        <v>15</v>
      </c>
      <c r="J3433" s="4">
        <v>5</v>
      </c>
    </row>
    <row r="3434" spans="1:10" x14ac:dyDescent="0.35">
      <c r="A3434" s="2" t="s">
        <v>3470</v>
      </c>
      <c r="B3434" s="4">
        <v>56</v>
      </c>
      <c r="C3434" t="s">
        <v>17</v>
      </c>
      <c r="D3434" t="s">
        <v>26</v>
      </c>
      <c r="E3434" t="s">
        <v>34</v>
      </c>
      <c r="F3434" t="s">
        <v>14</v>
      </c>
      <c r="G3434" s="4">
        <v>7</v>
      </c>
      <c r="H3434" s="1">
        <v>55339</v>
      </c>
      <c r="I3434" s="3" t="s">
        <v>15</v>
      </c>
      <c r="J3434" s="4">
        <v>1</v>
      </c>
    </row>
    <row r="3435" spans="1:10" x14ac:dyDescent="0.35">
      <c r="A3435" s="2" t="s">
        <v>3471</v>
      </c>
      <c r="B3435" s="4">
        <v>78</v>
      </c>
      <c r="C3435" t="s">
        <v>17</v>
      </c>
      <c r="D3435" t="s">
        <v>28</v>
      </c>
      <c r="E3435" t="s">
        <v>19</v>
      </c>
      <c r="F3435" t="s">
        <v>14</v>
      </c>
      <c r="G3435" s="4">
        <v>2</v>
      </c>
      <c r="H3435" s="1">
        <v>77302</v>
      </c>
      <c r="I3435" s="3" t="s">
        <v>15</v>
      </c>
      <c r="J3435" s="4">
        <v>2</v>
      </c>
    </row>
    <row r="3436" spans="1:10" x14ac:dyDescent="0.35">
      <c r="A3436" s="2" t="s">
        <v>3472</v>
      </c>
      <c r="B3436" s="4">
        <v>75</v>
      </c>
      <c r="C3436" t="s">
        <v>11</v>
      </c>
      <c r="D3436" t="s">
        <v>39</v>
      </c>
      <c r="E3436" t="s">
        <v>27</v>
      </c>
      <c r="F3436" t="s">
        <v>30</v>
      </c>
      <c r="G3436" s="4">
        <v>5</v>
      </c>
      <c r="H3436" s="1">
        <v>68331</v>
      </c>
      <c r="I3436" s="3" t="s">
        <v>21</v>
      </c>
      <c r="J3436" s="4">
        <v>3</v>
      </c>
    </row>
    <row r="3437" spans="1:10" x14ac:dyDescent="0.35">
      <c r="A3437" s="2" t="s">
        <v>3473</v>
      </c>
      <c r="B3437" s="4">
        <v>66</v>
      </c>
      <c r="C3437" t="s">
        <v>11</v>
      </c>
      <c r="D3437" t="s">
        <v>39</v>
      </c>
      <c r="E3437" t="s">
        <v>65</v>
      </c>
      <c r="F3437" t="s">
        <v>20</v>
      </c>
      <c r="G3437" s="4">
        <v>6</v>
      </c>
      <c r="H3437" s="1">
        <v>99651</v>
      </c>
      <c r="I3437" s="3" t="s">
        <v>15</v>
      </c>
      <c r="J3437" s="4">
        <v>3</v>
      </c>
    </row>
    <row r="3438" spans="1:10" x14ac:dyDescent="0.35">
      <c r="A3438" s="2" t="s">
        <v>3474</v>
      </c>
      <c r="B3438" s="4">
        <v>10</v>
      </c>
      <c r="C3438" t="s">
        <v>11</v>
      </c>
      <c r="D3438" t="s">
        <v>28</v>
      </c>
      <c r="E3438" t="s">
        <v>53</v>
      </c>
      <c r="F3438" t="s">
        <v>14</v>
      </c>
      <c r="G3438" s="4">
        <v>8</v>
      </c>
      <c r="H3438" s="1">
        <v>41439</v>
      </c>
      <c r="I3438" s="3" t="s">
        <v>15</v>
      </c>
      <c r="J3438" s="4">
        <v>5</v>
      </c>
    </row>
    <row r="3439" spans="1:10" x14ac:dyDescent="0.35">
      <c r="A3439" s="2" t="s">
        <v>3475</v>
      </c>
      <c r="B3439" s="4">
        <v>80</v>
      </c>
      <c r="C3439" t="s">
        <v>17</v>
      </c>
      <c r="D3439" t="s">
        <v>49</v>
      </c>
      <c r="E3439" t="s">
        <v>42</v>
      </c>
      <c r="F3439" t="s">
        <v>20</v>
      </c>
      <c r="G3439" s="4">
        <v>1</v>
      </c>
      <c r="H3439" s="1">
        <v>65127</v>
      </c>
      <c r="I3439" s="3" t="s">
        <v>15</v>
      </c>
      <c r="J3439" s="4">
        <v>5</v>
      </c>
    </row>
    <row r="3440" spans="1:10" x14ac:dyDescent="0.35">
      <c r="A3440" s="2" t="s">
        <v>3476</v>
      </c>
      <c r="B3440" s="4">
        <v>32</v>
      </c>
      <c r="C3440" t="s">
        <v>11</v>
      </c>
      <c r="D3440" t="s">
        <v>18</v>
      </c>
      <c r="E3440" t="s">
        <v>34</v>
      </c>
      <c r="F3440" t="s">
        <v>30</v>
      </c>
      <c r="G3440" s="4">
        <v>1</v>
      </c>
      <c r="H3440" s="1">
        <v>97090</v>
      </c>
      <c r="I3440" s="3" t="s">
        <v>15</v>
      </c>
      <c r="J3440" s="4">
        <v>5</v>
      </c>
    </row>
    <row r="3441" spans="1:10" x14ac:dyDescent="0.35">
      <c r="A3441" s="2" t="s">
        <v>3477</v>
      </c>
      <c r="B3441" s="4">
        <v>33</v>
      </c>
      <c r="C3441" t="s">
        <v>17</v>
      </c>
      <c r="D3441" t="s">
        <v>39</v>
      </c>
      <c r="E3441" t="s">
        <v>53</v>
      </c>
      <c r="F3441" t="s">
        <v>20</v>
      </c>
      <c r="G3441" s="4">
        <v>2</v>
      </c>
      <c r="H3441" s="1">
        <v>46254</v>
      </c>
      <c r="I3441" s="3" t="s">
        <v>21</v>
      </c>
      <c r="J3441" s="4">
        <v>5</v>
      </c>
    </row>
    <row r="3442" spans="1:10" x14ac:dyDescent="0.35">
      <c r="A3442" s="2" t="s">
        <v>3478</v>
      </c>
      <c r="B3442" s="4">
        <v>67</v>
      </c>
      <c r="C3442" t="s">
        <v>11</v>
      </c>
      <c r="D3442" t="s">
        <v>26</v>
      </c>
      <c r="E3442" t="s">
        <v>37</v>
      </c>
      <c r="F3442" t="s">
        <v>14</v>
      </c>
      <c r="G3442" s="4">
        <v>4</v>
      </c>
      <c r="H3442" s="1">
        <v>79396</v>
      </c>
      <c r="I3442" s="3" t="s">
        <v>21</v>
      </c>
      <c r="J3442" s="4">
        <v>2</v>
      </c>
    </row>
    <row r="3443" spans="1:10" x14ac:dyDescent="0.35">
      <c r="A3443" s="2" t="s">
        <v>3479</v>
      </c>
      <c r="B3443" s="4">
        <v>46</v>
      </c>
      <c r="C3443" t="s">
        <v>11</v>
      </c>
      <c r="D3443" t="s">
        <v>49</v>
      </c>
      <c r="E3443" t="s">
        <v>37</v>
      </c>
      <c r="F3443" t="s">
        <v>20</v>
      </c>
      <c r="G3443" s="4">
        <v>10</v>
      </c>
      <c r="H3443" s="1">
        <v>95141</v>
      </c>
      <c r="I3443" s="3" t="s">
        <v>15</v>
      </c>
      <c r="J3443" s="4">
        <v>4</v>
      </c>
    </row>
    <row r="3444" spans="1:10" x14ac:dyDescent="0.35">
      <c r="A3444" s="2" t="s">
        <v>3480</v>
      </c>
      <c r="B3444" s="4">
        <v>12</v>
      </c>
      <c r="C3444" t="s">
        <v>11</v>
      </c>
      <c r="D3444" t="s">
        <v>33</v>
      </c>
      <c r="E3444" t="s">
        <v>34</v>
      </c>
      <c r="F3444" t="s">
        <v>14</v>
      </c>
      <c r="G3444" s="4">
        <v>7</v>
      </c>
      <c r="H3444" s="1">
        <v>56272</v>
      </c>
      <c r="I3444" s="3" t="s">
        <v>15</v>
      </c>
      <c r="J3444" s="4">
        <v>5</v>
      </c>
    </row>
    <row r="3445" spans="1:10" x14ac:dyDescent="0.35">
      <c r="A3445" s="2" t="s">
        <v>3481</v>
      </c>
      <c r="B3445" s="4">
        <v>44</v>
      </c>
      <c r="C3445" t="s">
        <v>11</v>
      </c>
      <c r="D3445" t="s">
        <v>23</v>
      </c>
      <c r="E3445" t="s">
        <v>34</v>
      </c>
      <c r="F3445" t="s">
        <v>20</v>
      </c>
      <c r="G3445" s="4">
        <v>8</v>
      </c>
      <c r="H3445" s="1">
        <v>59705</v>
      </c>
      <c r="I3445" s="3" t="s">
        <v>21</v>
      </c>
      <c r="J3445" s="4">
        <v>2</v>
      </c>
    </row>
    <row r="3446" spans="1:10" x14ac:dyDescent="0.35">
      <c r="A3446" s="2" t="s">
        <v>3482</v>
      </c>
      <c r="B3446" s="4">
        <v>27</v>
      </c>
      <c r="C3446" t="s">
        <v>17</v>
      </c>
      <c r="D3446" t="s">
        <v>23</v>
      </c>
      <c r="E3446" t="s">
        <v>24</v>
      </c>
      <c r="F3446" t="s">
        <v>20</v>
      </c>
      <c r="G3446" s="4">
        <v>2</v>
      </c>
      <c r="H3446" s="1">
        <v>88134</v>
      </c>
      <c r="I3446" s="3" t="s">
        <v>21</v>
      </c>
      <c r="J3446" s="4">
        <v>3</v>
      </c>
    </row>
    <row r="3447" spans="1:10" x14ac:dyDescent="0.35">
      <c r="A3447" s="2" t="s">
        <v>3483</v>
      </c>
      <c r="B3447" s="4">
        <v>53</v>
      </c>
      <c r="C3447" t="s">
        <v>11</v>
      </c>
      <c r="D3447" t="s">
        <v>26</v>
      </c>
      <c r="E3447" t="s">
        <v>29</v>
      </c>
      <c r="F3447" t="s">
        <v>30</v>
      </c>
      <c r="G3447" s="4">
        <v>7</v>
      </c>
      <c r="H3447" s="1">
        <v>41885</v>
      </c>
      <c r="I3447" s="3" t="s">
        <v>15</v>
      </c>
      <c r="J3447" s="4">
        <v>5</v>
      </c>
    </row>
    <row r="3448" spans="1:10" x14ac:dyDescent="0.35">
      <c r="A3448" s="2" t="s">
        <v>3484</v>
      </c>
      <c r="B3448" s="4">
        <v>6</v>
      </c>
      <c r="C3448" t="s">
        <v>11</v>
      </c>
      <c r="D3448" t="s">
        <v>26</v>
      </c>
      <c r="E3448" t="s">
        <v>42</v>
      </c>
      <c r="F3448" t="s">
        <v>30</v>
      </c>
      <c r="G3448" s="4">
        <v>1</v>
      </c>
      <c r="H3448" s="1">
        <v>25631</v>
      </c>
      <c r="I3448" s="3" t="s">
        <v>15</v>
      </c>
      <c r="J3448" s="4">
        <v>5</v>
      </c>
    </row>
    <row r="3449" spans="1:10" x14ac:dyDescent="0.35">
      <c r="A3449" s="2" t="s">
        <v>3485</v>
      </c>
      <c r="B3449" s="4">
        <v>32</v>
      </c>
      <c r="C3449" t="s">
        <v>11</v>
      </c>
      <c r="D3449" t="s">
        <v>39</v>
      </c>
      <c r="E3449" t="s">
        <v>53</v>
      </c>
      <c r="F3449" t="s">
        <v>30</v>
      </c>
      <c r="G3449" s="4">
        <v>14</v>
      </c>
      <c r="H3449" s="1">
        <v>57349</v>
      </c>
      <c r="I3449" s="3" t="s">
        <v>21</v>
      </c>
      <c r="J3449" s="4">
        <v>2</v>
      </c>
    </row>
    <row r="3450" spans="1:10" x14ac:dyDescent="0.35">
      <c r="A3450" s="2" t="s">
        <v>3486</v>
      </c>
      <c r="B3450" s="4">
        <v>89</v>
      </c>
      <c r="C3450" t="s">
        <v>17</v>
      </c>
      <c r="D3450" t="s">
        <v>39</v>
      </c>
      <c r="E3450" t="s">
        <v>29</v>
      </c>
      <c r="F3450" t="s">
        <v>20</v>
      </c>
      <c r="G3450" s="4">
        <v>8</v>
      </c>
      <c r="H3450" s="1">
        <v>27102</v>
      </c>
      <c r="I3450" s="3" t="s">
        <v>21</v>
      </c>
      <c r="J3450" s="4">
        <v>5</v>
      </c>
    </row>
    <row r="3451" spans="1:10" x14ac:dyDescent="0.35">
      <c r="A3451" s="2" t="s">
        <v>3487</v>
      </c>
      <c r="B3451" s="4">
        <v>74</v>
      </c>
      <c r="C3451" t="s">
        <v>17</v>
      </c>
      <c r="D3451" t="s">
        <v>33</v>
      </c>
      <c r="E3451" t="s">
        <v>42</v>
      </c>
      <c r="F3451" t="s">
        <v>30</v>
      </c>
      <c r="G3451" s="4">
        <v>11</v>
      </c>
      <c r="H3451" s="1">
        <v>25099</v>
      </c>
      <c r="I3451" s="3" t="s">
        <v>21</v>
      </c>
      <c r="J3451" s="4">
        <v>1</v>
      </c>
    </row>
    <row r="3452" spans="1:10" x14ac:dyDescent="0.35">
      <c r="A3452" s="2" t="s">
        <v>3488</v>
      </c>
      <c r="B3452" s="4">
        <v>65</v>
      </c>
      <c r="C3452" t="s">
        <v>17</v>
      </c>
      <c r="D3452" t="s">
        <v>12</v>
      </c>
      <c r="E3452" t="s">
        <v>27</v>
      </c>
      <c r="F3452" t="s">
        <v>20</v>
      </c>
      <c r="G3452" s="4">
        <v>6</v>
      </c>
      <c r="H3452" s="1">
        <v>80288</v>
      </c>
      <c r="I3452" s="3" t="s">
        <v>21</v>
      </c>
      <c r="J3452" s="4">
        <v>2</v>
      </c>
    </row>
    <row r="3453" spans="1:10" x14ac:dyDescent="0.35">
      <c r="A3453" s="2" t="s">
        <v>3489</v>
      </c>
      <c r="B3453" s="4">
        <v>17</v>
      </c>
      <c r="C3453" t="s">
        <v>11</v>
      </c>
      <c r="D3453" t="s">
        <v>36</v>
      </c>
      <c r="E3453" t="s">
        <v>29</v>
      </c>
      <c r="F3453" t="s">
        <v>14</v>
      </c>
      <c r="G3453" s="4">
        <v>7</v>
      </c>
      <c r="H3453" s="1">
        <v>78612</v>
      </c>
      <c r="I3453" s="3" t="s">
        <v>21</v>
      </c>
      <c r="J3453" s="4">
        <v>5</v>
      </c>
    </row>
    <row r="3454" spans="1:10" x14ac:dyDescent="0.35">
      <c r="A3454" s="2" t="s">
        <v>3490</v>
      </c>
      <c r="B3454" s="4">
        <v>10</v>
      </c>
      <c r="C3454" t="s">
        <v>17</v>
      </c>
      <c r="D3454" t="s">
        <v>36</v>
      </c>
      <c r="E3454" t="s">
        <v>65</v>
      </c>
      <c r="F3454" t="s">
        <v>14</v>
      </c>
      <c r="G3454" s="4">
        <v>8</v>
      </c>
      <c r="H3454" s="1">
        <v>14018</v>
      </c>
      <c r="I3454" s="3" t="s">
        <v>15</v>
      </c>
      <c r="J3454" s="4">
        <v>2</v>
      </c>
    </row>
    <row r="3455" spans="1:10" x14ac:dyDescent="0.35">
      <c r="A3455" s="2" t="s">
        <v>3491</v>
      </c>
      <c r="B3455" s="4">
        <v>2</v>
      </c>
      <c r="C3455" t="s">
        <v>17</v>
      </c>
      <c r="D3455" t="s">
        <v>39</v>
      </c>
      <c r="E3455" t="s">
        <v>42</v>
      </c>
      <c r="F3455" t="s">
        <v>30</v>
      </c>
      <c r="G3455" s="4">
        <v>14</v>
      </c>
      <c r="H3455" s="1">
        <v>69793</v>
      </c>
      <c r="I3455" s="3" t="s">
        <v>15</v>
      </c>
      <c r="J3455" s="4">
        <v>4</v>
      </c>
    </row>
    <row r="3456" spans="1:10" x14ac:dyDescent="0.35">
      <c r="A3456" s="2" t="s">
        <v>3492</v>
      </c>
      <c r="B3456" s="4">
        <v>83</v>
      </c>
      <c r="C3456" t="s">
        <v>17</v>
      </c>
      <c r="D3456" t="s">
        <v>26</v>
      </c>
      <c r="E3456" t="s">
        <v>34</v>
      </c>
      <c r="F3456" t="s">
        <v>30</v>
      </c>
      <c r="G3456" s="4">
        <v>8</v>
      </c>
      <c r="H3456" s="1">
        <v>47645</v>
      </c>
      <c r="I3456" s="3" t="s">
        <v>21</v>
      </c>
      <c r="J3456" s="4">
        <v>3</v>
      </c>
    </row>
    <row r="3457" spans="1:10" x14ac:dyDescent="0.35">
      <c r="A3457" s="2" t="s">
        <v>3493</v>
      </c>
      <c r="B3457" s="4">
        <v>74</v>
      </c>
      <c r="C3457" t="s">
        <v>17</v>
      </c>
      <c r="D3457" t="s">
        <v>18</v>
      </c>
      <c r="E3457" t="s">
        <v>13</v>
      </c>
      <c r="F3457" t="s">
        <v>14</v>
      </c>
      <c r="G3457" s="4">
        <v>2</v>
      </c>
      <c r="H3457" s="1">
        <v>15830</v>
      </c>
      <c r="I3457" s="3" t="s">
        <v>15</v>
      </c>
      <c r="J3457" s="4">
        <v>2</v>
      </c>
    </row>
    <row r="3458" spans="1:10" x14ac:dyDescent="0.35">
      <c r="A3458" s="2" t="s">
        <v>3494</v>
      </c>
      <c r="B3458" s="4">
        <v>9</v>
      </c>
      <c r="C3458" t="s">
        <v>11</v>
      </c>
      <c r="D3458" t="s">
        <v>12</v>
      </c>
      <c r="E3458" t="s">
        <v>34</v>
      </c>
      <c r="F3458" t="s">
        <v>30</v>
      </c>
      <c r="G3458" s="4">
        <v>10</v>
      </c>
      <c r="H3458" s="1">
        <v>70269</v>
      </c>
      <c r="I3458" s="3" t="s">
        <v>21</v>
      </c>
      <c r="J3458" s="4">
        <v>1</v>
      </c>
    </row>
    <row r="3459" spans="1:10" x14ac:dyDescent="0.35">
      <c r="A3459" s="2" t="s">
        <v>3495</v>
      </c>
      <c r="B3459" s="4">
        <v>63</v>
      </c>
      <c r="C3459" t="s">
        <v>11</v>
      </c>
      <c r="D3459" t="s">
        <v>41</v>
      </c>
      <c r="E3459" t="s">
        <v>13</v>
      </c>
      <c r="F3459" t="s">
        <v>20</v>
      </c>
      <c r="G3459" s="4">
        <v>6</v>
      </c>
      <c r="H3459" s="1">
        <v>94775</v>
      </c>
      <c r="I3459" s="3" t="s">
        <v>15</v>
      </c>
      <c r="J3459" s="4">
        <v>5</v>
      </c>
    </row>
    <row r="3460" spans="1:10" x14ac:dyDescent="0.35">
      <c r="A3460" s="2" t="s">
        <v>3496</v>
      </c>
      <c r="B3460" s="4">
        <v>65</v>
      </c>
      <c r="C3460" t="s">
        <v>11</v>
      </c>
      <c r="D3460" t="s">
        <v>39</v>
      </c>
      <c r="E3460" t="s">
        <v>65</v>
      </c>
      <c r="F3460" t="s">
        <v>14</v>
      </c>
      <c r="G3460" s="4">
        <v>1</v>
      </c>
      <c r="H3460" s="1">
        <v>16472</v>
      </c>
      <c r="I3460" s="3" t="s">
        <v>21</v>
      </c>
      <c r="J3460" s="4">
        <v>1</v>
      </c>
    </row>
    <row r="3461" spans="1:10" x14ac:dyDescent="0.35">
      <c r="A3461" s="2" t="s">
        <v>3497</v>
      </c>
      <c r="B3461" s="4">
        <v>58</v>
      </c>
      <c r="C3461" t="s">
        <v>17</v>
      </c>
      <c r="D3461" t="s">
        <v>18</v>
      </c>
      <c r="E3461" t="s">
        <v>37</v>
      </c>
      <c r="F3461" t="s">
        <v>14</v>
      </c>
      <c r="G3461" s="4">
        <v>10</v>
      </c>
      <c r="H3461" s="1">
        <v>15679</v>
      </c>
      <c r="I3461" s="3" t="s">
        <v>15</v>
      </c>
      <c r="J3461" s="4">
        <v>3</v>
      </c>
    </row>
    <row r="3462" spans="1:10" x14ac:dyDescent="0.35">
      <c r="A3462" s="2" t="s">
        <v>3498</v>
      </c>
      <c r="B3462" s="4">
        <v>61</v>
      </c>
      <c r="C3462" t="s">
        <v>17</v>
      </c>
      <c r="D3462" t="s">
        <v>26</v>
      </c>
      <c r="E3462" t="s">
        <v>13</v>
      </c>
      <c r="F3462" t="s">
        <v>14</v>
      </c>
      <c r="G3462" s="4">
        <v>4</v>
      </c>
      <c r="H3462" s="1">
        <v>99506</v>
      </c>
      <c r="I3462" s="3" t="s">
        <v>15</v>
      </c>
      <c r="J3462" s="4">
        <v>3</v>
      </c>
    </row>
    <row r="3463" spans="1:10" x14ac:dyDescent="0.35">
      <c r="A3463" s="2" t="s">
        <v>3499</v>
      </c>
      <c r="B3463" s="4">
        <v>24</v>
      </c>
      <c r="C3463" t="s">
        <v>11</v>
      </c>
      <c r="D3463" t="s">
        <v>26</v>
      </c>
      <c r="E3463" t="s">
        <v>37</v>
      </c>
      <c r="F3463" t="s">
        <v>30</v>
      </c>
      <c r="G3463" s="4">
        <v>9</v>
      </c>
      <c r="H3463" s="1">
        <v>22302</v>
      </c>
      <c r="I3463" s="3" t="s">
        <v>15</v>
      </c>
      <c r="J3463" s="4">
        <v>3</v>
      </c>
    </row>
    <row r="3464" spans="1:10" x14ac:dyDescent="0.35">
      <c r="A3464" s="2" t="s">
        <v>3500</v>
      </c>
      <c r="B3464" s="4">
        <v>37</v>
      </c>
      <c r="C3464" t="s">
        <v>17</v>
      </c>
      <c r="D3464" t="s">
        <v>23</v>
      </c>
      <c r="E3464" t="s">
        <v>29</v>
      </c>
      <c r="F3464" t="s">
        <v>30</v>
      </c>
      <c r="G3464" s="4">
        <v>8</v>
      </c>
      <c r="H3464" s="1">
        <v>53110</v>
      </c>
      <c r="I3464" s="3" t="s">
        <v>21</v>
      </c>
      <c r="J3464" s="4">
        <v>5</v>
      </c>
    </row>
    <row r="3465" spans="1:10" x14ac:dyDescent="0.35">
      <c r="A3465" s="2" t="s">
        <v>3501</v>
      </c>
      <c r="B3465" s="4">
        <v>80</v>
      </c>
      <c r="C3465" t="s">
        <v>11</v>
      </c>
      <c r="D3465" t="s">
        <v>49</v>
      </c>
      <c r="E3465" t="s">
        <v>29</v>
      </c>
      <c r="F3465" t="s">
        <v>30</v>
      </c>
      <c r="G3465" s="4">
        <v>4</v>
      </c>
      <c r="H3465" s="1">
        <v>64268</v>
      </c>
      <c r="I3465" s="3" t="s">
        <v>21</v>
      </c>
      <c r="J3465" s="4">
        <v>3</v>
      </c>
    </row>
    <row r="3466" spans="1:10" x14ac:dyDescent="0.35">
      <c r="A3466" s="2" t="s">
        <v>3502</v>
      </c>
      <c r="B3466" s="4">
        <v>45</v>
      </c>
      <c r="C3466" t="s">
        <v>11</v>
      </c>
      <c r="D3466" t="s">
        <v>12</v>
      </c>
      <c r="E3466" t="s">
        <v>29</v>
      </c>
      <c r="F3466" t="s">
        <v>14</v>
      </c>
      <c r="G3466" s="4">
        <v>8</v>
      </c>
      <c r="H3466" s="1">
        <v>90826</v>
      </c>
      <c r="I3466" s="3" t="s">
        <v>15</v>
      </c>
      <c r="J3466" s="4">
        <v>3</v>
      </c>
    </row>
    <row r="3467" spans="1:10" x14ac:dyDescent="0.35">
      <c r="A3467" s="2" t="s">
        <v>3503</v>
      </c>
      <c r="B3467" s="4">
        <v>8</v>
      </c>
      <c r="C3467" t="s">
        <v>17</v>
      </c>
      <c r="D3467" t="s">
        <v>12</v>
      </c>
      <c r="E3467" t="s">
        <v>53</v>
      </c>
      <c r="F3467" t="s">
        <v>20</v>
      </c>
      <c r="G3467" s="4">
        <v>3</v>
      </c>
      <c r="H3467" s="1">
        <v>43148</v>
      </c>
      <c r="I3467" s="3" t="s">
        <v>21</v>
      </c>
      <c r="J3467" s="4">
        <v>4</v>
      </c>
    </row>
    <row r="3468" spans="1:10" x14ac:dyDescent="0.35">
      <c r="A3468" s="2" t="s">
        <v>3504</v>
      </c>
      <c r="B3468" s="4">
        <v>43</v>
      </c>
      <c r="C3468" t="s">
        <v>17</v>
      </c>
      <c r="D3468" t="s">
        <v>18</v>
      </c>
      <c r="E3468" t="s">
        <v>53</v>
      </c>
      <c r="F3468" t="s">
        <v>14</v>
      </c>
      <c r="G3468" s="4">
        <v>3</v>
      </c>
      <c r="H3468" s="1">
        <v>83985</v>
      </c>
      <c r="I3468" s="3" t="s">
        <v>21</v>
      </c>
      <c r="J3468" s="4">
        <v>5</v>
      </c>
    </row>
    <row r="3469" spans="1:10" x14ac:dyDescent="0.35">
      <c r="A3469" s="2" t="s">
        <v>3505</v>
      </c>
      <c r="B3469" s="4">
        <v>28</v>
      </c>
      <c r="C3469" t="s">
        <v>17</v>
      </c>
      <c r="D3469" t="s">
        <v>26</v>
      </c>
      <c r="E3469" t="s">
        <v>34</v>
      </c>
      <c r="F3469" t="s">
        <v>20</v>
      </c>
      <c r="G3469" s="4">
        <v>15</v>
      </c>
      <c r="H3469" s="1">
        <v>74276</v>
      </c>
      <c r="I3469" s="3" t="s">
        <v>15</v>
      </c>
      <c r="J3469" s="4">
        <v>5</v>
      </c>
    </row>
    <row r="3470" spans="1:10" x14ac:dyDescent="0.35">
      <c r="A3470" s="2" t="s">
        <v>3506</v>
      </c>
      <c r="B3470" s="4">
        <v>12</v>
      </c>
      <c r="C3470" t="s">
        <v>11</v>
      </c>
      <c r="D3470" t="s">
        <v>18</v>
      </c>
      <c r="E3470" t="s">
        <v>24</v>
      </c>
      <c r="F3470" t="s">
        <v>30</v>
      </c>
      <c r="G3470" s="4">
        <v>7</v>
      </c>
      <c r="H3470" s="1">
        <v>73992</v>
      </c>
      <c r="I3470" s="3" t="s">
        <v>21</v>
      </c>
      <c r="J3470" s="4">
        <v>1</v>
      </c>
    </row>
    <row r="3471" spans="1:10" x14ac:dyDescent="0.35">
      <c r="A3471" s="2" t="s">
        <v>3507</v>
      </c>
      <c r="B3471" s="4">
        <v>56</v>
      </c>
      <c r="C3471" t="s">
        <v>11</v>
      </c>
      <c r="D3471" t="s">
        <v>26</v>
      </c>
      <c r="E3471" t="s">
        <v>19</v>
      </c>
      <c r="F3471" t="s">
        <v>30</v>
      </c>
      <c r="G3471" s="4">
        <v>10</v>
      </c>
      <c r="H3471" s="1">
        <v>40402</v>
      </c>
      <c r="I3471" s="3" t="s">
        <v>21</v>
      </c>
      <c r="J3471" s="4">
        <v>4</v>
      </c>
    </row>
    <row r="3472" spans="1:10" x14ac:dyDescent="0.35">
      <c r="A3472" s="2" t="s">
        <v>3508</v>
      </c>
      <c r="B3472" s="4">
        <v>4</v>
      </c>
      <c r="C3472" t="s">
        <v>17</v>
      </c>
      <c r="D3472" t="s">
        <v>33</v>
      </c>
      <c r="E3472" t="s">
        <v>29</v>
      </c>
      <c r="F3472" t="s">
        <v>30</v>
      </c>
      <c r="G3472" s="4">
        <v>1</v>
      </c>
      <c r="H3472" s="1">
        <v>22035</v>
      </c>
      <c r="I3472" s="3" t="s">
        <v>21</v>
      </c>
      <c r="J3472" s="4">
        <v>2</v>
      </c>
    </row>
    <row r="3473" spans="1:10" x14ac:dyDescent="0.35">
      <c r="A3473" s="2" t="s">
        <v>3509</v>
      </c>
      <c r="B3473" s="4">
        <v>68</v>
      </c>
      <c r="C3473" t="s">
        <v>17</v>
      </c>
      <c r="D3473" t="s">
        <v>26</v>
      </c>
      <c r="E3473" t="s">
        <v>29</v>
      </c>
      <c r="F3473" t="s">
        <v>14</v>
      </c>
      <c r="G3473" s="4">
        <v>4</v>
      </c>
      <c r="H3473" s="1">
        <v>86830</v>
      </c>
      <c r="I3473" s="3" t="s">
        <v>21</v>
      </c>
      <c r="J3473" s="4">
        <v>2</v>
      </c>
    </row>
    <row r="3474" spans="1:10" x14ac:dyDescent="0.35">
      <c r="A3474" s="2" t="s">
        <v>3510</v>
      </c>
      <c r="B3474" s="4">
        <v>70</v>
      </c>
      <c r="C3474" t="s">
        <v>11</v>
      </c>
      <c r="D3474" t="s">
        <v>28</v>
      </c>
      <c r="E3474" t="s">
        <v>19</v>
      </c>
      <c r="F3474" t="s">
        <v>20</v>
      </c>
      <c r="G3474" s="4">
        <v>10</v>
      </c>
      <c r="H3474" s="1">
        <v>31002</v>
      </c>
      <c r="I3474" s="3" t="s">
        <v>15</v>
      </c>
      <c r="J3474" s="4">
        <v>2</v>
      </c>
    </row>
    <row r="3475" spans="1:10" x14ac:dyDescent="0.35">
      <c r="A3475" s="2" t="s">
        <v>3511</v>
      </c>
      <c r="B3475" s="4">
        <v>75</v>
      </c>
      <c r="C3475" t="s">
        <v>17</v>
      </c>
      <c r="D3475" t="s">
        <v>28</v>
      </c>
      <c r="E3475" t="s">
        <v>34</v>
      </c>
      <c r="F3475" t="s">
        <v>14</v>
      </c>
      <c r="G3475" s="4">
        <v>6</v>
      </c>
      <c r="H3475" s="1">
        <v>37712</v>
      </c>
      <c r="I3475" s="3" t="s">
        <v>21</v>
      </c>
      <c r="J3475" s="4">
        <v>2</v>
      </c>
    </row>
    <row r="3476" spans="1:10" x14ac:dyDescent="0.35">
      <c r="A3476" s="2" t="s">
        <v>3512</v>
      </c>
      <c r="B3476" s="4">
        <v>25</v>
      </c>
      <c r="C3476" t="s">
        <v>11</v>
      </c>
      <c r="D3476" t="s">
        <v>49</v>
      </c>
      <c r="E3476" t="s">
        <v>27</v>
      </c>
      <c r="F3476" t="s">
        <v>20</v>
      </c>
      <c r="G3476" s="4">
        <v>14</v>
      </c>
      <c r="H3476" s="1">
        <v>16501</v>
      </c>
      <c r="I3476" s="3" t="s">
        <v>15</v>
      </c>
      <c r="J3476" s="4">
        <v>4</v>
      </c>
    </row>
    <row r="3477" spans="1:10" x14ac:dyDescent="0.35">
      <c r="A3477" s="2" t="s">
        <v>3513</v>
      </c>
      <c r="B3477" s="4">
        <v>40</v>
      </c>
      <c r="C3477" t="s">
        <v>11</v>
      </c>
      <c r="D3477" t="s">
        <v>36</v>
      </c>
      <c r="E3477" t="s">
        <v>34</v>
      </c>
      <c r="F3477" t="s">
        <v>30</v>
      </c>
      <c r="G3477" s="4">
        <v>8</v>
      </c>
      <c r="H3477" s="1">
        <v>38101</v>
      </c>
      <c r="I3477" s="3" t="s">
        <v>21</v>
      </c>
      <c r="J3477" s="4">
        <v>1</v>
      </c>
    </row>
    <row r="3478" spans="1:10" x14ac:dyDescent="0.35">
      <c r="A3478" s="2" t="s">
        <v>3514</v>
      </c>
      <c r="B3478" s="4">
        <v>83</v>
      </c>
      <c r="C3478" t="s">
        <v>17</v>
      </c>
      <c r="D3478" t="s">
        <v>26</v>
      </c>
      <c r="E3478" t="s">
        <v>53</v>
      </c>
      <c r="F3478" t="s">
        <v>20</v>
      </c>
      <c r="G3478" s="4">
        <v>2</v>
      </c>
      <c r="H3478" s="1">
        <v>6306</v>
      </c>
      <c r="I3478" s="3" t="s">
        <v>15</v>
      </c>
      <c r="J3478" s="4">
        <v>3</v>
      </c>
    </row>
    <row r="3479" spans="1:10" x14ac:dyDescent="0.35">
      <c r="A3479" s="2" t="s">
        <v>3515</v>
      </c>
      <c r="B3479" s="4">
        <v>53</v>
      </c>
      <c r="C3479" t="s">
        <v>17</v>
      </c>
      <c r="D3479" t="s">
        <v>39</v>
      </c>
      <c r="E3479" t="s">
        <v>37</v>
      </c>
      <c r="F3479" t="s">
        <v>20</v>
      </c>
      <c r="G3479" s="4">
        <v>1</v>
      </c>
      <c r="H3479" s="1">
        <v>28847</v>
      </c>
      <c r="I3479" s="3" t="s">
        <v>15</v>
      </c>
      <c r="J3479" s="4">
        <v>5</v>
      </c>
    </row>
    <row r="3480" spans="1:10" x14ac:dyDescent="0.35">
      <c r="A3480" s="2" t="s">
        <v>3516</v>
      </c>
      <c r="B3480" s="4">
        <v>71</v>
      </c>
      <c r="C3480" t="s">
        <v>11</v>
      </c>
      <c r="D3480" t="s">
        <v>33</v>
      </c>
      <c r="E3480" t="s">
        <v>27</v>
      </c>
      <c r="F3480" t="s">
        <v>20</v>
      </c>
      <c r="G3480" s="4">
        <v>2</v>
      </c>
      <c r="H3480" s="1">
        <v>38128</v>
      </c>
      <c r="I3480" s="3" t="s">
        <v>15</v>
      </c>
      <c r="J3480" s="4">
        <v>3</v>
      </c>
    </row>
    <row r="3481" spans="1:10" x14ac:dyDescent="0.35">
      <c r="A3481" s="2" t="s">
        <v>3517</v>
      </c>
      <c r="B3481" s="4">
        <v>56</v>
      </c>
      <c r="C3481" t="s">
        <v>17</v>
      </c>
      <c r="D3481" t="s">
        <v>33</v>
      </c>
      <c r="E3481" t="s">
        <v>37</v>
      </c>
      <c r="F3481" t="s">
        <v>14</v>
      </c>
      <c r="G3481" s="4">
        <v>10</v>
      </c>
      <c r="H3481" s="1">
        <v>16359</v>
      </c>
      <c r="I3481" s="3" t="s">
        <v>15</v>
      </c>
      <c r="J3481" s="4">
        <v>4</v>
      </c>
    </row>
    <row r="3482" spans="1:10" x14ac:dyDescent="0.35">
      <c r="A3482" s="2" t="s">
        <v>3518</v>
      </c>
      <c r="B3482" s="4">
        <v>14</v>
      </c>
      <c r="C3482" t="s">
        <v>17</v>
      </c>
      <c r="D3482" t="s">
        <v>26</v>
      </c>
      <c r="E3482" t="s">
        <v>24</v>
      </c>
      <c r="F3482" t="s">
        <v>20</v>
      </c>
      <c r="G3482" s="4">
        <v>13</v>
      </c>
      <c r="H3482" s="1">
        <v>80102</v>
      </c>
      <c r="I3482" s="3" t="s">
        <v>21</v>
      </c>
      <c r="J3482" s="4">
        <v>2</v>
      </c>
    </row>
    <row r="3483" spans="1:10" x14ac:dyDescent="0.35">
      <c r="A3483" s="2" t="s">
        <v>3519</v>
      </c>
      <c r="B3483" s="4">
        <v>18</v>
      </c>
      <c r="C3483" t="s">
        <v>11</v>
      </c>
      <c r="D3483" t="s">
        <v>28</v>
      </c>
      <c r="E3483" t="s">
        <v>24</v>
      </c>
      <c r="F3483" t="s">
        <v>20</v>
      </c>
      <c r="G3483" s="4">
        <v>3</v>
      </c>
      <c r="H3483" s="1">
        <v>54757</v>
      </c>
      <c r="I3483" s="3" t="s">
        <v>21</v>
      </c>
      <c r="J3483" s="4">
        <v>4</v>
      </c>
    </row>
    <row r="3484" spans="1:10" x14ac:dyDescent="0.35">
      <c r="A3484" s="2" t="s">
        <v>3520</v>
      </c>
      <c r="B3484" s="4">
        <v>68</v>
      </c>
      <c r="C3484" t="s">
        <v>11</v>
      </c>
      <c r="D3484" t="s">
        <v>49</v>
      </c>
      <c r="E3484" t="s">
        <v>13</v>
      </c>
      <c r="F3484" t="s">
        <v>14</v>
      </c>
      <c r="G3484" s="4">
        <v>15</v>
      </c>
      <c r="H3484" s="1">
        <v>35993</v>
      </c>
      <c r="I3484" s="3" t="s">
        <v>21</v>
      </c>
      <c r="J3484" s="4">
        <v>4</v>
      </c>
    </row>
    <row r="3485" spans="1:10" x14ac:dyDescent="0.35">
      <c r="A3485" s="2" t="s">
        <v>3521</v>
      </c>
      <c r="B3485" s="4">
        <v>39</v>
      </c>
      <c r="C3485" t="s">
        <v>17</v>
      </c>
      <c r="D3485" t="s">
        <v>33</v>
      </c>
      <c r="E3485" t="s">
        <v>53</v>
      </c>
      <c r="F3485" t="s">
        <v>20</v>
      </c>
      <c r="G3485" s="4">
        <v>3</v>
      </c>
      <c r="H3485" s="1">
        <v>70189</v>
      </c>
      <c r="I3485" s="3" t="s">
        <v>15</v>
      </c>
      <c r="J3485" s="4">
        <v>1</v>
      </c>
    </row>
    <row r="3486" spans="1:10" x14ac:dyDescent="0.35">
      <c r="A3486" s="2" t="s">
        <v>3522</v>
      </c>
      <c r="B3486" s="4">
        <v>8</v>
      </c>
      <c r="C3486" t="s">
        <v>11</v>
      </c>
      <c r="D3486" t="s">
        <v>49</v>
      </c>
      <c r="E3486" t="s">
        <v>65</v>
      </c>
      <c r="F3486" t="s">
        <v>30</v>
      </c>
      <c r="G3486" s="4">
        <v>12</v>
      </c>
      <c r="H3486" s="1">
        <v>57206</v>
      </c>
      <c r="I3486" s="3" t="s">
        <v>15</v>
      </c>
      <c r="J3486" s="4">
        <v>4</v>
      </c>
    </row>
    <row r="3487" spans="1:10" x14ac:dyDescent="0.35">
      <c r="A3487" s="2" t="s">
        <v>3523</v>
      </c>
      <c r="B3487" s="4">
        <v>5</v>
      </c>
      <c r="C3487" t="s">
        <v>11</v>
      </c>
      <c r="D3487" t="s">
        <v>36</v>
      </c>
      <c r="E3487" t="s">
        <v>42</v>
      </c>
      <c r="F3487" t="s">
        <v>14</v>
      </c>
      <c r="G3487" s="4">
        <v>4</v>
      </c>
      <c r="H3487" s="1">
        <v>89209</v>
      </c>
      <c r="I3487" s="3" t="s">
        <v>21</v>
      </c>
      <c r="J3487" s="4">
        <v>2</v>
      </c>
    </row>
    <row r="3488" spans="1:10" x14ac:dyDescent="0.35">
      <c r="A3488" s="2" t="s">
        <v>3524</v>
      </c>
      <c r="B3488" s="4">
        <v>71</v>
      </c>
      <c r="C3488" t="s">
        <v>11</v>
      </c>
      <c r="D3488" t="s">
        <v>12</v>
      </c>
      <c r="E3488" t="s">
        <v>19</v>
      </c>
      <c r="F3488" t="s">
        <v>30</v>
      </c>
      <c r="G3488" s="4">
        <v>11</v>
      </c>
      <c r="H3488" s="1">
        <v>60687</v>
      </c>
      <c r="I3488" s="3" t="s">
        <v>21</v>
      </c>
      <c r="J3488" s="4">
        <v>3</v>
      </c>
    </row>
    <row r="3489" spans="1:10" x14ac:dyDescent="0.35">
      <c r="A3489" s="2" t="s">
        <v>3525</v>
      </c>
      <c r="B3489" s="4">
        <v>82</v>
      </c>
      <c r="C3489" t="s">
        <v>17</v>
      </c>
      <c r="D3489" t="s">
        <v>33</v>
      </c>
      <c r="E3489" t="s">
        <v>13</v>
      </c>
      <c r="F3489" t="s">
        <v>30</v>
      </c>
      <c r="G3489" s="4">
        <v>9</v>
      </c>
      <c r="H3489" s="1">
        <v>77582</v>
      </c>
      <c r="I3489" s="3" t="s">
        <v>21</v>
      </c>
      <c r="J3489" s="4">
        <v>1</v>
      </c>
    </row>
    <row r="3490" spans="1:10" x14ac:dyDescent="0.35">
      <c r="A3490" s="2" t="s">
        <v>3526</v>
      </c>
      <c r="B3490" s="4">
        <v>71</v>
      </c>
      <c r="C3490" t="s">
        <v>11</v>
      </c>
      <c r="D3490" t="s">
        <v>33</v>
      </c>
      <c r="E3490" t="s">
        <v>29</v>
      </c>
      <c r="F3490" t="s">
        <v>14</v>
      </c>
      <c r="G3490" s="4">
        <v>15</v>
      </c>
      <c r="H3490" s="1">
        <v>91612</v>
      </c>
      <c r="I3490" s="3" t="s">
        <v>21</v>
      </c>
      <c r="J3490" s="4">
        <v>5</v>
      </c>
    </row>
    <row r="3491" spans="1:10" x14ac:dyDescent="0.35">
      <c r="A3491" s="2" t="s">
        <v>3527</v>
      </c>
      <c r="B3491" s="4">
        <v>63</v>
      </c>
      <c r="C3491" t="s">
        <v>11</v>
      </c>
      <c r="D3491" t="s">
        <v>23</v>
      </c>
      <c r="E3491" t="s">
        <v>34</v>
      </c>
      <c r="F3491" t="s">
        <v>14</v>
      </c>
      <c r="G3491" s="4">
        <v>5</v>
      </c>
      <c r="H3491" s="1">
        <v>69196</v>
      </c>
      <c r="I3491" s="3" t="s">
        <v>21</v>
      </c>
      <c r="J3491" s="4">
        <v>3</v>
      </c>
    </row>
    <row r="3492" spans="1:10" x14ac:dyDescent="0.35">
      <c r="A3492" s="2" t="s">
        <v>3528</v>
      </c>
      <c r="B3492" s="4">
        <v>65</v>
      </c>
      <c r="C3492" t="s">
        <v>11</v>
      </c>
      <c r="D3492" t="s">
        <v>36</v>
      </c>
      <c r="E3492" t="s">
        <v>24</v>
      </c>
      <c r="F3492" t="s">
        <v>14</v>
      </c>
      <c r="G3492" s="4">
        <v>11</v>
      </c>
      <c r="H3492" s="1">
        <v>32002</v>
      </c>
      <c r="I3492" s="3" t="s">
        <v>15</v>
      </c>
      <c r="J3492" s="4">
        <v>3</v>
      </c>
    </row>
    <row r="3493" spans="1:10" x14ac:dyDescent="0.35">
      <c r="A3493" s="2" t="s">
        <v>3529</v>
      </c>
      <c r="B3493" s="4">
        <v>31</v>
      </c>
      <c r="C3493" t="s">
        <v>17</v>
      </c>
      <c r="D3493" t="s">
        <v>18</v>
      </c>
      <c r="E3493" t="s">
        <v>19</v>
      </c>
      <c r="F3493" t="s">
        <v>20</v>
      </c>
      <c r="G3493" s="4">
        <v>15</v>
      </c>
      <c r="H3493" s="1">
        <v>77356</v>
      </c>
      <c r="I3493" s="3" t="s">
        <v>21</v>
      </c>
      <c r="J3493" s="4">
        <v>1</v>
      </c>
    </row>
    <row r="3494" spans="1:10" x14ac:dyDescent="0.35">
      <c r="A3494" s="2" t="s">
        <v>3530</v>
      </c>
      <c r="B3494" s="4">
        <v>68</v>
      </c>
      <c r="C3494" t="s">
        <v>17</v>
      </c>
      <c r="D3494" t="s">
        <v>39</v>
      </c>
      <c r="E3494" t="s">
        <v>24</v>
      </c>
      <c r="F3494" t="s">
        <v>20</v>
      </c>
      <c r="G3494" s="4">
        <v>10</v>
      </c>
      <c r="H3494" s="1">
        <v>56258</v>
      </c>
      <c r="I3494" s="3" t="s">
        <v>15</v>
      </c>
      <c r="J3494" s="4">
        <v>5</v>
      </c>
    </row>
    <row r="3495" spans="1:10" x14ac:dyDescent="0.35">
      <c r="A3495" s="2" t="s">
        <v>3531</v>
      </c>
      <c r="B3495" s="4">
        <v>37</v>
      </c>
      <c r="C3495" t="s">
        <v>11</v>
      </c>
      <c r="D3495" t="s">
        <v>12</v>
      </c>
      <c r="E3495" t="s">
        <v>19</v>
      </c>
      <c r="F3495" t="s">
        <v>20</v>
      </c>
      <c r="G3495" s="4">
        <v>13</v>
      </c>
      <c r="H3495" s="1">
        <v>80378</v>
      </c>
      <c r="I3495" s="3" t="s">
        <v>15</v>
      </c>
      <c r="J3495" s="4">
        <v>3</v>
      </c>
    </row>
    <row r="3496" spans="1:10" x14ac:dyDescent="0.35">
      <c r="A3496" s="2" t="s">
        <v>3532</v>
      </c>
      <c r="B3496" s="4">
        <v>16</v>
      </c>
      <c r="C3496" t="s">
        <v>17</v>
      </c>
      <c r="D3496" t="s">
        <v>12</v>
      </c>
      <c r="E3496" t="s">
        <v>24</v>
      </c>
      <c r="F3496" t="s">
        <v>30</v>
      </c>
      <c r="G3496" s="4">
        <v>15</v>
      </c>
      <c r="H3496" s="1">
        <v>93660</v>
      </c>
      <c r="I3496" s="3" t="s">
        <v>15</v>
      </c>
      <c r="J3496" s="4">
        <v>4</v>
      </c>
    </row>
    <row r="3497" spans="1:10" x14ac:dyDescent="0.35">
      <c r="A3497" s="2" t="s">
        <v>3533</v>
      </c>
      <c r="B3497" s="4">
        <v>80</v>
      </c>
      <c r="C3497" t="s">
        <v>11</v>
      </c>
      <c r="D3497" t="s">
        <v>41</v>
      </c>
      <c r="E3497" t="s">
        <v>37</v>
      </c>
      <c r="F3497" t="s">
        <v>20</v>
      </c>
      <c r="G3497" s="4">
        <v>10</v>
      </c>
      <c r="H3497" s="1">
        <v>27842</v>
      </c>
      <c r="I3497" s="3" t="s">
        <v>15</v>
      </c>
      <c r="J3497" s="4">
        <v>3</v>
      </c>
    </row>
    <row r="3498" spans="1:10" x14ac:dyDescent="0.35">
      <c r="A3498" s="2" t="s">
        <v>3534</v>
      </c>
      <c r="B3498" s="4">
        <v>44</v>
      </c>
      <c r="C3498" t="s">
        <v>17</v>
      </c>
      <c r="D3498" t="s">
        <v>36</v>
      </c>
      <c r="E3498" t="s">
        <v>53</v>
      </c>
      <c r="F3498" t="s">
        <v>30</v>
      </c>
      <c r="G3498" s="4">
        <v>9</v>
      </c>
      <c r="H3498" s="1">
        <v>90108</v>
      </c>
      <c r="I3498" s="3" t="s">
        <v>15</v>
      </c>
      <c r="J3498" s="4">
        <v>4</v>
      </c>
    </row>
    <row r="3499" spans="1:10" x14ac:dyDescent="0.35">
      <c r="A3499" s="2" t="s">
        <v>3535</v>
      </c>
      <c r="B3499" s="4">
        <v>10</v>
      </c>
      <c r="C3499" t="s">
        <v>11</v>
      </c>
      <c r="D3499" t="s">
        <v>18</v>
      </c>
      <c r="E3499" t="s">
        <v>29</v>
      </c>
      <c r="F3499" t="s">
        <v>30</v>
      </c>
      <c r="G3499" s="4">
        <v>11</v>
      </c>
      <c r="H3499" s="1">
        <v>32076</v>
      </c>
      <c r="I3499" s="3" t="s">
        <v>15</v>
      </c>
      <c r="J3499" s="4">
        <v>4</v>
      </c>
    </row>
    <row r="3500" spans="1:10" x14ac:dyDescent="0.35">
      <c r="A3500" s="2" t="s">
        <v>3536</v>
      </c>
      <c r="B3500" s="4">
        <v>12</v>
      </c>
      <c r="C3500" t="s">
        <v>11</v>
      </c>
      <c r="D3500" t="s">
        <v>49</v>
      </c>
      <c r="E3500" t="s">
        <v>34</v>
      </c>
      <c r="F3500" t="s">
        <v>30</v>
      </c>
      <c r="G3500" s="4">
        <v>3</v>
      </c>
      <c r="H3500" s="1">
        <v>21221</v>
      </c>
      <c r="I3500" s="3" t="s">
        <v>15</v>
      </c>
      <c r="J3500" s="4">
        <v>3</v>
      </c>
    </row>
    <row r="3501" spans="1:10" x14ac:dyDescent="0.35">
      <c r="A3501" s="2" t="s">
        <v>3537</v>
      </c>
      <c r="B3501" s="4">
        <v>68</v>
      </c>
      <c r="C3501" t="s">
        <v>17</v>
      </c>
      <c r="D3501" t="s">
        <v>26</v>
      </c>
      <c r="E3501" t="s">
        <v>53</v>
      </c>
      <c r="F3501" t="s">
        <v>20</v>
      </c>
      <c r="G3501" s="4">
        <v>4</v>
      </c>
      <c r="H3501" s="1">
        <v>38981</v>
      </c>
      <c r="I3501" s="3" t="s">
        <v>21</v>
      </c>
      <c r="J3501" s="4">
        <v>2</v>
      </c>
    </row>
    <row r="3502" spans="1:10" x14ac:dyDescent="0.35">
      <c r="A3502" s="2" t="s">
        <v>3538</v>
      </c>
      <c r="B3502" s="4">
        <v>8</v>
      </c>
      <c r="C3502" t="s">
        <v>11</v>
      </c>
      <c r="D3502" t="s">
        <v>33</v>
      </c>
      <c r="E3502" t="s">
        <v>53</v>
      </c>
      <c r="F3502" t="s">
        <v>20</v>
      </c>
      <c r="G3502" s="4">
        <v>11</v>
      </c>
      <c r="H3502" s="1">
        <v>73699</v>
      </c>
      <c r="I3502" s="3" t="s">
        <v>21</v>
      </c>
      <c r="J3502" s="4">
        <v>2</v>
      </c>
    </row>
    <row r="3503" spans="1:10" x14ac:dyDescent="0.35">
      <c r="A3503" s="2" t="s">
        <v>3539</v>
      </c>
      <c r="B3503" s="4">
        <v>80</v>
      </c>
      <c r="C3503" t="s">
        <v>11</v>
      </c>
      <c r="D3503" t="s">
        <v>26</v>
      </c>
      <c r="E3503" t="s">
        <v>42</v>
      </c>
      <c r="F3503" t="s">
        <v>14</v>
      </c>
      <c r="G3503" s="4">
        <v>6</v>
      </c>
      <c r="H3503" s="1">
        <v>48072</v>
      </c>
      <c r="I3503" s="3" t="s">
        <v>15</v>
      </c>
      <c r="J3503" s="4">
        <v>4</v>
      </c>
    </row>
    <row r="3504" spans="1:10" x14ac:dyDescent="0.35">
      <c r="A3504" s="2" t="s">
        <v>3540</v>
      </c>
      <c r="B3504" s="4">
        <v>60</v>
      </c>
      <c r="C3504" t="s">
        <v>11</v>
      </c>
      <c r="D3504" t="s">
        <v>33</v>
      </c>
      <c r="E3504" t="s">
        <v>19</v>
      </c>
      <c r="F3504" t="s">
        <v>14</v>
      </c>
      <c r="G3504" s="4">
        <v>12</v>
      </c>
      <c r="H3504" s="1">
        <v>62157</v>
      </c>
      <c r="I3504" s="3" t="s">
        <v>15</v>
      </c>
      <c r="J3504" s="4">
        <v>1</v>
      </c>
    </row>
    <row r="3505" spans="1:10" x14ac:dyDescent="0.35">
      <c r="A3505" s="2" t="s">
        <v>3541</v>
      </c>
      <c r="B3505" s="4">
        <v>62</v>
      </c>
      <c r="C3505" t="s">
        <v>11</v>
      </c>
      <c r="D3505" t="s">
        <v>18</v>
      </c>
      <c r="E3505" t="s">
        <v>65</v>
      </c>
      <c r="F3505" t="s">
        <v>14</v>
      </c>
      <c r="G3505" s="4">
        <v>10</v>
      </c>
      <c r="H3505" s="1">
        <v>51531</v>
      </c>
      <c r="I3505" s="3" t="s">
        <v>21</v>
      </c>
      <c r="J3505" s="4">
        <v>2</v>
      </c>
    </row>
    <row r="3506" spans="1:10" x14ac:dyDescent="0.35">
      <c r="A3506" s="2" t="s">
        <v>3542</v>
      </c>
      <c r="B3506" s="4">
        <v>85</v>
      </c>
      <c r="C3506" t="s">
        <v>17</v>
      </c>
      <c r="D3506" t="s">
        <v>41</v>
      </c>
      <c r="E3506" t="s">
        <v>34</v>
      </c>
      <c r="F3506" t="s">
        <v>30</v>
      </c>
      <c r="G3506" s="4">
        <v>12</v>
      </c>
      <c r="H3506" s="1">
        <v>24126</v>
      </c>
      <c r="I3506" s="3" t="s">
        <v>15</v>
      </c>
      <c r="J3506" s="4">
        <v>5</v>
      </c>
    </row>
    <row r="3507" spans="1:10" x14ac:dyDescent="0.35">
      <c r="A3507" s="2" t="s">
        <v>3543</v>
      </c>
      <c r="B3507" s="4">
        <v>51</v>
      </c>
      <c r="C3507" t="s">
        <v>11</v>
      </c>
      <c r="D3507" t="s">
        <v>33</v>
      </c>
      <c r="E3507" t="s">
        <v>42</v>
      </c>
      <c r="F3507" t="s">
        <v>14</v>
      </c>
      <c r="G3507" s="4">
        <v>14</v>
      </c>
      <c r="H3507" s="1">
        <v>87985</v>
      </c>
      <c r="I3507" s="3" t="s">
        <v>21</v>
      </c>
      <c r="J3507" s="4">
        <v>2</v>
      </c>
    </row>
    <row r="3508" spans="1:10" x14ac:dyDescent="0.35">
      <c r="A3508" s="2" t="s">
        <v>3544</v>
      </c>
      <c r="B3508" s="4">
        <v>63</v>
      </c>
      <c r="C3508" t="s">
        <v>17</v>
      </c>
      <c r="D3508" t="s">
        <v>18</v>
      </c>
      <c r="E3508" t="s">
        <v>27</v>
      </c>
      <c r="F3508" t="s">
        <v>14</v>
      </c>
      <c r="G3508" s="4">
        <v>15</v>
      </c>
      <c r="H3508" s="1">
        <v>48004</v>
      </c>
      <c r="I3508" s="3" t="s">
        <v>21</v>
      </c>
      <c r="J3508" s="4">
        <v>4</v>
      </c>
    </row>
    <row r="3509" spans="1:10" x14ac:dyDescent="0.35">
      <c r="A3509" s="2" t="s">
        <v>3545</v>
      </c>
      <c r="B3509" s="4">
        <v>68</v>
      </c>
      <c r="C3509" t="s">
        <v>17</v>
      </c>
      <c r="D3509" t="s">
        <v>39</v>
      </c>
      <c r="E3509" t="s">
        <v>34</v>
      </c>
      <c r="F3509" t="s">
        <v>14</v>
      </c>
      <c r="G3509" s="4">
        <v>4</v>
      </c>
      <c r="H3509" s="1">
        <v>20192</v>
      </c>
      <c r="I3509" s="3" t="s">
        <v>15</v>
      </c>
      <c r="J3509" s="4">
        <v>1</v>
      </c>
    </row>
    <row r="3510" spans="1:10" x14ac:dyDescent="0.35">
      <c r="A3510" s="2" t="s">
        <v>3546</v>
      </c>
      <c r="B3510" s="4">
        <v>71</v>
      </c>
      <c r="C3510" t="s">
        <v>17</v>
      </c>
      <c r="D3510" t="s">
        <v>41</v>
      </c>
      <c r="E3510" t="s">
        <v>65</v>
      </c>
      <c r="F3510" t="s">
        <v>20</v>
      </c>
      <c r="G3510" s="4">
        <v>13</v>
      </c>
      <c r="H3510" s="1">
        <v>47864</v>
      </c>
      <c r="I3510" s="3" t="s">
        <v>15</v>
      </c>
      <c r="J3510" s="4">
        <v>5</v>
      </c>
    </row>
    <row r="3511" spans="1:10" x14ac:dyDescent="0.35">
      <c r="A3511" s="2" t="s">
        <v>3547</v>
      </c>
      <c r="B3511" s="4">
        <v>87</v>
      </c>
      <c r="C3511" t="s">
        <v>17</v>
      </c>
      <c r="D3511" t="s">
        <v>12</v>
      </c>
      <c r="E3511" t="s">
        <v>29</v>
      </c>
      <c r="F3511" t="s">
        <v>30</v>
      </c>
      <c r="G3511" s="4">
        <v>3</v>
      </c>
      <c r="H3511" s="1">
        <v>79871</v>
      </c>
      <c r="I3511" s="3" t="s">
        <v>15</v>
      </c>
      <c r="J3511" s="4">
        <v>3</v>
      </c>
    </row>
    <row r="3512" spans="1:10" x14ac:dyDescent="0.35">
      <c r="A3512" s="2" t="s">
        <v>3548</v>
      </c>
      <c r="B3512" s="4">
        <v>9</v>
      </c>
      <c r="C3512" t="s">
        <v>17</v>
      </c>
      <c r="D3512" t="s">
        <v>18</v>
      </c>
      <c r="E3512" t="s">
        <v>65</v>
      </c>
      <c r="F3512" t="s">
        <v>30</v>
      </c>
      <c r="G3512" s="4">
        <v>6</v>
      </c>
      <c r="H3512" s="1">
        <v>29372</v>
      </c>
      <c r="I3512" s="3" t="s">
        <v>21</v>
      </c>
      <c r="J3512" s="4">
        <v>2</v>
      </c>
    </row>
    <row r="3513" spans="1:10" x14ac:dyDescent="0.35">
      <c r="A3513" s="2" t="s">
        <v>3549</v>
      </c>
      <c r="B3513" s="4">
        <v>85</v>
      </c>
      <c r="C3513" t="s">
        <v>17</v>
      </c>
      <c r="D3513" t="s">
        <v>28</v>
      </c>
      <c r="E3513" t="s">
        <v>37</v>
      </c>
      <c r="F3513" t="s">
        <v>20</v>
      </c>
      <c r="G3513" s="4">
        <v>7</v>
      </c>
      <c r="H3513" s="1">
        <v>88334</v>
      </c>
      <c r="I3513" s="3" t="s">
        <v>15</v>
      </c>
      <c r="J3513" s="4">
        <v>2</v>
      </c>
    </row>
    <row r="3514" spans="1:10" x14ac:dyDescent="0.35">
      <c r="A3514" s="2" t="s">
        <v>3550</v>
      </c>
      <c r="B3514" s="4">
        <v>38</v>
      </c>
      <c r="C3514" t="s">
        <v>11</v>
      </c>
      <c r="D3514" t="s">
        <v>28</v>
      </c>
      <c r="E3514" t="s">
        <v>42</v>
      </c>
      <c r="F3514" t="s">
        <v>30</v>
      </c>
      <c r="G3514" s="4">
        <v>11</v>
      </c>
      <c r="H3514" s="1">
        <v>42727</v>
      </c>
      <c r="I3514" s="3" t="s">
        <v>21</v>
      </c>
      <c r="J3514" s="4">
        <v>3</v>
      </c>
    </row>
    <row r="3515" spans="1:10" x14ac:dyDescent="0.35">
      <c r="A3515" s="2" t="s">
        <v>3551</v>
      </c>
      <c r="B3515" s="4">
        <v>1</v>
      </c>
      <c r="C3515" t="s">
        <v>17</v>
      </c>
      <c r="D3515" t="s">
        <v>12</v>
      </c>
      <c r="E3515" t="s">
        <v>65</v>
      </c>
      <c r="F3515" t="s">
        <v>20</v>
      </c>
      <c r="G3515" s="4">
        <v>11</v>
      </c>
      <c r="H3515" s="1">
        <v>59595</v>
      </c>
      <c r="I3515" s="3" t="s">
        <v>21</v>
      </c>
      <c r="J3515" s="4">
        <v>5</v>
      </c>
    </row>
    <row r="3516" spans="1:10" x14ac:dyDescent="0.35">
      <c r="A3516" s="2" t="s">
        <v>3552</v>
      </c>
      <c r="B3516" s="4">
        <v>54</v>
      </c>
      <c r="C3516" t="s">
        <v>11</v>
      </c>
      <c r="D3516" t="s">
        <v>26</v>
      </c>
      <c r="E3516" t="s">
        <v>29</v>
      </c>
      <c r="F3516" t="s">
        <v>20</v>
      </c>
      <c r="G3516" s="4">
        <v>1</v>
      </c>
      <c r="H3516" s="1">
        <v>18846</v>
      </c>
      <c r="I3516" s="3" t="s">
        <v>21</v>
      </c>
      <c r="J3516" s="4">
        <v>5</v>
      </c>
    </row>
    <row r="3517" spans="1:10" x14ac:dyDescent="0.35">
      <c r="A3517" s="2" t="s">
        <v>3553</v>
      </c>
      <c r="B3517" s="4">
        <v>48</v>
      </c>
      <c r="C3517" t="s">
        <v>11</v>
      </c>
      <c r="D3517" t="s">
        <v>23</v>
      </c>
      <c r="E3517" t="s">
        <v>24</v>
      </c>
      <c r="F3517" t="s">
        <v>14</v>
      </c>
      <c r="G3517" s="4">
        <v>9</v>
      </c>
      <c r="H3517" s="1">
        <v>59415</v>
      </c>
      <c r="I3517" s="3" t="s">
        <v>21</v>
      </c>
      <c r="J3517" s="4">
        <v>5</v>
      </c>
    </row>
    <row r="3518" spans="1:10" x14ac:dyDescent="0.35">
      <c r="A3518" s="2" t="s">
        <v>3554</v>
      </c>
      <c r="B3518" s="4">
        <v>40</v>
      </c>
      <c r="C3518" t="s">
        <v>11</v>
      </c>
      <c r="D3518" t="s">
        <v>49</v>
      </c>
      <c r="E3518" t="s">
        <v>53</v>
      </c>
      <c r="F3518" t="s">
        <v>20</v>
      </c>
      <c r="G3518" s="4">
        <v>1</v>
      </c>
      <c r="H3518" s="1">
        <v>6125</v>
      </c>
      <c r="I3518" s="3" t="s">
        <v>15</v>
      </c>
      <c r="J3518" s="4">
        <v>5</v>
      </c>
    </row>
    <row r="3519" spans="1:10" x14ac:dyDescent="0.35">
      <c r="A3519" s="2" t="s">
        <v>3555</v>
      </c>
      <c r="B3519" s="4">
        <v>2</v>
      </c>
      <c r="C3519" t="s">
        <v>11</v>
      </c>
      <c r="D3519" t="s">
        <v>28</v>
      </c>
      <c r="E3519" t="s">
        <v>24</v>
      </c>
      <c r="F3519" t="s">
        <v>20</v>
      </c>
      <c r="G3519" s="4">
        <v>1</v>
      </c>
      <c r="H3519" s="1">
        <v>68359</v>
      </c>
      <c r="I3519" s="3" t="s">
        <v>21</v>
      </c>
      <c r="J3519" s="4">
        <v>5</v>
      </c>
    </row>
    <row r="3520" spans="1:10" x14ac:dyDescent="0.35">
      <c r="A3520" s="2" t="s">
        <v>3556</v>
      </c>
      <c r="B3520" s="4">
        <v>75</v>
      </c>
      <c r="C3520" t="s">
        <v>17</v>
      </c>
      <c r="D3520" t="s">
        <v>39</v>
      </c>
      <c r="E3520" t="s">
        <v>13</v>
      </c>
      <c r="F3520" t="s">
        <v>20</v>
      </c>
      <c r="G3520" s="4">
        <v>10</v>
      </c>
      <c r="H3520" s="1">
        <v>61932</v>
      </c>
      <c r="I3520" s="3" t="s">
        <v>15</v>
      </c>
      <c r="J3520" s="4">
        <v>5</v>
      </c>
    </row>
    <row r="3521" spans="1:10" x14ac:dyDescent="0.35">
      <c r="A3521" s="2" t="s">
        <v>3557</v>
      </c>
      <c r="B3521" s="4">
        <v>63</v>
      </c>
      <c r="C3521" t="s">
        <v>17</v>
      </c>
      <c r="D3521" t="s">
        <v>33</v>
      </c>
      <c r="E3521" t="s">
        <v>34</v>
      </c>
      <c r="F3521" t="s">
        <v>14</v>
      </c>
      <c r="G3521" s="4">
        <v>11</v>
      </c>
      <c r="H3521" s="1">
        <v>43776</v>
      </c>
      <c r="I3521" s="3" t="s">
        <v>21</v>
      </c>
      <c r="J3521" s="4">
        <v>4</v>
      </c>
    </row>
    <row r="3522" spans="1:10" x14ac:dyDescent="0.35">
      <c r="A3522" s="2" t="s">
        <v>3558</v>
      </c>
      <c r="B3522" s="4">
        <v>69</v>
      </c>
      <c r="C3522" t="s">
        <v>17</v>
      </c>
      <c r="D3522" t="s">
        <v>26</v>
      </c>
      <c r="E3522" t="s">
        <v>13</v>
      </c>
      <c r="F3522" t="s">
        <v>20</v>
      </c>
      <c r="G3522" s="4">
        <v>9</v>
      </c>
      <c r="H3522" s="1">
        <v>68329</v>
      </c>
      <c r="I3522" s="3" t="s">
        <v>21</v>
      </c>
      <c r="J3522" s="4">
        <v>3</v>
      </c>
    </row>
    <row r="3523" spans="1:10" x14ac:dyDescent="0.35">
      <c r="A3523" s="2" t="s">
        <v>3559</v>
      </c>
      <c r="B3523" s="4">
        <v>58</v>
      </c>
      <c r="C3523" t="s">
        <v>11</v>
      </c>
      <c r="D3523" t="s">
        <v>49</v>
      </c>
      <c r="E3523" t="s">
        <v>19</v>
      </c>
      <c r="F3523" t="s">
        <v>14</v>
      </c>
      <c r="G3523" s="4">
        <v>2</v>
      </c>
      <c r="H3523" s="1">
        <v>75013</v>
      </c>
      <c r="I3523" s="3" t="s">
        <v>15</v>
      </c>
      <c r="J3523" s="4">
        <v>3</v>
      </c>
    </row>
    <row r="3524" spans="1:10" x14ac:dyDescent="0.35">
      <c r="A3524" s="2" t="s">
        <v>3560</v>
      </c>
      <c r="B3524" s="4">
        <v>33</v>
      </c>
      <c r="C3524" t="s">
        <v>11</v>
      </c>
      <c r="D3524" t="s">
        <v>18</v>
      </c>
      <c r="E3524" t="s">
        <v>24</v>
      </c>
      <c r="F3524" t="s">
        <v>30</v>
      </c>
      <c r="G3524" s="4">
        <v>9</v>
      </c>
      <c r="H3524" s="1">
        <v>61497</v>
      </c>
      <c r="I3524" s="3" t="s">
        <v>15</v>
      </c>
      <c r="J3524" s="4">
        <v>4</v>
      </c>
    </row>
    <row r="3525" spans="1:10" x14ac:dyDescent="0.35">
      <c r="A3525" s="2" t="s">
        <v>3561</v>
      </c>
      <c r="B3525" s="4">
        <v>28</v>
      </c>
      <c r="C3525" t="s">
        <v>11</v>
      </c>
      <c r="D3525" t="s">
        <v>26</v>
      </c>
      <c r="E3525" t="s">
        <v>65</v>
      </c>
      <c r="F3525" t="s">
        <v>20</v>
      </c>
      <c r="G3525" s="4">
        <v>11</v>
      </c>
      <c r="H3525" s="1">
        <v>50527</v>
      </c>
      <c r="I3525" s="3" t="s">
        <v>21</v>
      </c>
      <c r="J3525" s="4">
        <v>3</v>
      </c>
    </row>
    <row r="3526" spans="1:10" x14ac:dyDescent="0.35">
      <c r="A3526" s="2" t="s">
        <v>3562</v>
      </c>
      <c r="B3526" s="4">
        <v>41</v>
      </c>
      <c r="C3526" t="s">
        <v>17</v>
      </c>
      <c r="D3526" t="s">
        <v>39</v>
      </c>
      <c r="E3526" t="s">
        <v>42</v>
      </c>
      <c r="F3526" t="s">
        <v>14</v>
      </c>
      <c r="G3526" s="4">
        <v>6</v>
      </c>
      <c r="H3526" s="1">
        <v>93748</v>
      </c>
      <c r="I3526" s="3" t="s">
        <v>21</v>
      </c>
      <c r="J3526" s="4">
        <v>3</v>
      </c>
    </row>
    <row r="3527" spans="1:10" x14ac:dyDescent="0.35">
      <c r="A3527" s="2" t="s">
        <v>3563</v>
      </c>
      <c r="B3527" s="4">
        <v>54</v>
      </c>
      <c r="C3527" t="s">
        <v>11</v>
      </c>
      <c r="D3527" t="s">
        <v>23</v>
      </c>
      <c r="E3527" t="s">
        <v>29</v>
      </c>
      <c r="F3527" t="s">
        <v>20</v>
      </c>
      <c r="G3527" s="4">
        <v>7</v>
      </c>
      <c r="H3527" s="1">
        <v>34413</v>
      </c>
      <c r="I3527" s="3" t="s">
        <v>15</v>
      </c>
      <c r="J3527" s="4">
        <v>1</v>
      </c>
    </row>
    <row r="3528" spans="1:10" x14ac:dyDescent="0.35">
      <c r="A3528" s="2" t="s">
        <v>3564</v>
      </c>
      <c r="B3528" s="4">
        <v>44</v>
      </c>
      <c r="C3528" t="s">
        <v>17</v>
      </c>
      <c r="D3528" t="s">
        <v>23</v>
      </c>
      <c r="E3528" t="s">
        <v>34</v>
      </c>
      <c r="F3528" t="s">
        <v>20</v>
      </c>
      <c r="G3528" s="4">
        <v>15</v>
      </c>
      <c r="H3528" s="1">
        <v>91807</v>
      </c>
      <c r="I3528" s="3" t="s">
        <v>15</v>
      </c>
      <c r="J3528" s="4">
        <v>1</v>
      </c>
    </row>
    <row r="3529" spans="1:10" x14ac:dyDescent="0.35">
      <c r="A3529" s="2" t="s">
        <v>3565</v>
      </c>
      <c r="B3529" s="4">
        <v>87</v>
      </c>
      <c r="C3529" t="s">
        <v>11</v>
      </c>
      <c r="D3529" t="s">
        <v>26</v>
      </c>
      <c r="E3529" t="s">
        <v>53</v>
      </c>
      <c r="F3529" t="s">
        <v>14</v>
      </c>
      <c r="G3529" s="4">
        <v>7</v>
      </c>
      <c r="H3529" s="1">
        <v>18580</v>
      </c>
      <c r="I3529" s="3" t="s">
        <v>15</v>
      </c>
      <c r="J3529" s="4">
        <v>3</v>
      </c>
    </row>
    <row r="3530" spans="1:10" x14ac:dyDescent="0.35">
      <c r="A3530" s="2" t="s">
        <v>3566</v>
      </c>
      <c r="B3530" s="4">
        <v>14</v>
      </c>
      <c r="C3530" t="s">
        <v>17</v>
      </c>
      <c r="D3530" t="s">
        <v>41</v>
      </c>
      <c r="E3530" t="s">
        <v>34</v>
      </c>
      <c r="F3530" t="s">
        <v>20</v>
      </c>
      <c r="G3530" s="4">
        <v>10</v>
      </c>
      <c r="H3530" s="1">
        <v>91946</v>
      </c>
      <c r="I3530" s="3" t="s">
        <v>21</v>
      </c>
      <c r="J3530" s="4">
        <v>1</v>
      </c>
    </row>
    <row r="3531" spans="1:10" x14ac:dyDescent="0.35">
      <c r="A3531" s="2" t="s">
        <v>3567</v>
      </c>
      <c r="B3531" s="4">
        <v>88</v>
      </c>
      <c r="C3531" t="s">
        <v>11</v>
      </c>
      <c r="D3531" t="s">
        <v>41</v>
      </c>
      <c r="E3531" t="s">
        <v>65</v>
      </c>
      <c r="F3531" t="s">
        <v>30</v>
      </c>
      <c r="G3531" s="4">
        <v>11</v>
      </c>
      <c r="H3531" s="1">
        <v>21613</v>
      </c>
      <c r="I3531" s="3" t="s">
        <v>15</v>
      </c>
      <c r="J3531" s="4">
        <v>5</v>
      </c>
    </row>
    <row r="3532" spans="1:10" x14ac:dyDescent="0.35">
      <c r="A3532" s="2" t="s">
        <v>3568</v>
      </c>
      <c r="B3532" s="4">
        <v>37</v>
      </c>
      <c r="C3532" t="s">
        <v>17</v>
      </c>
      <c r="D3532" t="s">
        <v>39</v>
      </c>
      <c r="E3532" t="s">
        <v>24</v>
      </c>
      <c r="F3532" t="s">
        <v>20</v>
      </c>
      <c r="G3532" s="4">
        <v>4</v>
      </c>
      <c r="H3532" s="1">
        <v>27318</v>
      </c>
      <c r="I3532" s="3" t="s">
        <v>21</v>
      </c>
      <c r="J3532" s="4">
        <v>1</v>
      </c>
    </row>
    <row r="3533" spans="1:10" x14ac:dyDescent="0.35">
      <c r="A3533" s="2" t="s">
        <v>3569</v>
      </c>
      <c r="B3533" s="4">
        <v>89</v>
      </c>
      <c r="C3533" t="s">
        <v>17</v>
      </c>
      <c r="D3533" t="s">
        <v>33</v>
      </c>
      <c r="E3533" t="s">
        <v>53</v>
      </c>
      <c r="F3533" t="s">
        <v>20</v>
      </c>
      <c r="G3533" s="4">
        <v>13</v>
      </c>
      <c r="H3533" s="1">
        <v>73894</v>
      </c>
      <c r="I3533" s="3" t="s">
        <v>15</v>
      </c>
      <c r="J3533" s="4">
        <v>1</v>
      </c>
    </row>
    <row r="3534" spans="1:10" x14ac:dyDescent="0.35">
      <c r="A3534" s="2" t="s">
        <v>3570</v>
      </c>
      <c r="B3534" s="4">
        <v>4</v>
      </c>
      <c r="C3534" t="s">
        <v>11</v>
      </c>
      <c r="D3534" t="s">
        <v>33</v>
      </c>
      <c r="E3534" t="s">
        <v>34</v>
      </c>
      <c r="F3534" t="s">
        <v>30</v>
      </c>
      <c r="G3534" s="4">
        <v>1</v>
      </c>
      <c r="H3534" s="1">
        <v>6393</v>
      </c>
      <c r="I3534" s="3" t="s">
        <v>15</v>
      </c>
      <c r="J3534" s="4">
        <v>3</v>
      </c>
    </row>
    <row r="3535" spans="1:10" x14ac:dyDescent="0.35">
      <c r="A3535" s="2" t="s">
        <v>3571</v>
      </c>
      <c r="B3535" s="4">
        <v>64</v>
      </c>
      <c r="C3535" t="s">
        <v>17</v>
      </c>
      <c r="D3535" t="s">
        <v>39</v>
      </c>
      <c r="E3535" t="s">
        <v>65</v>
      </c>
      <c r="F3535" t="s">
        <v>30</v>
      </c>
      <c r="G3535" s="4">
        <v>8</v>
      </c>
      <c r="H3535" s="1">
        <v>12466</v>
      </c>
      <c r="I3535" s="3" t="s">
        <v>21</v>
      </c>
      <c r="J3535" s="4">
        <v>4</v>
      </c>
    </row>
    <row r="3536" spans="1:10" x14ac:dyDescent="0.35">
      <c r="A3536" s="2" t="s">
        <v>3572</v>
      </c>
      <c r="B3536" s="4">
        <v>37</v>
      </c>
      <c r="C3536" t="s">
        <v>17</v>
      </c>
      <c r="D3536" t="s">
        <v>33</v>
      </c>
      <c r="E3536" t="s">
        <v>65</v>
      </c>
      <c r="F3536" t="s">
        <v>30</v>
      </c>
      <c r="G3536" s="4">
        <v>5</v>
      </c>
      <c r="H3536" s="1">
        <v>47138</v>
      </c>
      <c r="I3536" s="3" t="s">
        <v>21</v>
      </c>
      <c r="J3536" s="4">
        <v>2</v>
      </c>
    </row>
    <row r="3537" spans="1:10" x14ac:dyDescent="0.35">
      <c r="A3537" s="2" t="s">
        <v>3573</v>
      </c>
      <c r="B3537" s="4">
        <v>61</v>
      </c>
      <c r="C3537" t="s">
        <v>17</v>
      </c>
      <c r="D3537" t="s">
        <v>18</v>
      </c>
      <c r="E3537" t="s">
        <v>53</v>
      </c>
      <c r="F3537" t="s">
        <v>14</v>
      </c>
      <c r="G3537" s="4">
        <v>5</v>
      </c>
      <c r="H3537" s="1">
        <v>81886</v>
      </c>
      <c r="I3537" s="3" t="s">
        <v>15</v>
      </c>
      <c r="J3537" s="4">
        <v>2</v>
      </c>
    </row>
    <row r="3538" spans="1:10" x14ac:dyDescent="0.35">
      <c r="A3538" s="2" t="s">
        <v>3574</v>
      </c>
      <c r="B3538" s="4">
        <v>15</v>
      </c>
      <c r="C3538" t="s">
        <v>11</v>
      </c>
      <c r="D3538" t="s">
        <v>33</v>
      </c>
      <c r="E3538" t="s">
        <v>29</v>
      </c>
      <c r="F3538" t="s">
        <v>20</v>
      </c>
      <c r="G3538" s="4">
        <v>10</v>
      </c>
      <c r="H3538" s="1">
        <v>79031</v>
      </c>
      <c r="I3538" s="3" t="s">
        <v>21</v>
      </c>
      <c r="J3538" s="4">
        <v>3</v>
      </c>
    </row>
    <row r="3539" spans="1:10" x14ac:dyDescent="0.35">
      <c r="A3539" s="2" t="s">
        <v>3575</v>
      </c>
      <c r="B3539" s="4">
        <v>43</v>
      </c>
      <c r="C3539" t="s">
        <v>17</v>
      </c>
      <c r="D3539" t="s">
        <v>49</v>
      </c>
      <c r="E3539" t="s">
        <v>27</v>
      </c>
      <c r="F3539" t="s">
        <v>14</v>
      </c>
      <c r="G3539" s="4">
        <v>15</v>
      </c>
      <c r="H3539" s="1">
        <v>76371</v>
      </c>
      <c r="I3539" s="3" t="s">
        <v>21</v>
      </c>
      <c r="J3539" s="4">
        <v>1</v>
      </c>
    </row>
    <row r="3540" spans="1:10" x14ac:dyDescent="0.35">
      <c r="A3540" s="2" t="s">
        <v>3576</v>
      </c>
      <c r="B3540" s="4">
        <v>41</v>
      </c>
      <c r="C3540" t="s">
        <v>17</v>
      </c>
      <c r="D3540" t="s">
        <v>33</v>
      </c>
      <c r="E3540" t="s">
        <v>13</v>
      </c>
      <c r="F3540" t="s">
        <v>30</v>
      </c>
      <c r="G3540" s="4">
        <v>3</v>
      </c>
      <c r="H3540" s="1">
        <v>80967</v>
      </c>
      <c r="I3540" s="3" t="s">
        <v>21</v>
      </c>
      <c r="J3540" s="4">
        <v>5</v>
      </c>
    </row>
    <row r="3541" spans="1:10" x14ac:dyDescent="0.35">
      <c r="A3541" s="2" t="s">
        <v>3577</v>
      </c>
      <c r="B3541" s="4">
        <v>43</v>
      </c>
      <c r="C3541" t="s">
        <v>11</v>
      </c>
      <c r="D3541" t="s">
        <v>39</v>
      </c>
      <c r="E3541" t="s">
        <v>37</v>
      </c>
      <c r="F3541" t="s">
        <v>20</v>
      </c>
      <c r="G3541" s="4">
        <v>15</v>
      </c>
      <c r="H3541" s="1">
        <v>41110</v>
      </c>
      <c r="I3541" s="3" t="s">
        <v>21</v>
      </c>
      <c r="J3541" s="4">
        <v>2</v>
      </c>
    </row>
    <row r="3542" spans="1:10" x14ac:dyDescent="0.35">
      <c r="A3542" s="2" t="s">
        <v>3578</v>
      </c>
      <c r="B3542" s="4">
        <v>19</v>
      </c>
      <c r="C3542" t="s">
        <v>11</v>
      </c>
      <c r="D3542" t="s">
        <v>39</v>
      </c>
      <c r="E3542" t="s">
        <v>37</v>
      </c>
      <c r="F3542" t="s">
        <v>20</v>
      </c>
      <c r="G3542" s="4">
        <v>11</v>
      </c>
      <c r="H3542" s="1">
        <v>76255</v>
      </c>
      <c r="I3542" s="3" t="s">
        <v>15</v>
      </c>
      <c r="J3542" s="4">
        <v>5</v>
      </c>
    </row>
    <row r="3543" spans="1:10" x14ac:dyDescent="0.35">
      <c r="A3543" s="2" t="s">
        <v>3579</v>
      </c>
      <c r="B3543" s="4">
        <v>25</v>
      </c>
      <c r="C3543" t="s">
        <v>17</v>
      </c>
      <c r="D3543" t="s">
        <v>41</v>
      </c>
      <c r="E3543" t="s">
        <v>27</v>
      </c>
      <c r="F3543" t="s">
        <v>14</v>
      </c>
      <c r="G3543" s="4">
        <v>2</v>
      </c>
      <c r="H3543" s="1">
        <v>11230</v>
      </c>
      <c r="I3543" s="3" t="s">
        <v>15</v>
      </c>
      <c r="J3543" s="4">
        <v>5</v>
      </c>
    </row>
    <row r="3544" spans="1:10" x14ac:dyDescent="0.35">
      <c r="A3544" s="2" t="s">
        <v>3580</v>
      </c>
      <c r="B3544" s="4">
        <v>41</v>
      </c>
      <c r="C3544" t="s">
        <v>17</v>
      </c>
      <c r="D3544" t="s">
        <v>12</v>
      </c>
      <c r="E3544" t="s">
        <v>13</v>
      </c>
      <c r="F3544" t="s">
        <v>30</v>
      </c>
      <c r="G3544" s="4">
        <v>14</v>
      </c>
      <c r="H3544" s="1">
        <v>33599</v>
      </c>
      <c r="I3544" s="3" t="s">
        <v>15</v>
      </c>
      <c r="J3544" s="4">
        <v>2</v>
      </c>
    </row>
    <row r="3545" spans="1:10" x14ac:dyDescent="0.35">
      <c r="A3545" s="2" t="s">
        <v>3581</v>
      </c>
      <c r="B3545" s="4">
        <v>18</v>
      </c>
      <c r="C3545" t="s">
        <v>11</v>
      </c>
      <c r="D3545" t="s">
        <v>36</v>
      </c>
      <c r="E3545" t="s">
        <v>29</v>
      </c>
      <c r="F3545" t="s">
        <v>20</v>
      </c>
      <c r="G3545" s="4">
        <v>10</v>
      </c>
      <c r="H3545" s="1">
        <v>44738</v>
      </c>
      <c r="I3545" s="3" t="s">
        <v>21</v>
      </c>
      <c r="J3545" s="4">
        <v>4</v>
      </c>
    </row>
    <row r="3546" spans="1:10" x14ac:dyDescent="0.35">
      <c r="A3546" s="2" t="s">
        <v>3582</v>
      </c>
      <c r="B3546" s="4">
        <v>43</v>
      </c>
      <c r="C3546" t="s">
        <v>17</v>
      </c>
      <c r="D3546" t="s">
        <v>39</v>
      </c>
      <c r="E3546" t="s">
        <v>53</v>
      </c>
      <c r="F3546" t="s">
        <v>14</v>
      </c>
      <c r="G3546" s="4">
        <v>10</v>
      </c>
      <c r="H3546" s="1">
        <v>26148</v>
      </c>
      <c r="I3546" s="3" t="s">
        <v>21</v>
      </c>
      <c r="J3546" s="4">
        <v>2</v>
      </c>
    </row>
    <row r="3547" spans="1:10" x14ac:dyDescent="0.35">
      <c r="A3547" s="2" t="s">
        <v>3583</v>
      </c>
      <c r="B3547" s="4">
        <v>50</v>
      </c>
      <c r="C3547" t="s">
        <v>11</v>
      </c>
      <c r="D3547" t="s">
        <v>49</v>
      </c>
      <c r="E3547" t="s">
        <v>27</v>
      </c>
      <c r="F3547" t="s">
        <v>14</v>
      </c>
      <c r="G3547" s="4">
        <v>6</v>
      </c>
      <c r="H3547" s="1">
        <v>15417</v>
      </c>
      <c r="I3547" s="3" t="s">
        <v>21</v>
      </c>
      <c r="J3547" s="4">
        <v>3</v>
      </c>
    </row>
    <row r="3548" spans="1:10" x14ac:dyDescent="0.35">
      <c r="A3548" s="2" t="s">
        <v>3584</v>
      </c>
      <c r="B3548" s="4">
        <v>65</v>
      </c>
      <c r="C3548" t="s">
        <v>11</v>
      </c>
      <c r="D3548" t="s">
        <v>26</v>
      </c>
      <c r="E3548" t="s">
        <v>42</v>
      </c>
      <c r="F3548" t="s">
        <v>20</v>
      </c>
      <c r="G3548" s="4">
        <v>7</v>
      </c>
      <c r="H3548" s="1">
        <v>69400</v>
      </c>
      <c r="I3548" s="3" t="s">
        <v>15</v>
      </c>
      <c r="J3548" s="4">
        <v>4</v>
      </c>
    </row>
    <row r="3549" spans="1:10" x14ac:dyDescent="0.35">
      <c r="A3549" s="2" t="s">
        <v>3585</v>
      </c>
      <c r="B3549" s="4">
        <v>72</v>
      </c>
      <c r="C3549" t="s">
        <v>17</v>
      </c>
      <c r="D3549" t="s">
        <v>36</v>
      </c>
      <c r="E3549" t="s">
        <v>34</v>
      </c>
      <c r="F3549" t="s">
        <v>14</v>
      </c>
      <c r="G3549" s="4">
        <v>5</v>
      </c>
      <c r="H3549" s="1">
        <v>98713</v>
      </c>
      <c r="I3549" s="3" t="s">
        <v>21</v>
      </c>
      <c r="J3549" s="4">
        <v>2</v>
      </c>
    </row>
    <row r="3550" spans="1:10" x14ac:dyDescent="0.35">
      <c r="A3550" s="2" t="s">
        <v>3586</v>
      </c>
      <c r="B3550" s="4">
        <v>82</v>
      </c>
      <c r="C3550" t="s">
        <v>11</v>
      </c>
      <c r="D3550" t="s">
        <v>26</v>
      </c>
      <c r="E3550" t="s">
        <v>29</v>
      </c>
      <c r="F3550" t="s">
        <v>30</v>
      </c>
      <c r="G3550" s="4">
        <v>13</v>
      </c>
      <c r="H3550" s="1">
        <v>69427</v>
      </c>
      <c r="I3550" s="3" t="s">
        <v>21</v>
      </c>
      <c r="J3550" s="4">
        <v>1</v>
      </c>
    </row>
    <row r="3551" spans="1:10" x14ac:dyDescent="0.35">
      <c r="A3551" s="2" t="s">
        <v>3587</v>
      </c>
      <c r="B3551" s="4">
        <v>88</v>
      </c>
      <c r="C3551" t="s">
        <v>17</v>
      </c>
      <c r="D3551" t="s">
        <v>49</v>
      </c>
      <c r="E3551" t="s">
        <v>27</v>
      </c>
      <c r="F3551" t="s">
        <v>20</v>
      </c>
      <c r="G3551" s="4">
        <v>3</v>
      </c>
      <c r="H3551" s="1">
        <v>78020</v>
      </c>
      <c r="I3551" s="3" t="s">
        <v>15</v>
      </c>
      <c r="J3551" s="4">
        <v>4</v>
      </c>
    </row>
    <row r="3552" spans="1:10" x14ac:dyDescent="0.35">
      <c r="A3552" s="2" t="s">
        <v>3588</v>
      </c>
      <c r="B3552" s="4">
        <v>64</v>
      </c>
      <c r="C3552" t="s">
        <v>11</v>
      </c>
      <c r="D3552" t="s">
        <v>33</v>
      </c>
      <c r="E3552" t="s">
        <v>42</v>
      </c>
      <c r="F3552" t="s">
        <v>30</v>
      </c>
      <c r="G3552" s="4">
        <v>1</v>
      </c>
      <c r="H3552" s="1">
        <v>32575</v>
      </c>
      <c r="I3552" s="3" t="s">
        <v>15</v>
      </c>
      <c r="J3552" s="4">
        <v>2</v>
      </c>
    </row>
    <row r="3553" spans="1:10" x14ac:dyDescent="0.35">
      <c r="A3553" s="2" t="s">
        <v>3589</v>
      </c>
      <c r="B3553" s="4">
        <v>89</v>
      </c>
      <c r="C3553" t="s">
        <v>17</v>
      </c>
      <c r="D3553" t="s">
        <v>18</v>
      </c>
      <c r="E3553" t="s">
        <v>42</v>
      </c>
      <c r="F3553" t="s">
        <v>14</v>
      </c>
      <c r="G3553" s="4">
        <v>14</v>
      </c>
      <c r="H3553" s="1">
        <v>47572</v>
      </c>
      <c r="I3553" s="3" t="s">
        <v>15</v>
      </c>
      <c r="J3553" s="4">
        <v>2</v>
      </c>
    </row>
    <row r="3554" spans="1:10" x14ac:dyDescent="0.35">
      <c r="A3554" s="2" t="s">
        <v>3590</v>
      </c>
      <c r="B3554" s="4">
        <v>55</v>
      </c>
      <c r="C3554" t="s">
        <v>17</v>
      </c>
      <c r="D3554" t="s">
        <v>36</v>
      </c>
      <c r="E3554" t="s">
        <v>34</v>
      </c>
      <c r="F3554" t="s">
        <v>30</v>
      </c>
      <c r="G3554" s="4">
        <v>3</v>
      </c>
      <c r="H3554" s="1">
        <v>67588</v>
      </c>
      <c r="I3554" s="3" t="s">
        <v>21</v>
      </c>
      <c r="J3554" s="4">
        <v>5</v>
      </c>
    </row>
    <row r="3555" spans="1:10" x14ac:dyDescent="0.35">
      <c r="A3555" s="2" t="s">
        <v>3591</v>
      </c>
      <c r="B3555" s="4">
        <v>4</v>
      </c>
      <c r="C3555" t="s">
        <v>17</v>
      </c>
      <c r="D3555" t="s">
        <v>49</v>
      </c>
      <c r="E3555" t="s">
        <v>13</v>
      </c>
      <c r="F3555" t="s">
        <v>30</v>
      </c>
      <c r="G3555" s="4">
        <v>4</v>
      </c>
      <c r="H3555" s="1">
        <v>22417</v>
      </c>
      <c r="I3555" s="3" t="s">
        <v>15</v>
      </c>
      <c r="J3555" s="4">
        <v>1</v>
      </c>
    </row>
    <row r="3556" spans="1:10" x14ac:dyDescent="0.35">
      <c r="A3556" s="2" t="s">
        <v>3592</v>
      </c>
      <c r="B3556" s="4">
        <v>52</v>
      </c>
      <c r="C3556" t="s">
        <v>17</v>
      </c>
      <c r="D3556" t="s">
        <v>12</v>
      </c>
      <c r="E3556" t="s">
        <v>19</v>
      </c>
      <c r="F3556" t="s">
        <v>20</v>
      </c>
      <c r="G3556" s="4">
        <v>12</v>
      </c>
      <c r="H3556" s="1">
        <v>73386</v>
      </c>
      <c r="I3556" s="3" t="s">
        <v>15</v>
      </c>
      <c r="J3556" s="4">
        <v>4</v>
      </c>
    </row>
    <row r="3557" spans="1:10" x14ac:dyDescent="0.35">
      <c r="A3557" s="2" t="s">
        <v>3593</v>
      </c>
      <c r="B3557" s="4">
        <v>41</v>
      </c>
      <c r="C3557" t="s">
        <v>17</v>
      </c>
      <c r="D3557" t="s">
        <v>23</v>
      </c>
      <c r="E3557" t="s">
        <v>53</v>
      </c>
      <c r="F3557" t="s">
        <v>14</v>
      </c>
      <c r="G3557" s="4">
        <v>15</v>
      </c>
      <c r="H3557" s="1">
        <v>92671</v>
      </c>
      <c r="I3557" s="3" t="s">
        <v>21</v>
      </c>
      <c r="J3557" s="4">
        <v>5</v>
      </c>
    </row>
    <row r="3558" spans="1:10" x14ac:dyDescent="0.35">
      <c r="A3558" s="2" t="s">
        <v>3594</v>
      </c>
      <c r="B3558" s="4">
        <v>53</v>
      </c>
      <c r="C3558" t="s">
        <v>17</v>
      </c>
      <c r="D3558" t="s">
        <v>26</v>
      </c>
      <c r="E3558" t="s">
        <v>34</v>
      </c>
      <c r="F3558" t="s">
        <v>14</v>
      </c>
      <c r="G3558" s="4">
        <v>15</v>
      </c>
      <c r="H3558" s="1">
        <v>81104</v>
      </c>
      <c r="I3558" s="3" t="s">
        <v>15</v>
      </c>
      <c r="J3558" s="4">
        <v>3</v>
      </c>
    </row>
    <row r="3559" spans="1:10" x14ac:dyDescent="0.35">
      <c r="A3559" s="2" t="s">
        <v>3595</v>
      </c>
      <c r="B3559" s="4">
        <v>64</v>
      </c>
      <c r="C3559" t="s">
        <v>11</v>
      </c>
      <c r="D3559" t="s">
        <v>49</v>
      </c>
      <c r="E3559" t="s">
        <v>65</v>
      </c>
      <c r="F3559" t="s">
        <v>14</v>
      </c>
      <c r="G3559" s="4">
        <v>6</v>
      </c>
      <c r="H3559" s="1">
        <v>72874</v>
      </c>
      <c r="I3559" s="3" t="s">
        <v>15</v>
      </c>
      <c r="J3559" s="4">
        <v>4</v>
      </c>
    </row>
    <row r="3560" spans="1:10" x14ac:dyDescent="0.35">
      <c r="A3560" s="2" t="s">
        <v>3596</v>
      </c>
      <c r="B3560" s="4">
        <v>22</v>
      </c>
      <c r="C3560" t="s">
        <v>11</v>
      </c>
      <c r="D3560" t="s">
        <v>39</v>
      </c>
      <c r="E3560" t="s">
        <v>65</v>
      </c>
      <c r="F3560" t="s">
        <v>14</v>
      </c>
      <c r="G3560" s="4">
        <v>2</v>
      </c>
      <c r="H3560" s="1">
        <v>13702</v>
      </c>
      <c r="I3560" s="3" t="s">
        <v>15</v>
      </c>
      <c r="J3560" s="4">
        <v>3</v>
      </c>
    </row>
    <row r="3561" spans="1:10" x14ac:dyDescent="0.35">
      <c r="A3561" s="2" t="s">
        <v>3597</v>
      </c>
      <c r="B3561" s="4">
        <v>6</v>
      </c>
      <c r="C3561" t="s">
        <v>11</v>
      </c>
      <c r="D3561" t="s">
        <v>36</v>
      </c>
      <c r="E3561" t="s">
        <v>37</v>
      </c>
      <c r="F3561" t="s">
        <v>14</v>
      </c>
      <c r="G3561" s="4">
        <v>7</v>
      </c>
      <c r="H3561" s="1">
        <v>15119</v>
      </c>
      <c r="I3561" s="3" t="s">
        <v>21</v>
      </c>
      <c r="J3561" s="4">
        <v>3</v>
      </c>
    </row>
    <row r="3562" spans="1:10" x14ac:dyDescent="0.35">
      <c r="A3562" s="2" t="s">
        <v>3598</v>
      </c>
      <c r="B3562" s="4">
        <v>85</v>
      </c>
      <c r="C3562" t="s">
        <v>17</v>
      </c>
      <c r="D3562" t="s">
        <v>28</v>
      </c>
      <c r="E3562" t="s">
        <v>42</v>
      </c>
      <c r="F3562" t="s">
        <v>14</v>
      </c>
      <c r="G3562" s="4">
        <v>6</v>
      </c>
      <c r="H3562" s="1">
        <v>30190</v>
      </c>
      <c r="I3562" s="3" t="s">
        <v>21</v>
      </c>
      <c r="J3562" s="4">
        <v>5</v>
      </c>
    </row>
    <row r="3563" spans="1:10" x14ac:dyDescent="0.35">
      <c r="A3563" s="2" t="s">
        <v>3599</v>
      </c>
      <c r="B3563" s="4">
        <v>14</v>
      </c>
      <c r="C3563" t="s">
        <v>17</v>
      </c>
      <c r="D3563" t="s">
        <v>18</v>
      </c>
      <c r="E3563" t="s">
        <v>29</v>
      </c>
      <c r="F3563" t="s">
        <v>20</v>
      </c>
      <c r="G3563" s="4">
        <v>5</v>
      </c>
      <c r="H3563" s="1">
        <v>52259</v>
      </c>
      <c r="I3563" s="3" t="s">
        <v>21</v>
      </c>
      <c r="J3563" s="4">
        <v>4</v>
      </c>
    </row>
    <row r="3564" spans="1:10" x14ac:dyDescent="0.35">
      <c r="A3564" s="2" t="s">
        <v>3600</v>
      </c>
      <c r="B3564" s="4">
        <v>30</v>
      </c>
      <c r="C3564" t="s">
        <v>11</v>
      </c>
      <c r="D3564" t="s">
        <v>33</v>
      </c>
      <c r="E3564" t="s">
        <v>37</v>
      </c>
      <c r="F3564" t="s">
        <v>14</v>
      </c>
      <c r="G3564" s="4">
        <v>5</v>
      </c>
      <c r="H3564" s="1">
        <v>86563</v>
      </c>
      <c r="I3564" s="3" t="s">
        <v>15</v>
      </c>
      <c r="J3564" s="4">
        <v>1</v>
      </c>
    </row>
    <row r="3565" spans="1:10" x14ac:dyDescent="0.35">
      <c r="A3565" s="2" t="s">
        <v>3601</v>
      </c>
      <c r="B3565" s="4">
        <v>30</v>
      </c>
      <c r="C3565" t="s">
        <v>11</v>
      </c>
      <c r="D3565" t="s">
        <v>18</v>
      </c>
      <c r="E3565" t="s">
        <v>42</v>
      </c>
      <c r="F3565" t="s">
        <v>30</v>
      </c>
      <c r="G3565" s="4">
        <v>14</v>
      </c>
      <c r="H3565" s="1">
        <v>37210</v>
      </c>
      <c r="I3565" s="3" t="s">
        <v>15</v>
      </c>
      <c r="J3565" s="4">
        <v>4</v>
      </c>
    </row>
    <row r="3566" spans="1:10" x14ac:dyDescent="0.35">
      <c r="A3566" s="2" t="s">
        <v>3602</v>
      </c>
      <c r="B3566" s="4">
        <v>84</v>
      </c>
      <c r="C3566" t="s">
        <v>17</v>
      </c>
      <c r="D3566" t="s">
        <v>36</v>
      </c>
      <c r="E3566" t="s">
        <v>65</v>
      </c>
      <c r="F3566" t="s">
        <v>20</v>
      </c>
      <c r="G3566" s="4">
        <v>12</v>
      </c>
      <c r="H3566" s="1">
        <v>12321</v>
      </c>
      <c r="I3566" s="3" t="s">
        <v>21</v>
      </c>
      <c r="J3566" s="4">
        <v>1</v>
      </c>
    </row>
    <row r="3567" spans="1:10" x14ac:dyDescent="0.35">
      <c r="A3567" s="2" t="s">
        <v>3603</v>
      </c>
      <c r="B3567" s="4">
        <v>46</v>
      </c>
      <c r="C3567" t="s">
        <v>17</v>
      </c>
      <c r="D3567" t="s">
        <v>33</v>
      </c>
      <c r="E3567" t="s">
        <v>37</v>
      </c>
      <c r="F3567" t="s">
        <v>20</v>
      </c>
      <c r="G3567" s="4">
        <v>7</v>
      </c>
      <c r="H3567" s="1">
        <v>22352</v>
      </c>
      <c r="I3567" s="3" t="s">
        <v>21</v>
      </c>
      <c r="J3567" s="4">
        <v>4</v>
      </c>
    </row>
    <row r="3568" spans="1:10" x14ac:dyDescent="0.35">
      <c r="A3568" s="2" t="s">
        <v>3604</v>
      </c>
      <c r="B3568" s="4">
        <v>46</v>
      </c>
      <c r="C3568" t="s">
        <v>17</v>
      </c>
      <c r="D3568" t="s">
        <v>49</v>
      </c>
      <c r="E3568" t="s">
        <v>53</v>
      </c>
      <c r="F3568" t="s">
        <v>14</v>
      </c>
      <c r="G3568" s="4">
        <v>8</v>
      </c>
      <c r="H3568" s="1">
        <v>86587</v>
      </c>
      <c r="I3568" s="3" t="s">
        <v>21</v>
      </c>
      <c r="J3568" s="4">
        <v>4</v>
      </c>
    </row>
    <row r="3569" spans="1:10" x14ac:dyDescent="0.35">
      <c r="A3569" s="2" t="s">
        <v>3605</v>
      </c>
      <c r="B3569" s="4">
        <v>44</v>
      </c>
      <c r="C3569" t="s">
        <v>11</v>
      </c>
      <c r="D3569" t="s">
        <v>26</v>
      </c>
      <c r="E3569" t="s">
        <v>53</v>
      </c>
      <c r="F3569" t="s">
        <v>20</v>
      </c>
      <c r="G3569" s="4">
        <v>5</v>
      </c>
      <c r="H3569" s="1">
        <v>46875</v>
      </c>
      <c r="I3569" s="3" t="s">
        <v>21</v>
      </c>
      <c r="J3569" s="4">
        <v>2</v>
      </c>
    </row>
    <row r="3570" spans="1:10" x14ac:dyDescent="0.35">
      <c r="A3570" s="2" t="s">
        <v>3606</v>
      </c>
      <c r="B3570" s="4">
        <v>26</v>
      </c>
      <c r="C3570" t="s">
        <v>17</v>
      </c>
      <c r="D3570" t="s">
        <v>41</v>
      </c>
      <c r="E3570" t="s">
        <v>34</v>
      </c>
      <c r="F3570" t="s">
        <v>14</v>
      </c>
      <c r="G3570" s="4">
        <v>11</v>
      </c>
      <c r="H3570" s="1">
        <v>43664</v>
      </c>
      <c r="I3570" s="3" t="s">
        <v>21</v>
      </c>
      <c r="J3570" s="4">
        <v>2</v>
      </c>
    </row>
    <row r="3571" spans="1:10" x14ac:dyDescent="0.35">
      <c r="A3571" s="2" t="s">
        <v>3607</v>
      </c>
      <c r="B3571" s="4">
        <v>15</v>
      </c>
      <c r="C3571" t="s">
        <v>17</v>
      </c>
      <c r="D3571" t="s">
        <v>36</v>
      </c>
      <c r="E3571" t="s">
        <v>27</v>
      </c>
      <c r="F3571" t="s">
        <v>14</v>
      </c>
      <c r="G3571" s="4">
        <v>15</v>
      </c>
      <c r="H3571" s="1">
        <v>18799</v>
      </c>
      <c r="I3571" s="3" t="s">
        <v>15</v>
      </c>
      <c r="J3571" s="4">
        <v>5</v>
      </c>
    </row>
    <row r="3572" spans="1:10" x14ac:dyDescent="0.35">
      <c r="A3572" s="2" t="s">
        <v>3608</v>
      </c>
      <c r="B3572" s="4">
        <v>22</v>
      </c>
      <c r="C3572" t="s">
        <v>11</v>
      </c>
      <c r="D3572" t="s">
        <v>41</v>
      </c>
      <c r="E3572" t="s">
        <v>37</v>
      </c>
      <c r="F3572" t="s">
        <v>20</v>
      </c>
      <c r="G3572" s="4">
        <v>11</v>
      </c>
      <c r="H3572" s="1">
        <v>40687</v>
      </c>
      <c r="I3572" s="3" t="s">
        <v>15</v>
      </c>
      <c r="J3572" s="4">
        <v>4</v>
      </c>
    </row>
    <row r="3573" spans="1:10" x14ac:dyDescent="0.35">
      <c r="A3573" s="2" t="s">
        <v>3609</v>
      </c>
      <c r="B3573" s="4">
        <v>30</v>
      </c>
      <c r="C3573" t="s">
        <v>17</v>
      </c>
      <c r="D3573" t="s">
        <v>18</v>
      </c>
      <c r="E3573" t="s">
        <v>13</v>
      </c>
      <c r="F3573" t="s">
        <v>14</v>
      </c>
      <c r="G3573" s="4">
        <v>9</v>
      </c>
      <c r="H3573" s="1">
        <v>62471</v>
      </c>
      <c r="I3573" s="3" t="s">
        <v>21</v>
      </c>
      <c r="J3573" s="4">
        <v>5</v>
      </c>
    </row>
    <row r="3574" spans="1:10" x14ac:dyDescent="0.35">
      <c r="A3574" s="2" t="s">
        <v>3610</v>
      </c>
      <c r="B3574" s="4">
        <v>50</v>
      </c>
      <c r="C3574" t="s">
        <v>11</v>
      </c>
      <c r="D3574" t="s">
        <v>28</v>
      </c>
      <c r="E3574" t="s">
        <v>37</v>
      </c>
      <c r="F3574" t="s">
        <v>20</v>
      </c>
      <c r="G3574" s="4">
        <v>8</v>
      </c>
      <c r="H3574" s="1">
        <v>44728</v>
      </c>
      <c r="I3574" s="3" t="s">
        <v>15</v>
      </c>
      <c r="J3574" s="4">
        <v>5</v>
      </c>
    </row>
    <row r="3575" spans="1:10" x14ac:dyDescent="0.35">
      <c r="A3575" s="2" t="s">
        <v>3611</v>
      </c>
      <c r="B3575" s="4">
        <v>18</v>
      </c>
      <c r="C3575" t="s">
        <v>17</v>
      </c>
      <c r="D3575" t="s">
        <v>23</v>
      </c>
      <c r="E3575" t="s">
        <v>34</v>
      </c>
      <c r="F3575" t="s">
        <v>30</v>
      </c>
      <c r="G3575" s="4">
        <v>1</v>
      </c>
      <c r="H3575" s="1">
        <v>16474</v>
      </c>
      <c r="I3575" s="3" t="s">
        <v>15</v>
      </c>
      <c r="J3575" s="4">
        <v>4</v>
      </c>
    </row>
    <row r="3576" spans="1:10" x14ac:dyDescent="0.35">
      <c r="A3576" s="2" t="s">
        <v>3612</v>
      </c>
      <c r="B3576" s="4">
        <v>68</v>
      </c>
      <c r="C3576" t="s">
        <v>11</v>
      </c>
      <c r="D3576" t="s">
        <v>49</v>
      </c>
      <c r="E3576" t="s">
        <v>37</v>
      </c>
      <c r="F3576" t="s">
        <v>20</v>
      </c>
      <c r="G3576" s="4">
        <v>3</v>
      </c>
      <c r="H3576" s="1">
        <v>40483</v>
      </c>
      <c r="I3576" s="3" t="s">
        <v>21</v>
      </c>
      <c r="J3576" s="4">
        <v>3</v>
      </c>
    </row>
    <row r="3577" spans="1:10" x14ac:dyDescent="0.35">
      <c r="A3577" s="2" t="s">
        <v>3613</v>
      </c>
      <c r="B3577" s="4">
        <v>38</v>
      </c>
      <c r="C3577" t="s">
        <v>11</v>
      </c>
      <c r="D3577" t="s">
        <v>36</v>
      </c>
      <c r="E3577" t="s">
        <v>13</v>
      </c>
      <c r="F3577" t="s">
        <v>20</v>
      </c>
      <c r="G3577" s="4">
        <v>11</v>
      </c>
      <c r="H3577" s="1">
        <v>37822</v>
      </c>
      <c r="I3577" s="3" t="s">
        <v>21</v>
      </c>
      <c r="J3577" s="4">
        <v>5</v>
      </c>
    </row>
    <row r="3578" spans="1:10" x14ac:dyDescent="0.35">
      <c r="A3578" s="2" t="s">
        <v>3614</v>
      </c>
      <c r="B3578" s="4">
        <v>37</v>
      </c>
      <c r="C3578" t="s">
        <v>11</v>
      </c>
      <c r="D3578" t="s">
        <v>18</v>
      </c>
      <c r="E3578" t="s">
        <v>34</v>
      </c>
      <c r="F3578" t="s">
        <v>14</v>
      </c>
      <c r="G3578" s="4">
        <v>14</v>
      </c>
      <c r="H3578" s="1">
        <v>91113</v>
      </c>
      <c r="I3578" s="3" t="s">
        <v>21</v>
      </c>
      <c r="J3578" s="4">
        <v>4</v>
      </c>
    </row>
    <row r="3579" spans="1:10" x14ac:dyDescent="0.35">
      <c r="A3579" s="2" t="s">
        <v>3615</v>
      </c>
      <c r="B3579" s="4">
        <v>24</v>
      </c>
      <c r="C3579" t="s">
        <v>11</v>
      </c>
      <c r="D3579" t="s">
        <v>33</v>
      </c>
      <c r="E3579" t="s">
        <v>27</v>
      </c>
      <c r="F3579" t="s">
        <v>14</v>
      </c>
      <c r="G3579" s="4">
        <v>12</v>
      </c>
      <c r="H3579" s="1">
        <v>35817</v>
      </c>
      <c r="I3579" s="3" t="s">
        <v>15</v>
      </c>
      <c r="J3579" s="4">
        <v>5</v>
      </c>
    </row>
    <row r="3580" spans="1:10" x14ac:dyDescent="0.35">
      <c r="A3580" s="2" t="s">
        <v>3616</v>
      </c>
      <c r="B3580" s="4">
        <v>86</v>
      </c>
      <c r="C3580" t="s">
        <v>11</v>
      </c>
      <c r="D3580" t="s">
        <v>12</v>
      </c>
      <c r="E3580" t="s">
        <v>37</v>
      </c>
      <c r="F3580" t="s">
        <v>20</v>
      </c>
      <c r="G3580" s="4">
        <v>4</v>
      </c>
      <c r="H3580" s="1">
        <v>43594</v>
      </c>
      <c r="I3580" s="3" t="s">
        <v>21</v>
      </c>
      <c r="J3580" s="4">
        <v>1</v>
      </c>
    </row>
    <row r="3581" spans="1:10" x14ac:dyDescent="0.35">
      <c r="A3581" s="2" t="s">
        <v>3617</v>
      </c>
      <c r="B3581" s="4">
        <v>29</v>
      </c>
      <c r="C3581" t="s">
        <v>11</v>
      </c>
      <c r="D3581" t="s">
        <v>18</v>
      </c>
      <c r="E3581" t="s">
        <v>34</v>
      </c>
      <c r="F3581" t="s">
        <v>14</v>
      </c>
      <c r="G3581" s="4">
        <v>14</v>
      </c>
      <c r="H3581" s="1">
        <v>76329</v>
      </c>
      <c r="I3581" s="3" t="s">
        <v>21</v>
      </c>
      <c r="J3581" s="4">
        <v>5</v>
      </c>
    </row>
    <row r="3582" spans="1:10" x14ac:dyDescent="0.35">
      <c r="A3582" s="2" t="s">
        <v>3618</v>
      </c>
      <c r="B3582" s="4">
        <v>37</v>
      </c>
      <c r="C3582" t="s">
        <v>11</v>
      </c>
      <c r="D3582" t="s">
        <v>49</v>
      </c>
      <c r="E3582" t="s">
        <v>13</v>
      </c>
      <c r="F3582" t="s">
        <v>30</v>
      </c>
      <c r="G3582" s="4">
        <v>15</v>
      </c>
      <c r="H3582" s="1">
        <v>41782</v>
      </c>
      <c r="I3582" s="3" t="s">
        <v>21</v>
      </c>
      <c r="J3582" s="4">
        <v>1</v>
      </c>
    </row>
    <row r="3583" spans="1:10" x14ac:dyDescent="0.35">
      <c r="A3583" s="2" t="s">
        <v>3619</v>
      </c>
      <c r="B3583" s="4">
        <v>1</v>
      </c>
      <c r="C3583" t="s">
        <v>17</v>
      </c>
      <c r="D3583" t="s">
        <v>18</v>
      </c>
      <c r="E3583" t="s">
        <v>37</v>
      </c>
      <c r="F3583" t="s">
        <v>14</v>
      </c>
      <c r="G3583" s="4">
        <v>4</v>
      </c>
      <c r="H3583" s="1">
        <v>31948</v>
      </c>
      <c r="I3583" s="3" t="s">
        <v>15</v>
      </c>
      <c r="J3583" s="4">
        <v>1</v>
      </c>
    </row>
    <row r="3584" spans="1:10" x14ac:dyDescent="0.35">
      <c r="A3584" s="2" t="s">
        <v>3620</v>
      </c>
      <c r="B3584" s="4">
        <v>67</v>
      </c>
      <c r="C3584" t="s">
        <v>17</v>
      </c>
      <c r="D3584" t="s">
        <v>41</v>
      </c>
      <c r="E3584" t="s">
        <v>37</v>
      </c>
      <c r="F3584" t="s">
        <v>14</v>
      </c>
      <c r="G3584" s="4">
        <v>14</v>
      </c>
      <c r="H3584" s="1">
        <v>93749</v>
      </c>
      <c r="I3584" s="3" t="s">
        <v>15</v>
      </c>
      <c r="J3584" s="4">
        <v>1</v>
      </c>
    </row>
    <row r="3585" spans="1:10" x14ac:dyDescent="0.35">
      <c r="A3585" s="2" t="s">
        <v>3621</v>
      </c>
      <c r="B3585" s="4">
        <v>81</v>
      </c>
      <c r="C3585" t="s">
        <v>17</v>
      </c>
      <c r="D3585" t="s">
        <v>12</v>
      </c>
      <c r="E3585" t="s">
        <v>27</v>
      </c>
      <c r="F3585" t="s">
        <v>20</v>
      </c>
      <c r="G3585" s="4">
        <v>3</v>
      </c>
      <c r="H3585" s="1">
        <v>36010</v>
      </c>
      <c r="I3585" s="3" t="s">
        <v>21</v>
      </c>
      <c r="J3585" s="4">
        <v>2</v>
      </c>
    </row>
    <row r="3586" spans="1:10" x14ac:dyDescent="0.35">
      <c r="A3586" s="2" t="s">
        <v>3622</v>
      </c>
      <c r="B3586" s="4">
        <v>77</v>
      </c>
      <c r="C3586" t="s">
        <v>11</v>
      </c>
      <c r="D3586" t="s">
        <v>12</v>
      </c>
      <c r="E3586" t="s">
        <v>53</v>
      </c>
      <c r="F3586" t="s">
        <v>30</v>
      </c>
      <c r="G3586" s="4">
        <v>5</v>
      </c>
      <c r="H3586" s="1">
        <v>51762</v>
      </c>
      <c r="I3586" s="3" t="s">
        <v>15</v>
      </c>
      <c r="J3586" s="4">
        <v>5</v>
      </c>
    </row>
    <row r="3587" spans="1:10" x14ac:dyDescent="0.35">
      <c r="A3587" s="2" t="s">
        <v>3623</v>
      </c>
      <c r="B3587" s="4">
        <v>87</v>
      </c>
      <c r="C3587" t="s">
        <v>11</v>
      </c>
      <c r="D3587" t="s">
        <v>33</v>
      </c>
      <c r="E3587" t="s">
        <v>29</v>
      </c>
      <c r="F3587" t="s">
        <v>14</v>
      </c>
      <c r="G3587" s="4">
        <v>14</v>
      </c>
      <c r="H3587" s="1">
        <v>25239</v>
      </c>
      <c r="I3587" s="3" t="s">
        <v>15</v>
      </c>
      <c r="J3587" s="4">
        <v>2</v>
      </c>
    </row>
    <row r="3588" spans="1:10" x14ac:dyDescent="0.35">
      <c r="A3588" s="2" t="s">
        <v>3624</v>
      </c>
      <c r="B3588" s="4">
        <v>62</v>
      </c>
      <c r="C3588" t="s">
        <v>11</v>
      </c>
      <c r="D3588" t="s">
        <v>36</v>
      </c>
      <c r="E3588" t="s">
        <v>27</v>
      </c>
      <c r="F3588" t="s">
        <v>30</v>
      </c>
      <c r="G3588" s="4">
        <v>12</v>
      </c>
      <c r="H3588" s="1">
        <v>67832</v>
      </c>
      <c r="I3588" s="3" t="s">
        <v>21</v>
      </c>
      <c r="J3588" s="4">
        <v>5</v>
      </c>
    </row>
    <row r="3589" spans="1:10" x14ac:dyDescent="0.35">
      <c r="A3589" s="2" t="s">
        <v>3625</v>
      </c>
      <c r="B3589" s="4">
        <v>36</v>
      </c>
      <c r="C3589" t="s">
        <v>17</v>
      </c>
      <c r="D3589" t="s">
        <v>49</v>
      </c>
      <c r="E3589" t="s">
        <v>24</v>
      </c>
      <c r="F3589" t="s">
        <v>14</v>
      </c>
      <c r="G3589" s="4">
        <v>9</v>
      </c>
      <c r="H3589" s="1">
        <v>10861</v>
      </c>
      <c r="I3589" s="3" t="s">
        <v>21</v>
      </c>
      <c r="J3589" s="4">
        <v>4</v>
      </c>
    </row>
    <row r="3590" spans="1:10" x14ac:dyDescent="0.35">
      <c r="A3590" s="2" t="s">
        <v>3626</v>
      </c>
      <c r="B3590" s="4">
        <v>76</v>
      </c>
      <c r="C3590" t="s">
        <v>17</v>
      </c>
      <c r="D3590" t="s">
        <v>49</v>
      </c>
      <c r="E3590" t="s">
        <v>37</v>
      </c>
      <c r="F3590" t="s">
        <v>14</v>
      </c>
      <c r="G3590" s="4">
        <v>2</v>
      </c>
      <c r="H3590" s="1">
        <v>89103</v>
      </c>
      <c r="I3590" s="3" t="s">
        <v>15</v>
      </c>
      <c r="J3590" s="4">
        <v>1</v>
      </c>
    </row>
    <row r="3591" spans="1:10" x14ac:dyDescent="0.35">
      <c r="A3591" s="2" t="s">
        <v>3627</v>
      </c>
      <c r="B3591" s="4">
        <v>74</v>
      </c>
      <c r="C3591" t="s">
        <v>17</v>
      </c>
      <c r="D3591" t="s">
        <v>39</v>
      </c>
      <c r="E3591" t="s">
        <v>42</v>
      </c>
      <c r="F3591" t="s">
        <v>14</v>
      </c>
      <c r="G3591" s="4">
        <v>11</v>
      </c>
      <c r="H3591" s="1">
        <v>49206</v>
      </c>
      <c r="I3591" s="3" t="s">
        <v>15</v>
      </c>
      <c r="J3591" s="4">
        <v>3</v>
      </c>
    </row>
    <row r="3592" spans="1:10" x14ac:dyDescent="0.35">
      <c r="A3592" s="2" t="s">
        <v>3628</v>
      </c>
      <c r="B3592" s="4">
        <v>10</v>
      </c>
      <c r="C3592" t="s">
        <v>17</v>
      </c>
      <c r="D3592" t="s">
        <v>49</v>
      </c>
      <c r="E3592" t="s">
        <v>24</v>
      </c>
      <c r="F3592" t="s">
        <v>14</v>
      </c>
      <c r="G3592" s="4">
        <v>14</v>
      </c>
      <c r="H3592" s="1">
        <v>9095</v>
      </c>
      <c r="I3592" s="3" t="s">
        <v>21</v>
      </c>
      <c r="J3592" s="4">
        <v>5</v>
      </c>
    </row>
    <row r="3593" spans="1:10" x14ac:dyDescent="0.35">
      <c r="A3593" s="2" t="s">
        <v>3629</v>
      </c>
      <c r="B3593" s="4">
        <v>73</v>
      </c>
      <c r="C3593" t="s">
        <v>17</v>
      </c>
      <c r="D3593" t="s">
        <v>33</v>
      </c>
      <c r="E3593" t="s">
        <v>19</v>
      </c>
      <c r="F3593" t="s">
        <v>14</v>
      </c>
      <c r="G3593" s="4">
        <v>9</v>
      </c>
      <c r="H3593" s="1">
        <v>26224</v>
      </c>
      <c r="I3593" s="3" t="s">
        <v>21</v>
      </c>
      <c r="J3593" s="4">
        <v>5</v>
      </c>
    </row>
    <row r="3594" spans="1:10" x14ac:dyDescent="0.35">
      <c r="A3594" s="2" t="s">
        <v>3630</v>
      </c>
      <c r="B3594" s="4">
        <v>90</v>
      </c>
      <c r="C3594" t="s">
        <v>17</v>
      </c>
      <c r="D3594" t="s">
        <v>12</v>
      </c>
      <c r="E3594" t="s">
        <v>53</v>
      </c>
      <c r="F3594" t="s">
        <v>14</v>
      </c>
      <c r="G3594" s="4">
        <v>4</v>
      </c>
      <c r="H3594" s="1">
        <v>46274</v>
      </c>
      <c r="I3594" s="3" t="s">
        <v>15</v>
      </c>
      <c r="J3594" s="4">
        <v>1</v>
      </c>
    </row>
    <row r="3595" spans="1:10" x14ac:dyDescent="0.35">
      <c r="A3595" s="2" t="s">
        <v>3631</v>
      </c>
      <c r="B3595" s="4">
        <v>81</v>
      </c>
      <c r="C3595" t="s">
        <v>17</v>
      </c>
      <c r="D3595" t="s">
        <v>41</v>
      </c>
      <c r="E3595" t="s">
        <v>53</v>
      </c>
      <c r="F3595" t="s">
        <v>14</v>
      </c>
      <c r="G3595" s="4">
        <v>3</v>
      </c>
      <c r="H3595" s="1">
        <v>20226</v>
      </c>
      <c r="I3595" s="3" t="s">
        <v>15</v>
      </c>
      <c r="J3595" s="4">
        <v>3</v>
      </c>
    </row>
    <row r="3596" spans="1:10" x14ac:dyDescent="0.35">
      <c r="A3596" s="2" t="s">
        <v>3632</v>
      </c>
      <c r="B3596" s="4">
        <v>56</v>
      </c>
      <c r="C3596" t="s">
        <v>11</v>
      </c>
      <c r="D3596" t="s">
        <v>36</v>
      </c>
      <c r="E3596" t="s">
        <v>19</v>
      </c>
      <c r="F3596" t="s">
        <v>20</v>
      </c>
      <c r="G3596" s="4">
        <v>10</v>
      </c>
      <c r="H3596" s="1">
        <v>22258</v>
      </c>
      <c r="I3596" s="3" t="s">
        <v>21</v>
      </c>
      <c r="J3596" s="4">
        <v>4</v>
      </c>
    </row>
    <row r="3597" spans="1:10" x14ac:dyDescent="0.35">
      <c r="A3597" s="2" t="s">
        <v>3633</v>
      </c>
      <c r="B3597" s="4">
        <v>83</v>
      </c>
      <c r="C3597" t="s">
        <v>17</v>
      </c>
      <c r="D3597" t="s">
        <v>49</v>
      </c>
      <c r="E3597" t="s">
        <v>27</v>
      </c>
      <c r="F3597" t="s">
        <v>14</v>
      </c>
      <c r="G3597" s="4">
        <v>13</v>
      </c>
      <c r="H3597" s="1">
        <v>62681</v>
      </c>
      <c r="I3597" s="3" t="s">
        <v>15</v>
      </c>
      <c r="J3597" s="4">
        <v>2</v>
      </c>
    </row>
    <row r="3598" spans="1:10" x14ac:dyDescent="0.35">
      <c r="A3598" s="2" t="s">
        <v>3634</v>
      </c>
      <c r="B3598" s="4">
        <v>30</v>
      </c>
      <c r="C3598" t="s">
        <v>17</v>
      </c>
      <c r="D3598" t="s">
        <v>36</v>
      </c>
      <c r="E3598" t="s">
        <v>53</v>
      </c>
      <c r="F3598" t="s">
        <v>20</v>
      </c>
      <c r="G3598" s="4">
        <v>10</v>
      </c>
      <c r="H3598" s="1">
        <v>39804</v>
      </c>
      <c r="I3598" s="3" t="s">
        <v>15</v>
      </c>
      <c r="J3598" s="4">
        <v>2</v>
      </c>
    </row>
    <row r="3599" spans="1:10" x14ac:dyDescent="0.35">
      <c r="A3599" s="2" t="s">
        <v>3635</v>
      </c>
      <c r="B3599" s="4">
        <v>30</v>
      </c>
      <c r="C3599" t="s">
        <v>17</v>
      </c>
      <c r="D3599" t="s">
        <v>23</v>
      </c>
      <c r="E3599" t="s">
        <v>53</v>
      </c>
      <c r="F3599" t="s">
        <v>30</v>
      </c>
      <c r="G3599" s="4">
        <v>11</v>
      </c>
      <c r="H3599" s="1">
        <v>81853</v>
      </c>
      <c r="I3599" s="3" t="s">
        <v>15</v>
      </c>
      <c r="J3599" s="4">
        <v>5</v>
      </c>
    </row>
    <row r="3600" spans="1:10" x14ac:dyDescent="0.35">
      <c r="A3600" s="2" t="s">
        <v>3636</v>
      </c>
      <c r="B3600" s="4">
        <v>55</v>
      </c>
      <c r="C3600" t="s">
        <v>11</v>
      </c>
      <c r="D3600" t="s">
        <v>36</v>
      </c>
      <c r="E3600" t="s">
        <v>42</v>
      </c>
      <c r="F3600" t="s">
        <v>20</v>
      </c>
      <c r="G3600" s="4">
        <v>3</v>
      </c>
      <c r="H3600" s="1">
        <v>25659</v>
      </c>
      <c r="I3600" s="3" t="s">
        <v>15</v>
      </c>
      <c r="J3600" s="4">
        <v>3</v>
      </c>
    </row>
    <row r="3601" spans="1:10" x14ac:dyDescent="0.35">
      <c r="A3601" s="2" t="s">
        <v>3637</v>
      </c>
      <c r="B3601" s="4">
        <v>18</v>
      </c>
      <c r="C3601" t="s">
        <v>17</v>
      </c>
      <c r="D3601" t="s">
        <v>49</v>
      </c>
      <c r="E3601" t="s">
        <v>65</v>
      </c>
      <c r="F3601" t="s">
        <v>20</v>
      </c>
      <c r="G3601" s="4">
        <v>4</v>
      </c>
      <c r="H3601" s="1">
        <v>19589</v>
      </c>
      <c r="I3601" s="3" t="s">
        <v>15</v>
      </c>
      <c r="J3601" s="4">
        <v>3</v>
      </c>
    </row>
    <row r="3602" spans="1:10" x14ac:dyDescent="0.35">
      <c r="A3602" s="2" t="s">
        <v>3638</v>
      </c>
      <c r="B3602" s="4">
        <v>17</v>
      </c>
      <c r="C3602" t="s">
        <v>11</v>
      </c>
      <c r="D3602" t="s">
        <v>18</v>
      </c>
      <c r="E3602" t="s">
        <v>27</v>
      </c>
      <c r="F3602" t="s">
        <v>14</v>
      </c>
      <c r="G3602" s="4">
        <v>1</v>
      </c>
      <c r="H3602" s="1">
        <v>23321</v>
      </c>
      <c r="I3602" s="3" t="s">
        <v>21</v>
      </c>
      <c r="J3602" s="4">
        <v>1</v>
      </c>
    </row>
    <row r="3603" spans="1:10" x14ac:dyDescent="0.35">
      <c r="A3603" s="2" t="s">
        <v>3639</v>
      </c>
      <c r="B3603" s="4">
        <v>47</v>
      </c>
      <c r="C3603" t="s">
        <v>17</v>
      </c>
      <c r="D3603" t="s">
        <v>36</v>
      </c>
      <c r="E3603" t="s">
        <v>29</v>
      </c>
      <c r="F3603" t="s">
        <v>14</v>
      </c>
      <c r="G3603" s="4">
        <v>13</v>
      </c>
      <c r="H3603" s="1">
        <v>56678</v>
      </c>
      <c r="I3603" s="3" t="s">
        <v>15</v>
      </c>
      <c r="J3603" s="4">
        <v>2</v>
      </c>
    </row>
    <row r="3604" spans="1:10" x14ac:dyDescent="0.35">
      <c r="A3604" s="2" t="s">
        <v>3640</v>
      </c>
      <c r="B3604" s="4">
        <v>8</v>
      </c>
      <c r="C3604" t="s">
        <v>11</v>
      </c>
      <c r="D3604" t="s">
        <v>26</v>
      </c>
      <c r="E3604" t="s">
        <v>37</v>
      </c>
      <c r="F3604" t="s">
        <v>20</v>
      </c>
      <c r="G3604" s="4">
        <v>14</v>
      </c>
      <c r="H3604" s="1">
        <v>53921</v>
      </c>
      <c r="I3604" s="3" t="s">
        <v>15</v>
      </c>
      <c r="J3604" s="4">
        <v>3</v>
      </c>
    </row>
    <row r="3605" spans="1:10" x14ac:dyDescent="0.35">
      <c r="A3605" s="2" t="s">
        <v>3641</v>
      </c>
      <c r="B3605" s="4">
        <v>37</v>
      </c>
      <c r="C3605" t="s">
        <v>17</v>
      </c>
      <c r="D3605" t="s">
        <v>28</v>
      </c>
      <c r="E3605" t="s">
        <v>37</v>
      </c>
      <c r="F3605" t="s">
        <v>30</v>
      </c>
      <c r="G3605" s="4">
        <v>15</v>
      </c>
      <c r="H3605" s="1">
        <v>5656</v>
      </c>
      <c r="I3605" s="3" t="s">
        <v>21</v>
      </c>
      <c r="J3605" s="4">
        <v>1</v>
      </c>
    </row>
    <row r="3606" spans="1:10" x14ac:dyDescent="0.35">
      <c r="A3606" s="2" t="s">
        <v>3642</v>
      </c>
      <c r="B3606" s="4">
        <v>53</v>
      </c>
      <c r="C3606" t="s">
        <v>17</v>
      </c>
      <c r="D3606" t="s">
        <v>18</v>
      </c>
      <c r="E3606" t="s">
        <v>13</v>
      </c>
      <c r="F3606" t="s">
        <v>20</v>
      </c>
      <c r="G3606" s="4">
        <v>14</v>
      </c>
      <c r="H3606" s="1">
        <v>94747</v>
      </c>
      <c r="I3606" s="3" t="s">
        <v>15</v>
      </c>
      <c r="J3606" s="4">
        <v>4</v>
      </c>
    </row>
    <row r="3607" spans="1:10" x14ac:dyDescent="0.35">
      <c r="A3607" s="2" t="s">
        <v>3643</v>
      </c>
      <c r="B3607" s="4">
        <v>65</v>
      </c>
      <c r="C3607" t="s">
        <v>11</v>
      </c>
      <c r="D3607" t="s">
        <v>39</v>
      </c>
      <c r="E3607" t="s">
        <v>29</v>
      </c>
      <c r="F3607" t="s">
        <v>14</v>
      </c>
      <c r="G3607" s="4">
        <v>5</v>
      </c>
      <c r="H3607" s="1">
        <v>44824</v>
      </c>
      <c r="I3607" s="3" t="s">
        <v>15</v>
      </c>
      <c r="J3607" s="4">
        <v>5</v>
      </c>
    </row>
    <row r="3608" spans="1:10" x14ac:dyDescent="0.35">
      <c r="A3608" s="2" t="s">
        <v>3644</v>
      </c>
      <c r="B3608" s="4">
        <v>36</v>
      </c>
      <c r="C3608" t="s">
        <v>11</v>
      </c>
      <c r="D3608" t="s">
        <v>49</v>
      </c>
      <c r="E3608" t="s">
        <v>24</v>
      </c>
      <c r="F3608" t="s">
        <v>30</v>
      </c>
      <c r="G3608" s="4">
        <v>3</v>
      </c>
      <c r="H3608" s="1">
        <v>72079</v>
      </c>
      <c r="I3608" s="3" t="s">
        <v>21</v>
      </c>
      <c r="J3608" s="4">
        <v>5</v>
      </c>
    </row>
    <row r="3609" spans="1:10" x14ac:dyDescent="0.35">
      <c r="A3609" s="2" t="s">
        <v>3645</v>
      </c>
      <c r="B3609" s="4">
        <v>12</v>
      </c>
      <c r="C3609" t="s">
        <v>17</v>
      </c>
      <c r="D3609" t="s">
        <v>12</v>
      </c>
      <c r="E3609" t="s">
        <v>27</v>
      </c>
      <c r="F3609" t="s">
        <v>14</v>
      </c>
      <c r="G3609" s="4">
        <v>4</v>
      </c>
      <c r="H3609" s="1">
        <v>28598</v>
      </c>
      <c r="I3609" s="3" t="s">
        <v>21</v>
      </c>
      <c r="J3609" s="4">
        <v>4</v>
      </c>
    </row>
    <row r="3610" spans="1:10" x14ac:dyDescent="0.35">
      <c r="A3610" s="2" t="s">
        <v>3646</v>
      </c>
      <c r="B3610" s="4">
        <v>46</v>
      </c>
      <c r="C3610" t="s">
        <v>17</v>
      </c>
      <c r="D3610" t="s">
        <v>18</v>
      </c>
      <c r="E3610" t="s">
        <v>34</v>
      </c>
      <c r="F3610" t="s">
        <v>20</v>
      </c>
      <c r="G3610" s="4">
        <v>10</v>
      </c>
      <c r="H3610" s="1">
        <v>45729</v>
      </c>
      <c r="I3610" s="3" t="s">
        <v>15</v>
      </c>
      <c r="J3610" s="4">
        <v>5</v>
      </c>
    </row>
    <row r="3611" spans="1:10" x14ac:dyDescent="0.35">
      <c r="A3611" s="2" t="s">
        <v>3647</v>
      </c>
      <c r="B3611" s="4">
        <v>82</v>
      </c>
      <c r="C3611" t="s">
        <v>17</v>
      </c>
      <c r="D3611" t="s">
        <v>18</v>
      </c>
      <c r="E3611" t="s">
        <v>53</v>
      </c>
      <c r="F3611" t="s">
        <v>20</v>
      </c>
      <c r="G3611" s="4">
        <v>12</v>
      </c>
      <c r="H3611" s="1">
        <v>11245</v>
      </c>
      <c r="I3611" s="3" t="s">
        <v>15</v>
      </c>
      <c r="J3611" s="4">
        <v>2</v>
      </c>
    </row>
    <row r="3612" spans="1:10" x14ac:dyDescent="0.35">
      <c r="A3612" s="2" t="s">
        <v>3648</v>
      </c>
      <c r="B3612" s="4">
        <v>50</v>
      </c>
      <c r="C3612" t="s">
        <v>17</v>
      </c>
      <c r="D3612" t="s">
        <v>18</v>
      </c>
      <c r="E3612" t="s">
        <v>24</v>
      </c>
      <c r="F3612" t="s">
        <v>30</v>
      </c>
      <c r="G3612" s="4">
        <v>5</v>
      </c>
      <c r="H3612" s="1">
        <v>23744</v>
      </c>
      <c r="I3612" s="3" t="s">
        <v>21</v>
      </c>
      <c r="J3612" s="4">
        <v>5</v>
      </c>
    </row>
    <row r="3613" spans="1:10" x14ac:dyDescent="0.35">
      <c r="A3613" s="2" t="s">
        <v>3649</v>
      </c>
      <c r="B3613" s="4">
        <v>43</v>
      </c>
      <c r="C3613" t="s">
        <v>17</v>
      </c>
      <c r="D3613" t="s">
        <v>23</v>
      </c>
      <c r="E3613" t="s">
        <v>65</v>
      </c>
      <c r="F3613" t="s">
        <v>30</v>
      </c>
      <c r="G3613" s="4">
        <v>14</v>
      </c>
      <c r="H3613" s="1">
        <v>19629</v>
      </c>
      <c r="I3613" s="3" t="s">
        <v>15</v>
      </c>
      <c r="J3613" s="4">
        <v>5</v>
      </c>
    </row>
    <row r="3614" spans="1:10" x14ac:dyDescent="0.35">
      <c r="A3614" s="2" t="s">
        <v>3650</v>
      </c>
      <c r="B3614" s="4">
        <v>26</v>
      </c>
      <c r="C3614" t="s">
        <v>17</v>
      </c>
      <c r="D3614" t="s">
        <v>26</v>
      </c>
      <c r="E3614" t="s">
        <v>37</v>
      </c>
      <c r="F3614" t="s">
        <v>14</v>
      </c>
      <c r="G3614" s="4">
        <v>5</v>
      </c>
      <c r="H3614" s="1">
        <v>33538</v>
      </c>
      <c r="I3614" s="3" t="s">
        <v>15</v>
      </c>
      <c r="J3614" s="4">
        <v>1</v>
      </c>
    </row>
    <row r="3615" spans="1:10" x14ac:dyDescent="0.35">
      <c r="A3615" s="2" t="s">
        <v>3651</v>
      </c>
      <c r="B3615" s="4">
        <v>15</v>
      </c>
      <c r="C3615" t="s">
        <v>11</v>
      </c>
      <c r="D3615" t="s">
        <v>28</v>
      </c>
      <c r="E3615" t="s">
        <v>24</v>
      </c>
      <c r="F3615" t="s">
        <v>20</v>
      </c>
      <c r="G3615" s="4">
        <v>4</v>
      </c>
      <c r="H3615" s="1">
        <v>89188</v>
      </c>
      <c r="I3615" s="3" t="s">
        <v>15</v>
      </c>
      <c r="J3615" s="4">
        <v>2</v>
      </c>
    </row>
    <row r="3616" spans="1:10" x14ac:dyDescent="0.35">
      <c r="A3616" s="2" t="s">
        <v>3652</v>
      </c>
      <c r="B3616" s="4">
        <v>57</v>
      </c>
      <c r="C3616" t="s">
        <v>17</v>
      </c>
      <c r="D3616" t="s">
        <v>36</v>
      </c>
      <c r="E3616" t="s">
        <v>65</v>
      </c>
      <c r="F3616" t="s">
        <v>30</v>
      </c>
      <c r="G3616" s="4">
        <v>11</v>
      </c>
      <c r="H3616" s="1">
        <v>9358</v>
      </c>
      <c r="I3616" s="3" t="s">
        <v>15</v>
      </c>
      <c r="J3616" s="4">
        <v>2</v>
      </c>
    </row>
    <row r="3617" spans="1:10" x14ac:dyDescent="0.35">
      <c r="A3617" s="2" t="s">
        <v>3653</v>
      </c>
      <c r="B3617" s="4">
        <v>3</v>
      </c>
      <c r="C3617" t="s">
        <v>11</v>
      </c>
      <c r="D3617" t="s">
        <v>18</v>
      </c>
      <c r="E3617" t="s">
        <v>29</v>
      </c>
      <c r="F3617" t="s">
        <v>20</v>
      </c>
      <c r="G3617" s="4">
        <v>14</v>
      </c>
      <c r="H3617" s="1">
        <v>11962</v>
      </c>
      <c r="I3617" s="3" t="s">
        <v>21</v>
      </c>
      <c r="J3617" s="4">
        <v>5</v>
      </c>
    </row>
    <row r="3618" spans="1:10" x14ac:dyDescent="0.35">
      <c r="A3618" s="2" t="s">
        <v>3654</v>
      </c>
      <c r="B3618" s="4">
        <v>72</v>
      </c>
      <c r="C3618" t="s">
        <v>11</v>
      </c>
      <c r="D3618" t="s">
        <v>18</v>
      </c>
      <c r="E3618" t="s">
        <v>19</v>
      </c>
      <c r="F3618" t="s">
        <v>30</v>
      </c>
      <c r="G3618" s="4">
        <v>14</v>
      </c>
      <c r="H3618" s="1">
        <v>90757</v>
      </c>
      <c r="I3618" s="3" t="s">
        <v>15</v>
      </c>
      <c r="J3618" s="4">
        <v>3</v>
      </c>
    </row>
    <row r="3619" spans="1:10" x14ac:dyDescent="0.35">
      <c r="A3619" s="2" t="s">
        <v>3655</v>
      </c>
      <c r="B3619" s="4">
        <v>28</v>
      </c>
      <c r="C3619" t="s">
        <v>17</v>
      </c>
      <c r="D3619" t="s">
        <v>28</v>
      </c>
      <c r="E3619" t="s">
        <v>37</v>
      </c>
      <c r="F3619" t="s">
        <v>20</v>
      </c>
      <c r="G3619" s="4">
        <v>11</v>
      </c>
      <c r="H3619" s="1">
        <v>95601</v>
      </c>
      <c r="I3619" s="3" t="s">
        <v>15</v>
      </c>
      <c r="J3619" s="4">
        <v>1</v>
      </c>
    </row>
    <row r="3620" spans="1:10" x14ac:dyDescent="0.35">
      <c r="A3620" s="2" t="s">
        <v>3656</v>
      </c>
      <c r="B3620" s="4">
        <v>49</v>
      </c>
      <c r="C3620" t="s">
        <v>11</v>
      </c>
      <c r="D3620" t="s">
        <v>23</v>
      </c>
      <c r="E3620" t="s">
        <v>53</v>
      </c>
      <c r="F3620" t="s">
        <v>20</v>
      </c>
      <c r="G3620" s="4">
        <v>8</v>
      </c>
      <c r="H3620" s="1">
        <v>61553</v>
      </c>
      <c r="I3620" s="3" t="s">
        <v>15</v>
      </c>
      <c r="J3620" s="4">
        <v>1</v>
      </c>
    </row>
    <row r="3621" spans="1:10" x14ac:dyDescent="0.35">
      <c r="A3621" s="2" t="s">
        <v>3657</v>
      </c>
      <c r="B3621" s="4">
        <v>52</v>
      </c>
      <c r="C3621" t="s">
        <v>17</v>
      </c>
      <c r="D3621" t="s">
        <v>12</v>
      </c>
      <c r="E3621" t="s">
        <v>24</v>
      </c>
      <c r="F3621" t="s">
        <v>14</v>
      </c>
      <c r="G3621" s="4">
        <v>13</v>
      </c>
      <c r="H3621" s="1">
        <v>74776</v>
      </c>
      <c r="I3621" s="3" t="s">
        <v>15</v>
      </c>
      <c r="J3621" s="4">
        <v>3</v>
      </c>
    </row>
    <row r="3622" spans="1:10" x14ac:dyDescent="0.35">
      <c r="A3622" s="2" t="s">
        <v>3658</v>
      </c>
      <c r="B3622" s="4">
        <v>7</v>
      </c>
      <c r="C3622" t="s">
        <v>17</v>
      </c>
      <c r="D3622" t="s">
        <v>12</v>
      </c>
      <c r="E3622" t="s">
        <v>13</v>
      </c>
      <c r="F3622" t="s">
        <v>20</v>
      </c>
      <c r="G3622" s="4">
        <v>12</v>
      </c>
      <c r="H3622" s="1">
        <v>51559</v>
      </c>
      <c r="I3622" s="3" t="s">
        <v>15</v>
      </c>
      <c r="J3622" s="4">
        <v>3</v>
      </c>
    </row>
    <row r="3623" spans="1:10" x14ac:dyDescent="0.35">
      <c r="A3623" s="2" t="s">
        <v>3659</v>
      </c>
      <c r="B3623" s="4">
        <v>88</v>
      </c>
      <c r="C3623" t="s">
        <v>11</v>
      </c>
      <c r="D3623" t="s">
        <v>23</v>
      </c>
      <c r="E3623" t="s">
        <v>65</v>
      </c>
      <c r="F3623" t="s">
        <v>20</v>
      </c>
      <c r="G3623" s="4">
        <v>7</v>
      </c>
      <c r="H3623" s="1">
        <v>50829</v>
      </c>
      <c r="I3623" s="3" t="s">
        <v>15</v>
      </c>
      <c r="J3623" s="4">
        <v>2</v>
      </c>
    </row>
    <row r="3624" spans="1:10" x14ac:dyDescent="0.35">
      <c r="A3624" s="2" t="s">
        <v>3660</v>
      </c>
      <c r="B3624" s="4">
        <v>38</v>
      </c>
      <c r="C3624" t="s">
        <v>17</v>
      </c>
      <c r="D3624" t="s">
        <v>23</v>
      </c>
      <c r="E3624" t="s">
        <v>24</v>
      </c>
      <c r="F3624" t="s">
        <v>20</v>
      </c>
      <c r="G3624" s="4">
        <v>13</v>
      </c>
      <c r="H3624" s="1">
        <v>87899</v>
      </c>
      <c r="I3624" s="3" t="s">
        <v>21</v>
      </c>
      <c r="J3624" s="4">
        <v>4</v>
      </c>
    </row>
    <row r="3625" spans="1:10" x14ac:dyDescent="0.35">
      <c r="A3625" s="2" t="s">
        <v>3661</v>
      </c>
      <c r="B3625" s="4">
        <v>9</v>
      </c>
      <c r="C3625" t="s">
        <v>11</v>
      </c>
      <c r="D3625" t="s">
        <v>26</v>
      </c>
      <c r="E3625" t="s">
        <v>29</v>
      </c>
      <c r="F3625" t="s">
        <v>30</v>
      </c>
      <c r="G3625" s="4">
        <v>9</v>
      </c>
      <c r="H3625" s="1">
        <v>77500</v>
      </c>
      <c r="I3625" s="3" t="s">
        <v>15</v>
      </c>
      <c r="J3625" s="4">
        <v>1</v>
      </c>
    </row>
    <row r="3626" spans="1:10" x14ac:dyDescent="0.35">
      <c r="A3626" s="2" t="s">
        <v>3662</v>
      </c>
      <c r="B3626" s="4">
        <v>41</v>
      </c>
      <c r="C3626" t="s">
        <v>11</v>
      </c>
      <c r="D3626" t="s">
        <v>26</v>
      </c>
      <c r="E3626" t="s">
        <v>37</v>
      </c>
      <c r="F3626" t="s">
        <v>14</v>
      </c>
      <c r="G3626" s="4">
        <v>8</v>
      </c>
      <c r="H3626" s="1">
        <v>67389</v>
      </c>
      <c r="I3626" s="3" t="s">
        <v>15</v>
      </c>
      <c r="J3626" s="4">
        <v>1</v>
      </c>
    </row>
    <row r="3627" spans="1:10" x14ac:dyDescent="0.35">
      <c r="A3627" s="2" t="s">
        <v>3663</v>
      </c>
      <c r="B3627" s="4">
        <v>11</v>
      </c>
      <c r="C3627" t="s">
        <v>11</v>
      </c>
      <c r="D3627" t="s">
        <v>12</v>
      </c>
      <c r="E3627" t="s">
        <v>19</v>
      </c>
      <c r="F3627" t="s">
        <v>30</v>
      </c>
      <c r="G3627" s="4">
        <v>1</v>
      </c>
      <c r="H3627" s="1">
        <v>67373</v>
      </c>
      <c r="I3627" s="3" t="s">
        <v>15</v>
      </c>
      <c r="J3627" s="4">
        <v>1</v>
      </c>
    </row>
    <row r="3628" spans="1:10" x14ac:dyDescent="0.35">
      <c r="A3628" s="2" t="s">
        <v>3664</v>
      </c>
      <c r="B3628" s="4">
        <v>16</v>
      </c>
      <c r="C3628" t="s">
        <v>11</v>
      </c>
      <c r="D3628" t="s">
        <v>49</v>
      </c>
      <c r="E3628" t="s">
        <v>24</v>
      </c>
      <c r="F3628" t="s">
        <v>30</v>
      </c>
      <c r="G3628" s="4">
        <v>11</v>
      </c>
      <c r="H3628" s="1">
        <v>25351</v>
      </c>
      <c r="I3628" s="3" t="s">
        <v>21</v>
      </c>
      <c r="J3628" s="4">
        <v>5</v>
      </c>
    </row>
    <row r="3629" spans="1:10" x14ac:dyDescent="0.35">
      <c r="A3629" s="2" t="s">
        <v>3665</v>
      </c>
      <c r="B3629" s="4">
        <v>9</v>
      </c>
      <c r="C3629" t="s">
        <v>11</v>
      </c>
      <c r="D3629" t="s">
        <v>49</v>
      </c>
      <c r="E3629" t="s">
        <v>29</v>
      </c>
      <c r="F3629" t="s">
        <v>14</v>
      </c>
      <c r="G3629" s="4">
        <v>11</v>
      </c>
      <c r="H3629" s="1">
        <v>43033</v>
      </c>
      <c r="I3629" s="3" t="s">
        <v>21</v>
      </c>
      <c r="J3629" s="4">
        <v>3</v>
      </c>
    </row>
    <row r="3630" spans="1:10" x14ac:dyDescent="0.35">
      <c r="A3630" s="2" t="s">
        <v>3666</v>
      </c>
      <c r="B3630" s="4">
        <v>78</v>
      </c>
      <c r="C3630" t="s">
        <v>17</v>
      </c>
      <c r="D3630" t="s">
        <v>41</v>
      </c>
      <c r="E3630" t="s">
        <v>37</v>
      </c>
      <c r="F3630" t="s">
        <v>30</v>
      </c>
      <c r="G3630" s="4">
        <v>5</v>
      </c>
      <c r="H3630" s="1">
        <v>36114</v>
      </c>
      <c r="I3630" s="3" t="s">
        <v>21</v>
      </c>
      <c r="J3630" s="4">
        <v>4</v>
      </c>
    </row>
    <row r="3631" spans="1:10" x14ac:dyDescent="0.35">
      <c r="A3631" s="2" t="s">
        <v>3667</v>
      </c>
      <c r="B3631" s="4">
        <v>73</v>
      </c>
      <c r="C3631" t="s">
        <v>17</v>
      </c>
      <c r="D3631" t="s">
        <v>41</v>
      </c>
      <c r="E3631" t="s">
        <v>29</v>
      </c>
      <c r="F3631" t="s">
        <v>14</v>
      </c>
      <c r="G3631" s="4">
        <v>3</v>
      </c>
      <c r="H3631" s="1">
        <v>55466</v>
      </c>
      <c r="I3631" s="3" t="s">
        <v>21</v>
      </c>
      <c r="J3631" s="4">
        <v>1</v>
      </c>
    </row>
    <row r="3632" spans="1:10" x14ac:dyDescent="0.35">
      <c r="A3632" s="2" t="s">
        <v>3668</v>
      </c>
      <c r="B3632" s="4">
        <v>81</v>
      </c>
      <c r="C3632" t="s">
        <v>17</v>
      </c>
      <c r="D3632" t="s">
        <v>23</v>
      </c>
      <c r="E3632" t="s">
        <v>29</v>
      </c>
      <c r="F3632" t="s">
        <v>30</v>
      </c>
      <c r="G3632" s="4">
        <v>3</v>
      </c>
      <c r="H3632" s="1">
        <v>12617</v>
      </c>
      <c r="I3632" s="3" t="s">
        <v>21</v>
      </c>
      <c r="J3632" s="4">
        <v>3</v>
      </c>
    </row>
    <row r="3633" spans="1:10" x14ac:dyDescent="0.35">
      <c r="A3633" s="2" t="s">
        <v>3669</v>
      </c>
      <c r="B3633" s="4">
        <v>88</v>
      </c>
      <c r="C3633" t="s">
        <v>17</v>
      </c>
      <c r="D3633" t="s">
        <v>12</v>
      </c>
      <c r="E3633" t="s">
        <v>24</v>
      </c>
      <c r="F3633" t="s">
        <v>20</v>
      </c>
      <c r="G3633" s="4">
        <v>11</v>
      </c>
      <c r="H3633" s="1">
        <v>41634</v>
      </c>
      <c r="I3633" s="3" t="s">
        <v>15</v>
      </c>
      <c r="J3633" s="4">
        <v>2</v>
      </c>
    </row>
    <row r="3634" spans="1:10" x14ac:dyDescent="0.35">
      <c r="A3634" s="2" t="s">
        <v>3670</v>
      </c>
      <c r="B3634" s="4">
        <v>44</v>
      </c>
      <c r="C3634" t="s">
        <v>11</v>
      </c>
      <c r="D3634" t="s">
        <v>28</v>
      </c>
      <c r="E3634" t="s">
        <v>24</v>
      </c>
      <c r="F3634" t="s">
        <v>20</v>
      </c>
      <c r="G3634" s="4">
        <v>8</v>
      </c>
      <c r="H3634" s="1">
        <v>79723</v>
      </c>
      <c r="I3634" s="3" t="s">
        <v>15</v>
      </c>
      <c r="J3634" s="4">
        <v>2</v>
      </c>
    </row>
    <row r="3635" spans="1:10" x14ac:dyDescent="0.35">
      <c r="A3635" s="2" t="s">
        <v>3671</v>
      </c>
      <c r="B3635" s="4">
        <v>2</v>
      </c>
      <c r="C3635" t="s">
        <v>17</v>
      </c>
      <c r="D3635" t="s">
        <v>18</v>
      </c>
      <c r="E3635" t="s">
        <v>34</v>
      </c>
      <c r="F3635" t="s">
        <v>30</v>
      </c>
      <c r="G3635" s="4">
        <v>8</v>
      </c>
      <c r="H3635" s="1">
        <v>98603</v>
      </c>
      <c r="I3635" s="3" t="s">
        <v>15</v>
      </c>
      <c r="J3635" s="4">
        <v>3</v>
      </c>
    </row>
    <row r="3636" spans="1:10" x14ac:dyDescent="0.35">
      <c r="A3636" s="2" t="s">
        <v>3672</v>
      </c>
      <c r="B3636" s="4">
        <v>40</v>
      </c>
      <c r="C3636" t="s">
        <v>11</v>
      </c>
      <c r="D3636" t="s">
        <v>18</v>
      </c>
      <c r="E3636" t="s">
        <v>27</v>
      </c>
      <c r="F3636" t="s">
        <v>30</v>
      </c>
      <c r="G3636" s="4">
        <v>7</v>
      </c>
      <c r="H3636" s="1">
        <v>86070</v>
      </c>
      <c r="I3636" s="3" t="s">
        <v>15</v>
      </c>
      <c r="J3636" s="4">
        <v>5</v>
      </c>
    </row>
    <row r="3637" spans="1:10" x14ac:dyDescent="0.35">
      <c r="A3637" s="2" t="s">
        <v>3673</v>
      </c>
      <c r="B3637" s="4">
        <v>1</v>
      </c>
      <c r="C3637" t="s">
        <v>11</v>
      </c>
      <c r="D3637" t="s">
        <v>33</v>
      </c>
      <c r="E3637" t="s">
        <v>27</v>
      </c>
      <c r="F3637" t="s">
        <v>14</v>
      </c>
      <c r="G3637" s="4">
        <v>14</v>
      </c>
      <c r="H3637" s="1">
        <v>64800</v>
      </c>
      <c r="I3637" s="3" t="s">
        <v>15</v>
      </c>
      <c r="J3637" s="4">
        <v>3</v>
      </c>
    </row>
    <row r="3638" spans="1:10" x14ac:dyDescent="0.35">
      <c r="A3638" s="2" t="s">
        <v>3674</v>
      </c>
      <c r="B3638" s="4">
        <v>72</v>
      </c>
      <c r="C3638" t="s">
        <v>17</v>
      </c>
      <c r="D3638" t="s">
        <v>18</v>
      </c>
      <c r="E3638" t="s">
        <v>37</v>
      </c>
      <c r="F3638" t="s">
        <v>14</v>
      </c>
      <c r="G3638" s="4">
        <v>13</v>
      </c>
      <c r="H3638" s="1">
        <v>57934</v>
      </c>
      <c r="I3638" s="3" t="s">
        <v>15</v>
      </c>
      <c r="J3638" s="4">
        <v>5</v>
      </c>
    </row>
    <row r="3639" spans="1:10" x14ac:dyDescent="0.35">
      <c r="A3639" s="2" t="s">
        <v>3675</v>
      </c>
      <c r="B3639" s="4">
        <v>75</v>
      </c>
      <c r="C3639" t="s">
        <v>11</v>
      </c>
      <c r="D3639" t="s">
        <v>39</v>
      </c>
      <c r="E3639" t="s">
        <v>24</v>
      </c>
      <c r="F3639" t="s">
        <v>30</v>
      </c>
      <c r="G3639" s="4">
        <v>15</v>
      </c>
      <c r="H3639" s="1">
        <v>65035</v>
      </c>
      <c r="I3639" s="3" t="s">
        <v>21</v>
      </c>
      <c r="J3639" s="4">
        <v>1</v>
      </c>
    </row>
    <row r="3640" spans="1:10" x14ac:dyDescent="0.35">
      <c r="A3640" s="2" t="s">
        <v>3676</v>
      </c>
      <c r="B3640" s="4">
        <v>59</v>
      </c>
      <c r="C3640" t="s">
        <v>11</v>
      </c>
      <c r="D3640" t="s">
        <v>23</v>
      </c>
      <c r="E3640" t="s">
        <v>42</v>
      </c>
      <c r="F3640" t="s">
        <v>30</v>
      </c>
      <c r="G3640" s="4">
        <v>14</v>
      </c>
      <c r="H3640" s="1">
        <v>68742</v>
      </c>
      <c r="I3640" s="3" t="s">
        <v>21</v>
      </c>
      <c r="J3640" s="4">
        <v>5</v>
      </c>
    </row>
    <row r="3641" spans="1:10" x14ac:dyDescent="0.35">
      <c r="A3641" s="2" t="s">
        <v>3677</v>
      </c>
      <c r="B3641" s="4">
        <v>54</v>
      </c>
      <c r="C3641" t="s">
        <v>11</v>
      </c>
      <c r="D3641" t="s">
        <v>39</v>
      </c>
      <c r="E3641" t="s">
        <v>19</v>
      </c>
      <c r="F3641" t="s">
        <v>20</v>
      </c>
      <c r="G3641" s="4">
        <v>10</v>
      </c>
      <c r="H3641" s="1">
        <v>54998</v>
      </c>
      <c r="I3641" s="3" t="s">
        <v>21</v>
      </c>
      <c r="J3641" s="4">
        <v>1</v>
      </c>
    </row>
    <row r="3642" spans="1:10" x14ac:dyDescent="0.35">
      <c r="A3642" s="2" t="s">
        <v>3678</v>
      </c>
      <c r="B3642" s="4">
        <v>24</v>
      </c>
      <c r="C3642" t="s">
        <v>11</v>
      </c>
      <c r="D3642" t="s">
        <v>18</v>
      </c>
      <c r="E3642" t="s">
        <v>29</v>
      </c>
      <c r="F3642" t="s">
        <v>30</v>
      </c>
      <c r="G3642" s="4">
        <v>1</v>
      </c>
      <c r="H3642" s="1">
        <v>6565</v>
      </c>
      <c r="I3642" s="3" t="s">
        <v>15</v>
      </c>
      <c r="J3642" s="4">
        <v>5</v>
      </c>
    </row>
    <row r="3643" spans="1:10" x14ac:dyDescent="0.35">
      <c r="A3643" s="2" t="s">
        <v>3679</v>
      </c>
      <c r="B3643" s="4">
        <v>29</v>
      </c>
      <c r="C3643" t="s">
        <v>17</v>
      </c>
      <c r="D3643" t="s">
        <v>18</v>
      </c>
      <c r="E3643" t="s">
        <v>29</v>
      </c>
      <c r="F3643" t="s">
        <v>30</v>
      </c>
      <c r="G3643" s="4">
        <v>14</v>
      </c>
      <c r="H3643" s="1">
        <v>72281</v>
      </c>
      <c r="I3643" s="3" t="s">
        <v>15</v>
      </c>
      <c r="J3643" s="4">
        <v>4</v>
      </c>
    </row>
    <row r="3644" spans="1:10" x14ac:dyDescent="0.35">
      <c r="A3644" s="2" t="s">
        <v>3680</v>
      </c>
      <c r="B3644" s="4">
        <v>16</v>
      </c>
      <c r="C3644" t="s">
        <v>11</v>
      </c>
      <c r="D3644" t="s">
        <v>18</v>
      </c>
      <c r="E3644" t="s">
        <v>29</v>
      </c>
      <c r="F3644" t="s">
        <v>30</v>
      </c>
      <c r="G3644" s="4">
        <v>11</v>
      </c>
      <c r="H3644" s="1">
        <v>12315</v>
      </c>
      <c r="I3644" s="3" t="s">
        <v>21</v>
      </c>
      <c r="J3644" s="4">
        <v>2</v>
      </c>
    </row>
    <row r="3645" spans="1:10" x14ac:dyDescent="0.35">
      <c r="A3645" s="2" t="s">
        <v>3681</v>
      </c>
      <c r="B3645" s="4">
        <v>55</v>
      </c>
      <c r="C3645" t="s">
        <v>17</v>
      </c>
      <c r="D3645" t="s">
        <v>28</v>
      </c>
      <c r="E3645" t="s">
        <v>19</v>
      </c>
      <c r="F3645" t="s">
        <v>14</v>
      </c>
      <c r="G3645" s="4">
        <v>8</v>
      </c>
      <c r="H3645" s="1">
        <v>16994</v>
      </c>
      <c r="I3645" s="3" t="s">
        <v>21</v>
      </c>
      <c r="J3645" s="4">
        <v>1</v>
      </c>
    </row>
    <row r="3646" spans="1:10" x14ac:dyDescent="0.35">
      <c r="A3646" s="2" t="s">
        <v>3682</v>
      </c>
      <c r="B3646" s="4">
        <v>90</v>
      </c>
      <c r="C3646" t="s">
        <v>17</v>
      </c>
      <c r="D3646" t="s">
        <v>18</v>
      </c>
      <c r="E3646" t="s">
        <v>53</v>
      </c>
      <c r="F3646" t="s">
        <v>14</v>
      </c>
      <c r="G3646" s="4">
        <v>4</v>
      </c>
      <c r="H3646" s="1">
        <v>43696</v>
      </c>
      <c r="I3646" s="3" t="s">
        <v>21</v>
      </c>
      <c r="J3646" s="4">
        <v>4</v>
      </c>
    </row>
    <row r="3647" spans="1:10" x14ac:dyDescent="0.35">
      <c r="A3647" s="2" t="s">
        <v>3683</v>
      </c>
      <c r="B3647" s="4">
        <v>52</v>
      </c>
      <c r="C3647" t="s">
        <v>11</v>
      </c>
      <c r="D3647" t="s">
        <v>36</v>
      </c>
      <c r="E3647" t="s">
        <v>34</v>
      </c>
      <c r="F3647" t="s">
        <v>20</v>
      </c>
      <c r="G3647" s="4">
        <v>3</v>
      </c>
      <c r="H3647" s="1">
        <v>14691</v>
      </c>
      <c r="I3647" s="3" t="s">
        <v>15</v>
      </c>
      <c r="J3647" s="4">
        <v>5</v>
      </c>
    </row>
    <row r="3648" spans="1:10" x14ac:dyDescent="0.35">
      <c r="A3648" s="2" t="s">
        <v>3684</v>
      </c>
      <c r="B3648" s="4">
        <v>11</v>
      </c>
      <c r="C3648" t="s">
        <v>17</v>
      </c>
      <c r="D3648" t="s">
        <v>39</v>
      </c>
      <c r="E3648" t="s">
        <v>37</v>
      </c>
      <c r="F3648" t="s">
        <v>14</v>
      </c>
      <c r="G3648" s="4">
        <v>7</v>
      </c>
      <c r="H3648" s="1">
        <v>34817</v>
      </c>
      <c r="I3648" s="3" t="s">
        <v>21</v>
      </c>
      <c r="J3648" s="4">
        <v>5</v>
      </c>
    </row>
    <row r="3649" spans="1:10" x14ac:dyDescent="0.35">
      <c r="A3649" s="2" t="s">
        <v>3685</v>
      </c>
      <c r="B3649" s="4">
        <v>42</v>
      </c>
      <c r="C3649" t="s">
        <v>11</v>
      </c>
      <c r="D3649" t="s">
        <v>23</v>
      </c>
      <c r="E3649" t="s">
        <v>65</v>
      </c>
      <c r="F3649" t="s">
        <v>30</v>
      </c>
      <c r="G3649" s="4">
        <v>15</v>
      </c>
      <c r="H3649" s="1">
        <v>64507</v>
      </c>
      <c r="I3649" s="3" t="s">
        <v>15</v>
      </c>
      <c r="J3649" s="4">
        <v>2</v>
      </c>
    </row>
    <row r="3650" spans="1:10" x14ac:dyDescent="0.35">
      <c r="A3650" s="2" t="s">
        <v>3686</v>
      </c>
      <c r="B3650" s="4">
        <v>61</v>
      </c>
      <c r="C3650" t="s">
        <v>17</v>
      </c>
      <c r="D3650" t="s">
        <v>18</v>
      </c>
      <c r="E3650" t="s">
        <v>37</v>
      </c>
      <c r="F3650" t="s">
        <v>20</v>
      </c>
      <c r="G3650" s="4">
        <v>5</v>
      </c>
      <c r="H3650" s="1">
        <v>16260</v>
      </c>
      <c r="I3650" s="3" t="s">
        <v>15</v>
      </c>
      <c r="J3650" s="4">
        <v>1</v>
      </c>
    </row>
    <row r="3651" spans="1:10" x14ac:dyDescent="0.35">
      <c r="A3651" s="2" t="s">
        <v>3687</v>
      </c>
      <c r="B3651" s="4">
        <v>62</v>
      </c>
      <c r="C3651" t="s">
        <v>17</v>
      </c>
      <c r="D3651" t="s">
        <v>33</v>
      </c>
      <c r="E3651" t="s">
        <v>13</v>
      </c>
      <c r="F3651" t="s">
        <v>20</v>
      </c>
      <c r="G3651" s="4">
        <v>9</v>
      </c>
      <c r="H3651" s="1">
        <v>63386</v>
      </c>
      <c r="I3651" s="3" t="s">
        <v>15</v>
      </c>
      <c r="J3651" s="4">
        <v>2</v>
      </c>
    </row>
    <row r="3652" spans="1:10" x14ac:dyDescent="0.35">
      <c r="A3652" s="2" t="s">
        <v>3688</v>
      </c>
      <c r="B3652" s="4">
        <v>89</v>
      </c>
      <c r="C3652" t="s">
        <v>11</v>
      </c>
      <c r="D3652" t="s">
        <v>36</v>
      </c>
      <c r="E3652" t="s">
        <v>29</v>
      </c>
      <c r="F3652" t="s">
        <v>14</v>
      </c>
      <c r="G3652" s="4">
        <v>12</v>
      </c>
      <c r="H3652" s="1">
        <v>54777</v>
      </c>
      <c r="I3652" s="3" t="s">
        <v>21</v>
      </c>
      <c r="J3652" s="4">
        <v>2</v>
      </c>
    </row>
    <row r="3653" spans="1:10" x14ac:dyDescent="0.35">
      <c r="A3653" s="2" t="s">
        <v>3689</v>
      </c>
      <c r="B3653" s="4">
        <v>87</v>
      </c>
      <c r="C3653" t="s">
        <v>11</v>
      </c>
      <c r="D3653" t="s">
        <v>36</v>
      </c>
      <c r="E3653" t="s">
        <v>34</v>
      </c>
      <c r="F3653" t="s">
        <v>30</v>
      </c>
      <c r="G3653" s="4">
        <v>2</v>
      </c>
      <c r="H3653" s="1">
        <v>83425</v>
      </c>
      <c r="I3653" s="3" t="s">
        <v>21</v>
      </c>
      <c r="J3653" s="4">
        <v>5</v>
      </c>
    </row>
    <row r="3654" spans="1:10" x14ac:dyDescent="0.35">
      <c r="A3654" s="2" t="s">
        <v>3690</v>
      </c>
      <c r="B3654" s="4">
        <v>48</v>
      </c>
      <c r="C3654" t="s">
        <v>11</v>
      </c>
      <c r="D3654" t="s">
        <v>33</v>
      </c>
      <c r="E3654" t="s">
        <v>29</v>
      </c>
      <c r="F3654" t="s">
        <v>14</v>
      </c>
      <c r="G3654" s="4">
        <v>7</v>
      </c>
      <c r="H3654" s="1">
        <v>7518</v>
      </c>
      <c r="I3654" s="3" t="s">
        <v>21</v>
      </c>
      <c r="J3654" s="4">
        <v>5</v>
      </c>
    </row>
    <row r="3655" spans="1:10" x14ac:dyDescent="0.35">
      <c r="A3655" s="2" t="s">
        <v>3691</v>
      </c>
      <c r="B3655" s="4">
        <v>90</v>
      </c>
      <c r="C3655" t="s">
        <v>17</v>
      </c>
      <c r="D3655" t="s">
        <v>33</v>
      </c>
      <c r="E3655" t="s">
        <v>13</v>
      </c>
      <c r="F3655" t="s">
        <v>20</v>
      </c>
      <c r="G3655" s="4">
        <v>4</v>
      </c>
      <c r="H3655" s="1">
        <v>53954</v>
      </c>
      <c r="I3655" s="3" t="s">
        <v>21</v>
      </c>
      <c r="J3655" s="4">
        <v>3</v>
      </c>
    </row>
    <row r="3656" spans="1:10" x14ac:dyDescent="0.35">
      <c r="A3656" s="2" t="s">
        <v>3692</v>
      </c>
      <c r="B3656" s="4">
        <v>15</v>
      </c>
      <c r="C3656" t="s">
        <v>11</v>
      </c>
      <c r="D3656" t="s">
        <v>28</v>
      </c>
      <c r="E3656" t="s">
        <v>42</v>
      </c>
      <c r="F3656" t="s">
        <v>30</v>
      </c>
      <c r="G3656" s="4">
        <v>7</v>
      </c>
      <c r="H3656" s="1">
        <v>76563</v>
      </c>
      <c r="I3656" s="3" t="s">
        <v>21</v>
      </c>
      <c r="J3656" s="4">
        <v>3</v>
      </c>
    </row>
    <row r="3657" spans="1:10" x14ac:dyDescent="0.35">
      <c r="A3657" s="2" t="s">
        <v>3693</v>
      </c>
      <c r="B3657" s="4">
        <v>54</v>
      </c>
      <c r="C3657" t="s">
        <v>11</v>
      </c>
      <c r="D3657" t="s">
        <v>33</v>
      </c>
      <c r="E3657" t="s">
        <v>13</v>
      </c>
      <c r="F3657" t="s">
        <v>30</v>
      </c>
      <c r="G3657" s="4">
        <v>5</v>
      </c>
      <c r="H3657" s="1">
        <v>74381</v>
      </c>
      <c r="I3657" s="3" t="s">
        <v>21</v>
      </c>
      <c r="J3657" s="4">
        <v>1</v>
      </c>
    </row>
    <row r="3658" spans="1:10" x14ac:dyDescent="0.35">
      <c r="A3658" s="2" t="s">
        <v>3694</v>
      </c>
      <c r="B3658" s="4">
        <v>89</v>
      </c>
      <c r="C3658" t="s">
        <v>11</v>
      </c>
      <c r="D3658" t="s">
        <v>49</v>
      </c>
      <c r="E3658" t="s">
        <v>13</v>
      </c>
      <c r="F3658" t="s">
        <v>14</v>
      </c>
      <c r="G3658" s="4">
        <v>6</v>
      </c>
      <c r="H3658" s="1">
        <v>43141</v>
      </c>
      <c r="I3658" s="3" t="s">
        <v>21</v>
      </c>
      <c r="J3658" s="4">
        <v>5</v>
      </c>
    </row>
    <row r="3659" spans="1:10" x14ac:dyDescent="0.35">
      <c r="A3659" s="2" t="s">
        <v>3695</v>
      </c>
      <c r="B3659" s="4">
        <v>2</v>
      </c>
      <c r="C3659" t="s">
        <v>11</v>
      </c>
      <c r="D3659" t="s">
        <v>12</v>
      </c>
      <c r="E3659" t="s">
        <v>53</v>
      </c>
      <c r="F3659" t="s">
        <v>14</v>
      </c>
      <c r="G3659" s="4">
        <v>6</v>
      </c>
      <c r="H3659" s="1">
        <v>78040</v>
      </c>
      <c r="I3659" s="3" t="s">
        <v>15</v>
      </c>
      <c r="J3659" s="4">
        <v>1</v>
      </c>
    </row>
    <row r="3660" spans="1:10" x14ac:dyDescent="0.35">
      <c r="A3660" s="2" t="s">
        <v>3696</v>
      </c>
      <c r="B3660" s="4">
        <v>12</v>
      </c>
      <c r="C3660" t="s">
        <v>17</v>
      </c>
      <c r="D3660" t="s">
        <v>26</v>
      </c>
      <c r="E3660" t="s">
        <v>24</v>
      </c>
      <c r="F3660" t="s">
        <v>14</v>
      </c>
      <c r="G3660" s="4">
        <v>1</v>
      </c>
      <c r="H3660" s="1">
        <v>53260</v>
      </c>
      <c r="I3660" s="3" t="s">
        <v>21</v>
      </c>
      <c r="J3660" s="4">
        <v>5</v>
      </c>
    </row>
    <row r="3661" spans="1:10" x14ac:dyDescent="0.35">
      <c r="A3661" s="2" t="s">
        <v>3697</v>
      </c>
      <c r="B3661" s="4">
        <v>17</v>
      </c>
      <c r="C3661" t="s">
        <v>11</v>
      </c>
      <c r="D3661" t="s">
        <v>18</v>
      </c>
      <c r="E3661" t="s">
        <v>29</v>
      </c>
      <c r="F3661" t="s">
        <v>14</v>
      </c>
      <c r="G3661" s="4">
        <v>1</v>
      </c>
      <c r="H3661" s="1">
        <v>59439</v>
      </c>
      <c r="I3661" s="3" t="s">
        <v>15</v>
      </c>
      <c r="J3661" s="4">
        <v>3</v>
      </c>
    </row>
    <row r="3662" spans="1:10" x14ac:dyDescent="0.35">
      <c r="A3662" s="2" t="s">
        <v>3698</v>
      </c>
      <c r="B3662" s="4">
        <v>66</v>
      </c>
      <c r="C3662" t="s">
        <v>17</v>
      </c>
      <c r="D3662" t="s">
        <v>18</v>
      </c>
      <c r="E3662" t="s">
        <v>24</v>
      </c>
      <c r="F3662" t="s">
        <v>14</v>
      </c>
      <c r="G3662" s="4">
        <v>12</v>
      </c>
      <c r="H3662" s="1">
        <v>16897</v>
      </c>
      <c r="I3662" s="3" t="s">
        <v>15</v>
      </c>
      <c r="J3662" s="4">
        <v>4</v>
      </c>
    </row>
    <row r="3663" spans="1:10" x14ac:dyDescent="0.35">
      <c r="A3663" s="2" t="s">
        <v>3699</v>
      </c>
      <c r="B3663" s="4">
        <v>11</v>
      </c>
      <c r="C3663" t="s">
        <v>17</v>
      </c>
      <c r="D3663" t="s">
        <v>49</v>
      </c>
      <c r="E3663" t="s">
        <v>37</v>
      </c>
      <c r="F3663" t="s">
        <v>20</v>
      </c>
      <c r="G3663" s="4">
        <v>11</v>
      </c>
      <c r="H3663" s="1">
        <v>80548</v>
      </c>
      <c r="I3663" s="3" t="s">
        <v>21</v>
      </c>
      <c r="J3663" s="4">
        <v>2</v>
      </c>
    </row>
    <row r="3664" spans="1:10" x14ac:dyDescent="0.35">
      <c r="A3664" s="2" t="s">
        <v>3700</v>
      </c>
      <c r="B3664" s="4">
        <v>55</v>
      </c>
      <c r="C3664" t="s">
        <v>11</v>
      </c>
      <c r="D3664" t="s">
        <v>33</v>
      </c>
      <c r="E3664" t="s">
        <v>34</v>
      </c>
      <c r="F3664" t="s">
        <v>20</v>
      </c>
      <c r="G3664" s="4">
        <v>6</v>
      </c>
      <c r="H3664" s="1">
        <v>17533</v>
      </c>
      <c r="I3664" s="3" t="s">
        <v>21</v>
      </c>
      <c r="J3664" s="4">
        <v>2</v>
      </c>
    </row>
    <row r="3665" spans="1:10" x14ac:dyDescent="0.35">
      <c r="A3665" s="2" t="s">
        <v>3701</v>
      </c>
      <c r="B3665" s="4">
        <v>64</v>
      </c>
      <c r="C3665" t="s">
        <v>17</v>
      </c>
      <c r="D3665" t="s">
        <v>26</v>
      </c>
      <c r="E3665" t="s">
        <v>53</v>
      </c>
      <c r="F3665" t="s">
        <v>30</v>
      </c>
      <c r="G3665" s="4">
        <v>12</v>
      </c>
      <c r="H3665" s="1">
        <v>44555</v>
      </c>
      <c r="I3665" s="3" t="s">
        <v>21</v>
      </c>
      <c r="J3665" s="4">
        <v>4</v>
      </c>
    </row>
    <row r="3666" spans="1:10" x14ac:dyDescent="0.35">
      <c r="A3666" s="2" t="s">
        <v>3702</v>
      </c>
      <c r="B3666" s="4">
        <v>5</v>
      </c>
      <c r="C3666" t="s">
        <v>11</v>
      </c>
      <c r="D3666" t="s">
        <v>28</v>
      </c>
      <c r="E3666" t="s">
        <v>34</v>
      </c>
      <c r="F3666" t="s">
        <v>30</v>
      </c>
      <c r="G3666" s="4">
        <v>7</v>
      </c>
      <c r="H3666" s="1">
        <v>9297</v>
      </c>
      <c r="I3666" s="3" t="s">
        <v>15</v>
      </c>
      <c r="J3666" s="4">
        <v>1</v>
      </c>
    </row>
    <row r="3667" spans="1:10" x14ac:dyDescent="0.35">
      <c r="A3667" s="2" t="s">
        <v>3703</v>
      </c>
      <c r="B3667" s="4">
        <v>38</v>
      </c>
      <c r="C3667" t="s">
        <v>17</v>
      </c>
      <c r="D3667" t="s">
        <v>36</v>
      </c>
      <c r="E3667" t="s">
        <v>13</v>
      </c>
      <c r="F3667" t="s">
        <v>14</v>
      </c>
      <c r="G3667" s="4">
        <v>6</v>
      </c>
      <c r="H3667" s="1">
        <v>18103</v>
      </c>
      <c r="I3667" s="3" t="s">
        <v>15</v>
      </c>
      <c r="J3667" s="4">
        <v>4</v>
      </c>
    </row>
    <row r="3668" spans="1:10" x14ac:dyDescent="0.35">
      <c r="A3668" s="2" t="s">
        <v>3704</v>
      </c>
      <c r="B3668" s="4">
        <v>37</v>
      </c>
      <c r="C3668" t="s">
        <v>17</v>
      </c>
      <c r="D3668" t="s">
        <v>41</v>
      </c>
      <c r="E3668" t="s">
        <v>13</v>
      </c>
      <c r="F3668" t="s">
        <v>14</v>
      </c>
      <c r="G3668" s="4">
        <v>13</v>
      </c>
      <c r="H3668" s="1">
        <v>28200</v>
      </c>
      <c r="I3668" s="3" t="s">
        <v>15</v>
      </c>
      <c r="J3668" s="4">
        <v>3</v>
      </c>
    </row>
    <row r="3669" spans="1:10" x14ac:dyDescent="0.35">
      <c r="A3669" s="2" t="s">
        <v>3705</v>
      </c>
      <c r="B3669" s="4">
        <v>56</v>
      </c>
      <c r="C3669" t="s">
        <v>11</v>
      </c>
      <c r="D3669" t="s">
        <v>49</v>
      </c>
      <c r="E3669" t="s">
        <v>65</v>
      </c>
      <c r="F3669" t="s">
        <v>20</v>
      </c>
      <c r="G3669" s="4">
        <v>1</v>
      </c>
      <c r="H3669" s="1">
        <v>85773</v>
      </c>
      <c r="I3669" s="3" t="s">
        <v>21</v>
      </c>
      <c r="J3669" s="4">
        <v>4</v>
      </c>
    </row>
    <row r="3670" spans="1:10" x14ac:dyDescent="0.35">
      <c r="A3670" s="2" t="s">
        <v>3706</v>
      </c>
      <c r="B3670" s="4">
        <v>88</v>
      </c>
      <c r="C3670" t="s">
        <v>17</v>
      </c>
      <c r="D3670" t="s">
        <v>26</v>
      </c>
      <c r="E3670" t="s">
        <v>34</v>
      </c>
      <c r="F3670" t="s">
        <v>30</v>
      </c>
      <c r="G3670" s="4">
        <v>15</v>
      </c>
      <c r="H3670" s="1">
        <v>73228</v>
      </c>
      <c r="I3670" s="3" t="s">
        <v>15</v>
      </c>
      <c r="J3670" s="4">
        <v>4</v>
      </c>
    </row>
    <row r="3671" spans="1:10" x14ac:dyDescent="0.35">
      <c r="A3671" s="2" t="s">
        <v>3707</v>
      </c>
      <c r="B3671" s="4">
        <v>44</v>
      </c>
      <c r="C3671" t="s">
        <v>11</v>
      </c>
      <c r="D3671" t="s">
        <v>36</v>
      </c>
      <c r="E3671" t="s">
        <v>53</v>
      </c>
      <c r="F3671" t="s">
        <v>14</v>
      </c>
      <c r="G3671" s="4">
        <v>15</v>
      </c>
      <c r="H3671" s="1">
        <v>33270</v>
      </c>
      <c r="I3671" s="3" t="s">
        <v>21</v>
      </c>
      <c r="J3671" s="4">
        <v>3</v>
      </c>
    </row>
    <row r="3672" spans="1:10" x14ac:dyDescent="0.35">
      <c r="A3672" s="2" t="s">
        <v>3708</v>
      </c>
      <c r="B3672" s="4">
        <v>50</v>
      </c>
      <c r="C3672" t="s">
        <v>17</v>
      </c>
      <c r="D3672" t="s">
        <v>12</v>
      </c>
      <c r="E3672" t="s">
        <v>13</v>
      </c>
      <c r="F3672" t="s">
        <v>30</v>
      </c>
      <c r="G3672" s="4">
        <v>14</v>
      </c>
      <c r="H3672" s="1">
        <v>13053</v>
      </c>
      <c r="I3672" s="3" t="s">
        <v>15</v>
      </c>
      <c r="J3672" s="4">
        <v>5</v>
      </c>
    </row>
    <row r="3673" spans="1:10" x14ac:dyDescent="0.35">
      <c r="A3673" s="2" t="s">
        <v>3709</v>
      </c>
      <c r="B3673" s="4">
        <v>36</v>
      </c>
      <c r="C3673" t="s">
        <v>11</v>
      </c>
      <c r="D3673" t="s">
        <v>49</v>
      </c>
      <c r="E3673" t="s">
        <v>42</v>
      </c>
      <c r="F3673" t="s">
        <v>14</v>
      </c>
      <c r="G3673" s="4">
        <v>7</v>
      </c>
      <c r="H3673" s="1">
        <v>91539</v>
      </c>
      <c r="I3673" s="3" t="s">
        <v>15</v>
      </c>
      <c r="J3673" s="4">
        <v>1</v>
      </c>
    </row>
    <row r="3674" spans="1:10" x14ac:dyDescent="0.35">
      <c r="A3674" s="2" t="s">
        <v>3710</v>
      </c>
      <c r="B3674" s="4">
        <v>38</v>
      </c>
      <c r="C3674" t="s">
        <v>11</v>
      </c>
      <c r="D3674" t="s">
        <v>12</v>
      </c>
      <c r="E3674" t="s">
        <v>53</v>
      </c>
      <c r="F3674" t="s">
        <v>14</v>
      </c>
      <c r="G3674" s="4">
        <v>2</v>
      </c>
      <c r="H3674" s="1">
        <v>9875</v>
      </c>
      <c r="I3674" s="3" t="s">
        <v>15</v>
      </c>
      <c r="J3674" s="4">
        <v>1</v>
      </c>
    </row>
    <row r="3675" spans="1:10" x14ac:dyDescent="0.35">
      <c r="A3675" s="2" t="s">
        <v>3711</v>
      </c>
      <c r="B3675" s="4">
        <v>27</v>
      </c>
      <c r="C3675" t="s">
        <v>17</v>
      </c>
      <c r="D3675" t="s">
        <v>33</v>
      </c>
      <c r="E3675" t="s">
        <v>53</v>
      </c>
      <c r="F3675" t="s">
        <v>14</v>
      </c>
      <c r="G3675" s="4">
        <v>12</v>
      </c>
      <c r="H3675" s="1">
        <v>34857</v>
      </c>
      <c r="I3675" s="3" t="s">
        <v>21</v>
      </c>
      <c r="J3675" s="4">
        <v>1</v>
      </c>
    </row>
    <row r="3676" spans="1:10" x14ac:dyDescent="0.35">
      <c r="A3676" s="2" t="s">
        <v>3712</v>
      </c>
      <c r="B3676" s="4">
        <v>29</v>
      </c>
      <c r="C3676" t="s">
        <v>17</v>
      </c>
      <c r="D3676" t="s">
        <v>12</v>
      </c>
      <c r="E3676" t="s">
        <v>13</v>
      </c>
      <c r="F3676" t="s">
        <v>30</v>
      </c>
      <c r="G3676" s="4">
        <v>4</v>
      </c>
      <c r="H3676" s="1">
        <v>11275</v>
      </c>
      <c r="I3676" s="3" t="s">
        <v>21</v>
      </c>
      <c r="J3676" s="4">
        <v>2</v>
      </c>
    </row>
    <row r="3677" spans="1:10" x14ac:dyDescent="0.35">
      <c r="A3677" s="2" t="s">
        <v>3713</v>
      </c>
      <c r="B3677" s="4">
        <v>30</v>
      </c>
      <c r="C3677" t="s">
        <v>17</v>
      </c>
      <c r="D3677" t="s">
        <v>23</v>
      </c>
      <c r="E3677" t="s">
        <v>27</v>
      </c>
      <c r="F3677" t="s">
        <v>30</v>
      </c>
      <c r="G3677" s="4">
        <v>5</v>
      </c>
      <c r="H3677" s="1">
        <v>97541</v>
      </c>
      <c r="I3677" s="3" t="s">
        <v>21</v>
      </c>
      <c r="J3677" s="4">
        <v>3</v>
      </c>
    </row>
    <row r="3678" spans="1:10" x14ac:dyDescent="0.35">
      <c r="A3678" s="2" t="s">
        <v>3714</v>
      </c>
      <c r="B3678" s="4">
        <v>46</v>
      </c>
      <c r="C3678" t="s">
        <v>17</v>
      </c>
      <c r="D3678" t="s">
        <v>23</v>
      </c>
      <c r="E3678" t="s">
        <v>34</v>
      </c>
      <c r="F3678" t="s">
        <v>30</v>
      </c>
      <c r="G3678" s="4">
        <v>1</v>
      </c>
      <c r="H3678" s="1">
        <v>41822</v>
      </c>
      <c r="I3678" s="3" t="s">
        <v>21</v>
      </c>
      <c r="J3678" s="4">
        <v>2</v>
      </c>
    </row>
    <row r="3679" spans="1:10" x14ac:dyDescent="0.35">
      <c r="A3679" s="2" t="s">
        <v>3715</v>
      </c>
      <c r="B3679" s="4">
        <v>34</v>
      </c>
      <c r="C3679" t="s">
        <v>11</v>
      </c>
      <c r="D3679" t="s">
        <v>39</v>
      </c>
      <c r="E3679" t="s">
        <v>19</v>
      </c>
      <c r="F3679" t="s">
        <v>20</v>
      </c>
      <c r="G3679" s="4">
        <v>9</v>
      </c>
      <c r="H3679" s="1">
        <v>55064</v>
      </c>
      <c r="I3679" s="3" t="s">
        <v>21</v>
      </c>
      <c r="J3679" s="4">
        <v>2</v>
      </c>
    </row>
    <row r="3680" spans="1:10" x14ac:dyDescent="0.35">
      <c r="A3680" s="2" t="s">
        <v>3716</v>
      </c>
      <c r="B3680" s="4">
        <v>47</v>
      </c>
      <c r="C3680" t="s">
        <v>17</v>
      </c>
      <c r="D3680" t="s">
        <v>33</v>
      </c>
      <c r="E3680" t="s">
        <v>19</v>
      </c>
      <c r="F3680" t="s">
        <v>30</v>
      </c>
      <c r="G3680" s="4">
        <v>5</v>
      </c>
      <c r="H3680" s="1">
        <v>5338</v>
      </c>
      <c r="I3680" s="3" t="s">
        <v>21</v>
      </c>
      <c r="J3680" s="4">
        <v>5</v>
      </c>
    </row>
    <row r="3681" spans="1:10" x14ac:dyDescent="0.35">
      <c r="A3681" s="2" t="s">
        <v>3717</v>
      </c>
      <c r="B3681" s="4">
        <v>23</v>
      </c>
      <c r="C3681" t="s">
        <v>17</v>
      </c>
      <c r="D3681" t="s">
        <v>36</v>
      </c>
      <c r="E3681" t="s">
        <v>13</v>
      </c>
      <c r="F3681" t="s">
        <v>30</v>
      </c>
      <c r="G3681" s="4">
        <v>11</v>
      </c>
      <c r="H3681" s="1">
        <v>53165</v>
      </c>
      <c r="I3681" s="3" t="s">
        <v>21</v>
      </c>
      <c r="J3681" s="4">
        <v>2</v>
      </c>
    </row>
    <row r="3682" spans="1:10" x14ac:dyDescent="0.35">
      <c r="A3682" s="2" t="s">
        <v>3718</v>
      </c>
      <c r="B3682" s="4">
        <v>68</v>
      </c>
      <c r="C3682" t="s">
        <v>11</v>
      </c>
      <c r="D3682" t="s">
        <v>49</v>
      </c>
      <c r="E3682" t="s">
        <v>19</v>
      </c>
      <c r="F3682" t="s">
        <v>20</v>
      </c>
      <c r="G3682" s="4">
        <v>7</v>
      </c>
      <c r="H3682" s="1">
        <v>32544</v>
      </c>
      <c r="I3682" s="3" t="s">
        <v>15</v>
      </c>
      <c r="J3682" s="4">
        <v>3</v>
      </c>
    </row>
    <row r="3683" spans="1:10" x14ac:dyDescent="0.35">
      <c r="A3683" s="2" t="s">
        <v>3719</v>
      </c>
      <c r="B3683" s="4">
        <v>86</v>
      </c>
      <c r="C3683" t="s">
        <v>17</v>
      </c>
      <c r="D3683" t="s">
        <v>28</v>
      </c>
      <c r="E3683" t="s">
        <v>24</v>
      </c>
      <c r="F3683" t="s">
        <v>30</v>
      </c>
      <c r="G3683" s="4">
        <v>2</v>
      </c>
      <c r="H3683" s="1">
        <v>86762</v>
      </c>
      <c r="I3683" s="3" t="s">
        <v>21</v>
      </c>
      <c r="J3683" s="4">
        <v>2</v>
      </c>
    </row>
    <row r="3684" spans="1:10" x14ac:dyDescent="0.35">
      <c r="A3684" s="2" t="s">
        <v>3720</v>
      </c>
      <c r="B3684" s="4">
        <v>3</v>
      </c>
      <c r="C3684" t="s">
        <v>11</v>
      </c>
      <c r="D3684" t="s">
        <v>33</v>
      </c>
      <c r="E3684" t="s">
        <v>19</v>
      </c>
      <c r="F3684" t="s">
        <v>14</v>
      </c>
      <c r="G3684" s="4">
        <v>2</v>
      </c>
      <c r="H3684" s="1">
        <v>93343</v>
      </c>
      <c r="I3684" s="3" t="s">
        <v>21</v>
      </c>
      <c r="J3684" s="4">
        <v>4</v>
      </c>
    </row>
    <row r="3685" spans="1:10" x14ac:dyDescent="0.35">
      <c r="A3685" s="2" t="s">
        <v>3721</v>
      </c>
      <c r="B3685" s="4">
        <v>36</v>
      </c>
      <c r="C3685" t="s">
        <v>17</v>
      </c>
      <c r="D3685" t="s">
        <v>26</v>
      </c>
      <c r="E3685" t="s">
        <v>13</v>
      </c>
      <c r="F3685" t="s">
        <v>14</v>
      </c>
      <c r="G3685" s="4">
        <v>11</v>
      </c>
      <c r="H3685" s="1">
        <v>64365</v>
      </c>
      <c r="I3685" s="3" t="s">
        <v>21</v>
      </c>
      <c r="J3685" s="4">
        <v>4</v>
      </c>
    </row>
    <row r="3686" spans="1:10" x14ac:dyDescent="0.35">
      <c r="A3686" s="2" t="s">
        <v>3722</v>
      </c>
      <c r="B3686" s="4">
        <v>33</v>
      </c>
      <c r="C3686" t="s">
        <v>11</v>
      </c>
      <c r="D3686" t="s">
        <v>26</v>
      </c>
      <c r="E3686" t="s">
        <v>27</v>
      </c>
      <c r="F3686" t="s">
        <v>14</v>
      </c>
      <c r="G3686" s="4">
        <v>4</v>
      </c>
      <c r="H3686" s="1">
        <v>31078</v>
      </c>
      <c r="I3686" s="3" t="s">
        <v>15</v>
      </c>
      <c r="J3686" s="4">
        <v>5</v>
      </c>
    </row>
    <row r="3687" spans="1:10" x14ac:dyDescent="0.35">
      <c r="A3687" s="2" t="s">
        <v>3723</v>
      </c>
      <c r="B3687" s="4">
        <v>15</v>
      </c>
      <c r="C3687" t="s">
        <v>17</v>
      </c>
      <c r="D3687" t="s">
        <v>49</v>
      </c>
      <c r="E3687" t="s">
        <v>34</v>
      </c>
      <c r="F3687" t="s">
        <v>14</v>
      </c>
      <c r="G3687" s="4">
        <v>4</v>
      </c>
      <c r="H3687" s="1">
        <v>25529</v>
      </c>
      <c r="I3687" s="3" t="s">
        <v>21</v>
      </c>
      <c r="J3687" s="4">
        <v>4</v>
      </c>
    </row>
    <row r="3688" spans="1:10" x14ac:dyDescent="0.35">
      <c r="A3688" s="2" t="s">
        <v>3724</v>
      </c>
      <c r="B3688" s="4">
        <v>74</v>
      </c>
      <c r="C3688" t="s">
        <v>11</v>
      </c>
      <c r="D3688" t="s">
        <v>33</v>
      </c>
      <c r="E3688" t="s">
        <v>65</v>
      </c>
      <c r="F3688" t="s">
        <v>30</v>
      </c>
      <c r="G3688" s="4">
        <v>11</v>
      </c>
      <c r="H3688" s="1">
        <v>91894</v>
      </c>
      <c r="I3688" s="3" t="s">
        <v>15</v>
      </c>
      <c r="J3688" s="4">
        <v>4</v>
      </c>
    </row>
    <row r="3689" spans="1:10" x14ac:dyDescent="0.35">
      <c r="A3689" s="2" t="s">
        <v>3725</v>
      </c>
      <c r="B3689" s="4">
        <v>42</v>
      </c>
      <c r="C3689" t="s">
        <v>11</v>
      </c>
      <c r="D3689" t="s">
        <v>12</v>
      </c>
      <c r="E3689" t="s">
        <v>65</v>
      </c>
      <c r="F3689" t="s">
        <v>14</v>
      </c>
      <c r="G3689" s="4">
        <v>3</v>
      </c>
      <c r="H3689" s="1">
        <v>16482</v>
      </c>
      <c r="I3689" s="3" t="s">
        <v>21</v>
      </c>
      <c r="J3689" s="4">
        <v>5</v>
      </c>
    </row>
    <row r="3690" spans="1:10" x14ac:dyDescent="0.35">
      <c r="A3690" s="2" t="s">
        <v>3726</v>
      </c>
      <c r="B3690" s="4">
        <v>29</v>
      </c>
      <c r="C3690" t="s">
        <v>11</v>
      </c>
      <c r="D3690" t="s">
        <v>41</v>
      </c>
      <c r="E3690" t="s">
        <v>13</v>
      </c>
      <c r="F3690" t="s">
        <v>30</v>
      </c>
      <c r="G3690" s="4">
        <v>6</v>
      </c>
      <c r="H3690" s="1">
        <v>42710</v>
      </c>
      <c r="I3690" s="3" t="s">
        <v>21</v>
      </c>
      <c r="J3690" s="4">
        <v>5</v>
      </c>
    </row>
    <row r="3691" spans="1:10" x14ac:dyDescent="0.35">
      <c r="A3691" s="2" t="s">
        <v>3727</v>
      </c>
      <c r="B3691" s="4">
        <v>22</v>
      </c>
      <c r="C3691" t="s">
        <v>17</v>
      </c>
      <c r="D3691" t="s">
        <v>26</v>
      </c>
      <c r="E3691" t="s">
        <v>27</v>
      </c>
      <c r="F3691" t="s">
        <v>20</v>
      </c>
      <c r="G3691" s="4">
        <v>11</v>
      </c>
      <c r="H3691" s="1">
        <v>6590</v>
      </c>
      <c r="I3691" s="3" t="s">
        <v>21</v>
      </c>
      <c r="J3691" s="4">
        <v>3</v>
      </c>
    </row>
    <row r="3692" spans="1:10" x14ac:dyDescent="0.35">
      <c r="A3692" s="2" t="s">
        <v>3728</v>
      </c>
      <c r="B3692" s="4">
        <v>23</v>
      </c>
      <c r="C3692" t="s">
        <v>11</v>
      </c>
      <c r="D3692" t="s">
        <v>39</v>
      </c>
      <c r="E3692" t="s">
        <v>29</v>
      </c>
      <c r="F3692" t="s">
        <v>30</v>
      </c>
      <c r="G3692" s="4">
        <v>9</v>
      </c>
      <c r="H3692" s="1">
        <v>15275</v>
      </c>
      <c r="I3692" s="3" t="s">
        <v>15</v>
      </c>
      <c r="J3692" s="4">
        <v>2</v>
      </c>
    </row>
    <row r="3693" spans="1:10" x14ac:dyDescent="0.35">
      <c r="A3693" s="2" t="s">
        <v>3729</v>
      </c>
      <c r="B3693" s="4">
        <v>68</v>
      </c>
      <c r="C3693" t="s">
        <v>17</v>
      </c>
      <c r="D3693" t="s">
        <v>36</v>
      </c>
      <c r="E3693" t="s">
        <v>65</v>
      </c>
      <c r="F3693" t="s">
        <v>20</v>
      </c>
      <c r="G3693" s="4">
        <v>5</v>
      </c>
      <c r="H3693" s="1">
        <v>26309</v>
      </c>
      <c r="I3693" s="3" t="s">
        <v>15</v>
      </c>
      <c r="J3693" s="4">
        <v>3</v>
      </c>
    </row>
    <row r="3694" spans="1:10" x14ac:dyDescent="0.35">
      <c r="A3694" s="2" t="s">
        <v>3730</v>
      </c>
      <c r="B3694" s="4">
        <v>33</v>
      </c>
      <c r="C3694" t="s">
        <v>11</v>
      </c>
      <c r="D3694" t="s">
        <v>12</v>
      </c>
      <c r="E3694" t="s">
        <v>65</v>
      </c>
      <c r="F3694" t="s">
        <v>20</v>
      </c>
      <c r="G3694" s="4">
        <v>1</v>
      </c>
      <c r="H3694" s="1">
        <v>99123</v>
      </c>
      <c r="I3694" s="3" t="s">
        <v>21</v>
      </c>
      <c r="J3694" s="4">
        <v>3</v>
      </c>
    </row>
    <row r="3695" spans="1:10" x14ac:dyDescent="0.35">
      <c r="A3695" s="2" t="s">
        <v>3731</v>
      </c>
      <c r="B3695" s="4">
        <v>58</v>
      </c>
      <c r="C3695" t="s">
        <v>11</v>
      </c>
      <c r="D3695" t="s">
        <v>41</v>
      </c>
      <c r="E3695" t="s">
        <v>34</v>
      </c>
      <c r="F3695" t="s">
        <v>14</v>
      </c>
      <c r="G3695" s="4">
        <v>6</v>
      </c>
      <c r="H3695" s="1">
        <v>41905</v>
      </c>
      <c r="I3695" s="3" t="s">
        <v>21</v>
      </c>
      <c r="J3695" s="4">
        <v>5</v>
      </c>
    </row>
    <row r="3696" spans="1:10" x14ac:dyDescent="0.35">
      <c r="A3696" s="2" t="s">
        <v>3732</v>
      </c>
      <c r="B3696" s="4">
        <v>80</v>
      </c>
      <c r="C3696" t="s">
        <v>17</v>
      </c>
      <c r="D3696" t="s">
        <v>36</v>
      </c>
      <c r="E3696" t="s">
        <v>65</v>
      </c>
      <c r="F3696" t="s">
        <v>30</v>
      </c>
      <c r="G3696" s="4">
        <v>10</v>
      </c>
      <c r="H3696" s="1">
        <v>67970</v>
      </c>
      <c r="I3696" s="3" t="s">
        <v>15</v>
      </c>
      <c r="J3696" s="4">
        <v>4</v>
      </c>
    </row>
    <row r="3697" spans="1:10" x14ac:dyDescent="0.35">
      <c r="A3697" s="2" t="s">
        <v>3733</v>
      </c>
      <c r="B3697" s="4">
        <v>2</v>
      </c>
      <c r="C3697" t="s">
        <v>17</v>
      </c>
      <c r="D3697" t="s">
        <v>12</v>
      </c>
      <c r="E3697" t="s">
        <v>65</v>
      </c>
      <c r="F3697" t="s">
        <v>20</v>
      </c>
      <c r="G3697" s="4">
        <v>3</v>
      </c>
      <c r="H3697" s="1">
        <v>35995</v>
      </c>
      <c r="I3697" s="3" t="s">
        <v>15</v>
      </c>
      <c r="J3697" s="4">
        <v>2</v>
      </c>
    </row>
    <row r="3698" spans="1:10" x14ac:dyDescent="0.35">
      <c r="A3698" s="2" t="s">
        <v>3734</v>
      </c>
      <c r="B3698" s="4">
        <v>5</v>
      </c>
      <c r="C3698" t="s">
        <v>17</v>
      </c>
      <c r="D3698" t="s">
        <v>12</v>
      </c>
      <c r="E3698" t="s">
        <v>24</v>
      </c>
      <c r="F3698" t="s">
        <v>14</v>
      </c>
      <c r="G3698" s="4">
        <v>12</v>
      </c>
      <c r="H3698" s="1">
        <v>97155</v>
      </c>
      <c r="I3698" s="3" t="s">
        <v>21</v>
      </c>
      <c r="J3698" s="4">
        <v>5</v>
      </c>
    </row>
    <row r="3699" spans="1:10" x14ac:dyDescent="0.35">
      <c r="A3699" s="2" t="s">
        <v>3735</v>
      </c>
      <c r="B3699" s="4">
        <v>8</v>
      </c>
      <c r="C3699" t="s">
        <v>17</v>
      </c>
      <c r="D3699" t="s">
        <v>41</v>
      </c>
      <c r="E3699" t="s">
        <v>42</v>
      </c>
      <c r="F3699" t="s">
        <v>14</v>
      </c>
      <c r="G3699" s="4">
        <v>14</v>
      </c>
      <c r="H3699" s="1">
        <v>67862</v>
      </c>
      <c r="I3699" s="3" t="s">
        <v>15</v>
      </c>
      <c r="J3699" s="4">
        <v>2</v>
      </c>
    </row>
    <row r="3700" spans="1:10" x14ac:dyDescent="0.35">
      <c r="A3700" s="2" t="s">
        <v>3736</v>
      </c>
      <c r="B3700" s="4">
        <v>44</v>
      </c>
      <c r="C3700" t="s">
        <v>11</v>
      </c>
      <c r="D3700" t="s">
        <v>36</v>
      </c>
      <c r="E3700" t="s">
        <v>65</v>
      </c>
      <c r="F3700" t="s">
        <v>30</v>
      </c>
      <c r="G3700" s="4">
        <v>1</v>
      </c>
      <c r="H3700" s="1">
        <v>85853</v>
      </c>
      <c r="I3700" s="3" t="s">
        <v>15</v>
      </c>
      <c r="J3700" s="4">
        <v>4</v>
      </c>
    </row>
    <row r="3701" spans="1:10" x14ac:dyDescent="0.35">
      <c r="A3701" s="2" t="s">
        <v>3737</v>
      </c>
      <c r="B3701" s="4">
        <v>8</v>
      </c>
      <c r="C3701" t="s">
        <v>11</v>
      </c>
      <c r="D3701" t="s">
        <v>33</v>
      </c>
      <c r="E3701" t="s">
        <v>42</v>
      </c>
      <c r="F3701" t="s">
        <v>14</v>
      </c>
      <c r="G3701" s="4">
        <v>2</v>
      </c>
      <c r="H3701" s="1">
        <v>30411</v>
      </c>
      <c r="I3701" s="3" t="s">
        <v>21</v>
      </c>
      <c r="J3701" s="4">
        <v>5</v>
      </c>
    </row>
    <row r="3702" spans="1:10" x14ac:dyDescent="0.35">
      <c r="A3702" s="2" t="s">
        <v>3738</v>
      </c>
      <c r="B3702" s="4">
        <v>47</v>
      </c>
      <c r="C3702" t="s">
        <v>17</v>
      </c>
      <c r="D3702" t="s">
        <v>28</v>
      </c>
      <c r="E3702" t="s">
        <v>29</v>
      </c>
      <c r="F3702" t="s">
        <v>30</v>
      </c>
      <c r="G3702" s="4">
        <v>9</v>
      </c>
      <c r="H3702" s="1">
        <v>17455</v>
      </c>
      <c r="I3702" s="3" t="s">
        <v>21</v>
      </c>
      <c r="J3702" s="4">
        <v>3</v>
      </c>
    </row>
    <row r="3703" spans="1:10" x14ac:dyDescent="0.35">
      <c r="A3703" s="2" t="s">
        <v>3739</v>
      </c>
      <c r="B3703" s="4">
        <v>7</v>
      </c>
      <c r="C3703" t="s">
        <v>17</v>
      </c>
      <c r="D3703" t="s">
        <v>36</v>
      </c>
      <c r="E3703" t="s">
        <v>29</v>
      </c>
      <c r="F3703" t="s">
        <v>14</v>
      </c>
      <c r="G3703" s="4">
        <v>1</v>
      </c>
      <c r="H3703" s="1">
        <v>78863</v>
      </c>
      <c r="I3703" s="3" t="s">
        <v>21</v>
      </c>
      <c r="J3703" s="4">
        <v>3</v>
      </c>
    </row>
    <row r="3704" spans="1:10" x14ac:dyDescent="0.35">
      <c r="A3704" s="2" t="s">
        <v>3740</v>
      </c>
      <c r="B3704" s="4">
        <v>79</v>
      </c>
      <c r="C3704" t="s">
        <v>17</v>
      </c>
      <c r="D3704" t="s">
        <v>23</v>
      </c>
      <c r="E3704" t="s">
        <v>37</v>
      </c>
      <c r="F3704" t="s">
        <v>14</v>
      </c>
      <c r="G3704" s="4">
        <v>2</v>
      </c>
      <c r="H3704" s="1">
        <v>94549</v>
      </c>
      <c r="I3704" s="3" t="s">
        <v>15</v>
      </c>
      <c r="J3704" s="4">
        <v>5</v>
      </c>
    </row>
    <row r="3705" spans="1:10" x14ac:dyDescent="0.35">
      <c r="A3705" s="2" t="s">
        <v>3741</v>
      </c>
      <c r="B3705" s="4">
        <v>17</v>
      </c>
      <c r="C3705" t="s">
        <v>17</v>
      </c>
      <c r="D3705" t="s">
        <v>36</v>
      </c>
      <c r="E3705" t="s">
        <v>24</v>
      </c>
      <c r="F3705" t="s">
        <v>14</v>
      </c>
      <c r="G3705" s="4">
        <v>14</v>
      </c>
      <c r="H3705" s="1">
        <v>23539</v>
      </c>
      <c r="I3705" s="3" t="s">
        <v>21</v>
      </c>
      <c r="J3705" s="4">
        <v>3</v>
      </c>
    </row>
    <row r="3706" spans="1:10" x14ac:dyDescent="0.35">
      <c r="A3706" s="2" t="s">
        <v>3742</v>
      </c>
      <c r="B3706" s="4">
        <v>78</v>
      </c>
      <c r="C3706" t="s">
        <v>17</v>
      </c>
      <c r="D3706" t="s">
        <v>18</v>
      </c>
      <c r="E3706" t="s">
        <v>13</v>
      </c>
      <c r="F3706" t="s">
        <v>20</v>
      </c>
      <c r="G3706" s="4">
        <v>7</v>
      </c>
      <c r="H3706" s="1">
        <v>30285</v>
      </c>
      <c r="I3706" s="3" t="s">
        <v>21</v>
      </c>
      <c r="J3706" s="4">
        <v>2</v>
      </c>
    </row>
    <row r="3707" spans="1:10" x14ac:dyDescent="0.35">
      <c r="A3707" s="2" t="s">
        <v>3743</v>
      </c>
      <c r="B3707" s="4">
        <v>89</v>
      </c>
      <c r="C3707" t="s">
        <v>17</v>
      </c>
      <c r="D3707" t="s">
        <v>49</v>
      </c>
      <c r="E3707" t="s">
        <v>13</v>
      </c>
      <c r="F3707" t="s">
        <v>14</v>
      </c>
      <c r="G3707" s="4">
        <v>5</v>
      </c>
      <c r="H3707" s="1">
        <v>83031</v>
      </c>
      <c r="I3707" s="3" t="s">
        <v>21</v>
      </c>
      <c r="J3707" s="4">
        <v>1</v>
      </c>
    </row>
    <row r="3708" spans="1:10" x14ac:dyDescent="0.35">
      <c r="A3708" s="2" t="s">
        <v>3744</v>
      </c>
      <c r="B3708" s="4">
        <v>8</v>
      </c>
      <c r="C3708" t="s">
        <v>11</v>
      </c>
      <c r="D3708" t="s">
        <v>23</v>
      </c>
      <c r="E3708" t="s">
        <v>34</v>
      </c>
      <c r="F3708" t="s">
        <v>20</v>
      </c>
      <c r="G3708" s="4">
        <v>10</v>
      </c>
      <c r="H3708" s="1">
        <v>8075</v>
      </c>
      <c r="I3708" s="3" t="s">
        <v>15</v>
      </c>
      <c r="J3708" s="4">
        <v>3</v>
      </c>
    </row>
    <row r="3709" spans="1:10" x14ac:dyDescent="0.35">
      <c r="A3709" s="2" t="s">
        <v>3745</v>
      </c>
      <c r="B3709" s="4">
        <v>41</v>
      </c>
      <c r="C3709" t="s">
        <v>17</v>
      </c>
      <c r="D3709" t="s">
        <v>12</v>
      </c>
      <c r="E3709" t="s">
        <v>29</v>
      </c>
      <c r="F3709" t="s">
        <v>30</v>
      </c>
      <c r="G3709" s="4">
        <v>12</v>
      </c>
      <c r="H3709" s="1">
        <v>65731</v>
      </c>
      <c r="I3709" s="3" t="s">
        <v>21</v>
      </c>
      <c r="J3709" s="4">
        <v>1</v>
      </c>
    </row>
    <row r="3710" spans="1:10" x14ac:dyDescent="0.35">
      <c r="A3710" s="2" t="s">
        <v>3746</v>
      </c>
      <c r="B3710" s="4">
        <v>31</v>
      </c>
      <c r="C3710" t="s">
        <v>17</v>
      </c>
      <c r="D3710" t="s">
        <v>49</v>
      </c>
      <c r="E3710" t="s">
        <v>53</v>
      </c>
      <c r="F3710" t="s">
        <v>14</v>
      </c>
      <c r="G3710" s="4">
        <v>10</v>
      </c>
      <c r="H3710" s="1">
        <v>70877</v>
      </c>
      <c r="I3710" s="3" t="s">
        <v>15</v>
      </c>
      <c r="J3710" s="4">
        <v>2</v>
      </c>
    </row>
    <row r="3711" spans="1:10" x14ac:dyDescent="0.35">
      <c r="A3711" s="2" t="s">
        <v>3747</v>
      </c>
      <c r="B3711" s="4">
        <v>21</v>
      </c>
      <c r="C3711" t="s">
        <v>11</v>
      </c>
      <c r="D3711" t="s">
        <v>26</v>
      </c>
      <c r="E3711" t="s">
        <v>34</v>
      </c>
      <c r="F3711" t="s">
        <v>30</v>
      </c>
      <c r="G3711" s="4">
        <v>7</v>
      </c>
      <c r="H3711" s="1">
        <v>52303</v>
      </c>
      <c r="I3711" s="3" t="s">
        <v>15</v>
      </c>
      <c r="J3711" s="4">
        <v>2</v>
      </c>
    </row>
    <row r="3712" spans="1:10" x14ac:dyDescent="0.35">
      <c r="A3712" s="2" t="s">
        <v>3748</v>
      </c>
      <c r="B3712" s="4">
        <v>9</v>
      </c>
      <c r="C3712" t="s">
        <v>11</v>
      </c>
      <c r="D3712" t="s">
        <v>18</v>
      </c>
      <c r="E3712" t="s">
        <v>27</v>
      </c>
      <c r="F3712" t="s">
        <v>14</v>
      </c>
      <c r="G3712" s="4">
        <v>10</v>
      </c>
      <c r="H3712" s="1">
        <v>82636</v>
      </c>
      <c r="I3712" s="3" t="s">
        <v>15</v>
      </c>
      <c r="J3712" s="4">
        <v>3</v>
      </c>
    </row>
    <row r="3713" spans="1:10" x14ac:dyDescent="0.35">
      <c r="A3713" s="2" t="s">
        <v>3749</v>
      </c>
      <c r="B3713" s="4">
        <v>16</v>
      </c>
      <c r="C3713" t="s">
        <v>17</v>
      </c>
      <c r="D3713" t="s">
        <v>39</v>
      </c>
      <c r="E3713" t="s">
        <v>13</v>
      </c>
      <c r="F3713" t="s">
        <v>20</v>
      </c>
      <c r="G3713" s="4">
        <v>7</v>
      </c>
      <c r="H3713" s="1">
        <v>67115</v>
      </c>
      <c r="I3713" s="3" t="s">
        <v>15</v>
      </c>
      <c r="J3713" s="4">
        <v>5</v>
      </c>
    </row>
    <row r="3714" spans="1:10" x14ac:dyDescent="0.35">
      <c r="A3714" s="2" t="s">
        <v>3750</v>
      </c>
      <c r="B3714" s="4">
        <v>10</v>
      </c>
      <c r="C3714" t="s">
        <v>11</v>
      </c>
      <c r="D3714" t="s">
        <v>18</v>
      </c>
      <c r="E3714" t="s">
        <v>19</v>
      </c>
      <c r="F3714" t="s">
        <v>30</v>
      </c>
      <c r="G3714" s="4">
        <v>8</v>
      </c>
      <c r="H3714" s="1">
        <v>16445</v>
      </c>
      <c r="I3714" s="3" t="s">
        <v>15</v>
      </c>
      <c r="J3714" s="4">
        <v>1</v>
      </c>
    </row>
    <row r="3715" spans="1:10" x14ac:dyDescent="0.35">
      <c r="A3715" s="2" t="s">
        <v>3751</v>
      </c>
      <c r="B3715" s="4">
        <v>63</v>
      </c>
      <c r="C3715" t="s">
        <v>17</v>
      </c>
      <c r="D3715" t="s">
        <v>36</v>
      </c>
      <c r="E3715" t="s">
        <v>37</v>
      </c>
      <c r="F3715" t="s">
        <v>20</v>
      </c>
      <c r="G3715" s="4">
        <v>15</v>
      </c>
      <c r="H3715" s="1">
        <v>73123</v>
      </c>
      <c r="I3715" s="3" t="s">
        <v>21</v>
      </c>
      <c r="J3715" s="4">
        <v>3</v>
      </c>
    </row>
    <row r="3716" spans="1:10" x14ac:dyDescent="0.35">
      <c r="A3716" s="2" t="s">
        <v>3752</v>
      </c>
      <c r="B3716" s="4">
        <v>60</v>
      </c>
      <c r="C3716" t="s">
        <v>11</v>
      </c>
      <c r="D3716" t="s">
        <v>39</v>
      </c>
      <c r="E3716" t="s">
        <v>29</v>
      </c>
      <c r="F3716" t="s">
        <v>20</v>
      </c>
      <c r="G3716" s="4">
        <v>1</v>
      </c>
      <c r="H3716" s="1">
        <v>71022</v>
      </c>
      <c r="I3716" s="3" t="s">
        <v>21</v>
      </c>
      <c r="J3716" s="4">
        <v>1</v>
      </c>
    </row>
    <row r="3717" spans="1:10" x14ac:dyDescent="0.35">
      <c r="A3717" s="2" t="s">
        <v>3753</v>
      </c>
      <c r="B3717" s="4">
        <v>34</v>
      </c>
      <c r="C3717" t="s">
        <v>17</v>
      </c>
      <c r="D3717" t="s">
        <v>12</v>
      </c>
      <c r="E3717" t="s">
        <v>24</v>
      </c>
      <c r="F3717" t="s">
        <v>14</v>
      </c>
      <c r="G3717" s="4">
        <v>13</v>
      </c>
      <c r="H3717" s="1">
        <v>45055</v>
      </c>
      <c r="I3717" s="3" t="s">
        <v>15</v>
      </c>
      <c r="J3717" s="4">
        <v>2</v>
      </c>
    </row>
    <row r="3718" spans="1:10" x14ac:dyDescent="0.35">
      <c r="A3718" s="2" t="s">
        <v>3754</v>
      </c>
      <c r="B3718" s="4">
        <v>67</v>
      </c>
      <c r="C3718" t="s">
        <v>17</v>
      </c>
      <c r="D3718" t="s">
        <v>23</v>
      </c>
      <c r="E3718" t="s">
        <v>27</v>
      </c>
      <c r="F3718" t="s">
        <v>20</v>
      </c>
      <c r="G3718" s="4">
        <v>14</v>
      </c>
      <c r="H3718" s="1">
        <v>24908</v>
      </c>
      <c r="I3718" s="3" t="s">
        <v>15</v>
      </c>
      <c r="J3718" s="4">
        <v>4</v>
      </c>
    </row>
    <row r="3719" spans="1:10" x14ac:dyDescent="0.35">
      <c r="A3719" s="2" t="s">
        <v>3755</v>
      </c>
      <c r="B3719" s="4">
        <v>22</v>
      </c>
      <c r="C3719" t="s">
        <v>11</v>
      </c>
      <c r="D3719" t="s">
        <v>12</v>
      </c>
      <c r="E3719" t="s">
        <v>29</v>
      </c>
      <c r="F3719" t="s">
        <v>14</v>
      </c>
      <c r="G3719" s="4">
        <v>2</v>
      </c>
      <c r="H3719" s="1">
        <v>36001</v>
      </c>
      <c r="I3719" s="3" t="s">
        <v>21</v>
      </c>
      <c r="J3719" s="4">
        <v>1</v>
      </c>
    </row>
    <row r="3720" spans="1:10" x14ac:dyDescent="0.35">
      <c r="A3720" s="2" t="s">
        <v>3756</v>
      </c>
      <c r="B3720" s="4">
        <v>55</v>
      </c>
      <c r="C3720" t="s">
        <v>17</v>
      </c>
      <c r="D3720" t="s">
        <v>18</v>
      </c>
      <c r="E3720" t="s">
        <v>37</v>
      </c>
      <c r="F3720" t="s">
        <v>20</v>
      </c>
      <c r="G3720" s="4">
        <v>2</v>
      </c>
      <c r="H3720" s="1">
        <v>23871</v>
      </c>
      <c r="I3720" s="3" t="s">
        <v>15</v>
      </c>
      <c r="J3720" s="4">
        <v>5</v>
      </c>
    </row>
    <row r="3721" spans="1:10" x14ac:dyDescent="0.35">
      <c r="A3721" s="2" t="s">
        <v>3757</v>
      </c>
      <c r="B3721" s="4">
        <v>76</v>
      </c>
      <c r="C3721" t="s">
        <v>11</v>
      </c>
      <c r="D3721" t="s">
        <v>33</v>
      </c>
      <c r="E3721" t="s">
        <v>27</v>
      </c>
      <c r="F3721" t="s">
        <v>20</v>
      </c>
      <c r="G3721" s="4">
        <v>8</v>
      </c>
      <c r="H3721" s="1">
        <v>82394</v>
      </c>
      <c r="I3721" s="3" t="s">
        <v>15</v>
      </c>
      <c r="J3721" s="4">
        <v>3</v>
      </c>
    </row>
    <row r="3722" spans="1:10" x14ac:dyDescent="0.35">
      <c r="A3722" s="2" t="s">
        <v>3758</v>
      </c>
      <c r="B3722" s="4">
        <v>38</v>
      </c>
      <c r="C3722" t="s">
        <v>17</v>
      </c>
      <c r="D3722" t="s">
        <v>28</v>
      </c>
      <c r="E3722" t="s">
        <v>34</v>
      </c>
      <c r="F3722" t="s">
        <v>20</v>
      </c>
      <c r="G3722" s="4">
        <v>11</v>
      </c>
      <c r="H3722" s="1">
        <v>89688</v>
      </c>
      <c r="I3722" s="3" t="s">
        <v>21</v>
      </c>
      <c r="J3722" s="4">
        <v>5</v>
      </c>
    </row>
    <row r="3723" spans="1:10" x14ac:dyDescent="0.35">
      <c r="A3723" s="2" t="s">
        <v>3759</v>
      </c>
      <c r="B3723" s="4">
        <v>15</v>
      </c>
      <c r="C3723" t="s">
        <v>11</v>
      </c>
      <c r="D3723" t="s">
        <v>12</v>
      </c>
      <c r="E3723" t="s">
        <v>27</v>
      </c>
      <c r="F3723" t="s">
        <v>30</v>
      </c>
      <c r="G3723" s="4">
        <v>6</v>
      </c>
      <c r="H3723" s="1">
        <v>15885</v>
      </c>
      <c r="I3723" s="3" t="s">
        <v>21</v>
      </c>
      <c r="J3723" s="4">
        <v>2</v>
      </c>
    </row>
    <row r="3724" spans="1:10" x14ac:dyDescent="0.35">
      <c r="A3724" s="2" t="s">
        <v>3760</v>
      </c>
      <c r="B3724" s="4">
        <v>74</v>
      </c>
      <c r="C3724" t="s">
        <v>17</v>
      </c>
      <c r="D3724" t="s">
        <v>36</v>
      </c>
      <c r="E3724" t="s">
        <v>53</v>
      </c>
      <c r="F3724" t="s">
        <v>20</v>
      </c>
      <c r="G3724" s="4">
        <v>10</v>
      </c>
      <c r="H3724" s="1">
        <v>11669</v>
      </c>
      <c r="I3724" s="3" t="s">
        <v>21</v>
      </c>
      <c r="J3724" s="4">
        <v>4</v>
      </c>
    </row>
    <row r="3725" spans="1:10" x14ac:dyDescent="0.35">
      <c r="A3725" s="2" t="s">
        <v>3761</v>
      </c>
      <c r="B3725" s="4">
        <v>16</v>
      </c>
      <c r="C3725" t="s">
        <v>17</v>
      </c>
      <c r="D3725" t="s">
        <v>23</v>
      </c>
      <c r="E3725" t="s">
        <v>19</v>
      </c>
      <c r="F3725" t="s">
        <v>14</v>
      </c>
      <c r="G3725" s="4">
        <v>11</v>
      </c>
      <c r="H3725" s="1">
        <v>77908</v>
      </c>
      <c r="I3725" s="3" t="s">
        <v>15</v>
      </c>
      <c r="J3725" s="4">
        <v>3</v>
      </c>
    </row>
    <row r="3726" spans="1:10" x14ac:dyDescent="0.35">
      <c r="A3726" s="2" t="s">
        <v>3762</v>
      </c>
      <c r="B3726" s="4">
        <v>8</v>
      </c>
      <c r="C3726" t="s">
        <v>11</v>
      </c>
      <c r="D3726" t="s">
        <v>28</v>
      </c>
      <c r="E3726" t="s">
        <v>19</v>
      </c>
      <c r="F3726" t="s">
        <v>30</v>
      </c>
      <c r="G3726" s="4">
        <v>6</v>
      </c>
      <c r="H3726" s="1">
        <v>88987</v>
      </c>
      <c r="I3726" s="3" t="s">
        <v>21</v>
      </c>
      <c r="J3726" s="4">
        <v>3</v>
      </c>
    </row>
    <row r="3727" spans="1:10" x14ac:dyDescent="0.35">
      <c r="A3727" s="2" t="s">
        <v>3763</v>
      </c>
      <c r="B3727" s="4">
        <v>56</v>
      </c>
      <c r="C3727" t="s">
        <v>17</v>
      </c>
      <c r="D3727" t="s">
        <v>26</v>
      </c>
      <c r="E3727" t="s">
        <v>65</v>
      </c>
      <c r="F3727" t="s">
        <v>20</v>
      </c>
      <c r="G3727" s="4">
        <v>12</v>
      </c>
      <c r="H3727" s="1">
        <v>10450</v>
      </c>
      <c r="I3727" s="3" t="s">
        <v>15</v>
      </c>
      <c r="J3727" s="4">
        <v>3</v>
      </c>
    </row>
    <row r="3728" spans="1:10" x14ac:dyDescent="0.35">
      <c r="A3728" s="2" t="s">
        <v>3764</v>
      </c>
      <c r="B3728" s="4">
        <v>6</v>
      </c>
      <c r="C3728" t="s">
        <v>11</v>
      </c>
      <c r="D3728" t="s">
        <v>28</v>
      </c>
      <c r="E3728" t="s">
        <v>24</v>
      </c>
      <c r="F3728" t="s">
        <v>20</v>
      </c>
      <c r="G3728" s="4">
        <v>11</v>
      </c>
      <c r="H3728" s="1">
        <v>14562</v>
      </c>
      <c r="I3728" s="3" t="s">
        <v>21</v>
      </c>
      <c r="J3728" s="4">
        <v>3</v>
      </c>
    </row>
    <row r="3729" spans="1:10" x14ac:dyDescent="0.35">
      <c r="A3729" s="2" t="s">
        <v>3765</v>
      </c>
      <c r="B3729" s="4">
        <v>85</v>
      </c>
      <c r="C3729" t="s">
        <v>11</v>
      </c>
      <c r="D3729" t="s">
        <v>26</v>
      </c>
      <c r="E3729" t="s">
        <v>42</v>
      </c>
      <c r="F3729" t="s">
        <v>20</v>
      </c>
      <c r="G3729" s="4">
        <v>10</v>
      </c>
      <c r="H3729" s="1">
        <v>79798</v>
      </c>
      <c r="I3729" s="3" t="s">
        <v>15</v>
      </c>
      <c r="J3729" s="4">
        <v>4</v>
      </c>
    </row>
    <row r="3730" spans="1:10" x14ac:dyDescent="0.35">
      <c r="A3730" s="2" t="s">
        <v>3766</v>
      </c>
      <c r="B3730" s="4">
        <v>51</v>
      </c>
      <c r="C3730" t="s">
        <v>17</v>
      </c>
      <c r="D3730" t="s">
        <v>33</v>
      </c>
      <c r="E3730" t="s">
        <v>42</v>
      </c>
      <c r="F3730" t="s">
        <v>14</v>
      </c>
      <c r="G3730" s="4">
        <v>9</v>
      </c>
      <c r="H3730" s="1">
        <v>98776</v>
      </c>
      <c r="I3730" s="3" t="s">
        <v>21</v>
      </c>
      <c r="J3730" s="4">
        <v>3</v>
      </c>
    </row>
    <row r="3731" spans="1:10" x14ac:dyDescent="0.35">
      <c r="A3731" s="2" t="s">
        <v>3767</v>
      </c>
      <c r="B3731" s="4">
        <v>59</v>
      </c>
      <c r="C3731" t="s">
        <v>11</v>
      </c>
      <c r="D3731" t="s">
        <v>49</v>
      </c>
      <c r="E3731" t="s">
        <v>37</v>
      </c>
      <c r="F3731" t="s">
        <v>20</v>
      </c>
      <c r="G3731" s="4">
        <v>7</v>
      </c>
      <c r="H3731" s="1">
        <v>48409</v>
      </c>
      <c r="I3731" s="3" t="s">
        <v>21</v>
      </c>
      <c r="J3731" s="4">
        <v>5</v>
      </c>
    </row>
    <row r="3732" spans="1:10" x14ac:dyDescent="0.35">
      <c r="A3732" s="2" t="s">
        <v>3768</v>
      </c>
      <c r="B3732" s="4">
        <v>72</v>
      </c>
      <c r="C3732" t="s">
        <v>11</v>
      </c>
      <c r="D3732" t="s">
        <v>39</v>
      </c>
      <c r="E3732" t="s">
        <v>13</v>
      </c>
      <c r="F3732" t="s">
        <v>30</v>
      </c>
      <c r="G3732" s="4">
        <v>13</v>
      </c>
      <c r="H3732" s="1">
        <v>40762</v>
      </c>
      <c r="I3732" s="3" t="s">
        <v>15</v>
      </c>
      <c r="J3732" s="4">
        <v>4</v>
      </c>
    </row>
    <row r="3733" spans="1:10" x14ac:dyDescent="0.35">
      <c r="A3733" s="2" t="s">
        <v>3769</v>
      </c>
      <c r="B3733" s="4">
        <v>80</v>
      </c>
      <c r="C3733" t="s">
        <v>17</v>
      </c>
      <c r="D3733" t="s">
        <v>41</v>
      </c>
      <c r="E3733" t="s">
        <v>13</v>
      </c>
      <c r="F3733" t="s">
        <v>14</v>
      </c>
      <c r="G3733" s="4">
        <v>11</v>
      </c>
      <c r="H3733" s="1">
        <v>14787</v>
      </c>
      <c r="I3733" s="3" t="s">
        <v>21</v>
      </c>
      <c r="J3733" s="4">
        <v>3</v>
      </c>
    </row>
    <row r="3734" spans="1:10" x14ac:dyDescent="0.35">
      <c r="A3734" s="2" t="s">
        <v>3770</v>
      </c>
      <c r="B3734" s="4">
        <v>80</v>
      </c>
      <c r="C3734" t="s">
        <v>17</v>
      </c>
      <c r="D3734" t="s">
        <v>33</v>
      </c>
      <c r="E3734" t="s">
        <v>13</v>
      </c>
      <c r="F3734" t="s">
        <v>20</v>
      </c>
      <c r="G3734" s="4">
        <v>2</v>
      </c>
      <c r="H3734" s="1">
        <v>46264</v>
      </c>
      <c r="I3734" s="3" t="s">
        <v>15</v>
      </c>
      <c r="J3734" s="4">
        <v>4</v>
      </c>
    </row>
    <row r="3735" spans="1:10" x14ac:dyDescent="0.35">
      <c r="A3735" s="2" t="s">
        <v>3771</v>
      </c>
      <c r="B3735" s="4">
        <v>53</v>
      </c>
      <c r="C3735" t="s">
        <v>11</v>
      </c>
      <c r="D3735" t="s">
        <v>33</v>
      </c>
      <c r="E3735" t="s">
        <v>53</v>
      </c>
      <c r="F3735" t="s">
        <v>20</v>
      </c>
      <c r="G3735" s="4">
        <v>12</v>
      </c>
      <c r="H3735" s="1">
        <v>45535</v>
      </c>
      <c r="I3735" s="3" t="s">
        <v>15</v>
      </c>
      <c r="J3735" s="4">
        <v>5</v>
      </c>
    </row>
    <row r="3736" spans="1:10" x14ac:dyDescent="0.35">
      <c r="A3736" s="2" t="s">
        <v>3772</v>
      </c>
      <c r="B3736" s="4">
        <v>40</v>
      </c>
      <c r="C3736" t="s">
        <v>17</v>
      </c>
      <c r="D3736" t="s">
        <v>26</v>
      </c>
      <c r="E3736" t="s">
        <v>65</v>
      </c>
      <c r="F3736" t="s">
        <v>14</v>
      </c>
      <c r="G3736" s="4">
        <v>2</v>
      </c>
      <c r="H3736" s="1">
        <v>36239</v>
      </c>
      <c r="I3736" s="3" t="s">
        <v>15</v>
      </c>
      <c r="J3736" s="4">
        <v>4</v>
      </c>
    </row>
    <row r="3737" spans="1:10" x14ac:dyDescent="0.35">
      <c r="A3737" s="2" t="s">
        <v>3773</v>
      </c>
      <c r="B3737" s="4">
        <v>48</v>
      </c>
      <c r="C3737" t="s">
        <v>11</v>
      </c>
      <c r="D3737" t="s">
        <v>18</v>
      </c>
      <c r="E3737" t="s">
        <v>34</v>
      </c>
      <c r="F3737" t="s">
        <v>20</v>
      </c>
      <c r="G3737" s="4">
        <v>11</v>
      </c>
      <c r="H3737" s="1">
        <v>26686</v>
      </c>
      <c r="I3737" s="3" t="s">
        <v>21</v>
      </c>
      <c r="J3737" s="4">
        <v>2</v>
      </c>
    </row>
    <row r="3738" spans="1:10" x14ac:dyDescent="0.35">
      <c r="A3738" s="2" t="s">
        <v>3774</v>
      </c>
      <c r="B3738" s="4">
        <v>55</v>
      </c>
      <c r="C3738" t="s">
        <v>17</v>
      </c>
      <c r="D3738" t="s">
        <v>12</v>
      </c>
      <c r="E3738" t="s">
        <v>53</v>
      </c>
      <c r="F3738" t="s">
        <v>30</v>
      </c>
      <c r="G3738" s="4">
        <v>2</v>
      </c>
      <c r="H3738" s="1">
        <v>14933</v>
      </c>
      <c r="I3738" s="3" t="s">
        <v>15</v>
      </c>
      <c r="J3738" s="4">
        <v>2</v>
      </c>
    </row>
    <row r="3739" spans="1:10" x14ac:dyDescent="0.35">
      <c r="A3739" s="2" t="s">
        <v>3775</v>
      </c>
      <c r="B3739" s="4">
        <v>86</v>
      </c>
      <c r="C3739" t="s">
        <v>17</v>
      </c>
      <c r="D3739" t="s">
        <v>36</v>
      </c>
      <c r="E3739" t="s">
        <v>53</v>
      </c>
      <c r="F3739" t="s">
        <v>30</v>
      </c>
      <c r="G3739" s="4">
        <v>3</v>
      </c>
      <c r="H3739" s="1">
        <v>55505</v>
      </c>
      <c r="I3739" s="3" t="s">
        <v>15</v>
      </c>
      <c r="J3739" s="4">
        <v>4</v>
      </c>
    </row>
    <row r="3740" spans="1:10" x14ac:dyDescent="0.35">
      <c r="A3740" s="2" t="s">
        <v>3776</v>
      </c>
      <c r="B3740" s="4">
        <v>13</v>
      </c>
      <c r="C3740" t="s">
        <v>11</v>
      </c>
      <c r="D3740" t="s">
        <v>26</v>
      </c>
      <c r="E3740" t="s">
        <v>13</v>
      </c>
      <c r="F3740" t="s">
        <v>20</v>
      </c>
      <c r="G3740" s="4">
        <v>7</v>
      </c>
      <c r="H3740" s="1">
        <v>6128</v>
      </c>
      <c r="I3740" s="3" t="s">
        <v>15</v>
      </c>
      <c r="J3740" s="4">
        <v>3</v>
      </c>
    </row>
    <row r="3741" spans="1:10" x14ac:dyDescent="0.35">
      <c r="A3741" s="2" t="s">
        <v>3777</v>
      </c>
      <c r="B3741" s="4">
        <v>88</v>
      </c>
      <c r="C3741" t="s">
        <v>17</v>
      </c>
      <c r="D3741" t="s">
        <v>49</v>
      </c>
      <c r="E3741" t="s">
        <v>29</v>
      </c>
      <c r="F3741" t="s">
        <v>14</v>
      </c>
      <c r="G3741" s="4">
        <v>7</v>
      </c>
      <c r="H3741" s="1">
        <v>90483</v>
      </c>
      <c r="I3741" s="3" t="s">
        <v>21</v>
      </c>
      <c r="J3741" s="4">
        <v>4</v>
      </c>
    </row>
    <row r="3742" spans="1:10" x14ac:dyDescent="0.35">
      <c r="A3742" s="2" t="s">
        <v>3778</v>
      </c>
      <c r="B3742" s="4">
        <v>8</v>
      </c>
      <c r="C3742" t="s">
        <v>17</v>
      </c>
      <c r="D3742" t="s">
        <v>26</v>
      </c>
      <c r="E3742" t="s">
        <v>19</v>
      </c>
      <c r="F3742" t="s">
        <v>20</v>
      </c>
      <c r="G3742" s="4">
        <v>9</v>
      </c>
      <c r="H3742" s="1">
        <v>87100</v>
      </c>
      <c r="I3742" s="3" t="s">
        <v>15</v>
      </c>
      <c r="J3742" s="4">
        <v>2</v>
      </c>
    </row>
    <row r="3743" spans="1:10" x14ac:dyDescent="0.35">
      <c r="A3743" s="2" t="s">
        <v>3779</v>
      </c>
      <c r="B3743" s="4">
        <v>23</v>
      </c>
      <c r="C3743" t="s">
        <v>17</v>
      </c>
      <c r="D3743" t="s">
        <v>41</v>
      </c>
      <c r="E3743" t="s">
        <v>37</v>
      </c>
      <c r="F3743" t="s">
        <v>14</v>
      </c>
      <c r="G3743" s="4">
        <v>11</v>
      </c>
      <c r="H3743" s="1">
        <v>13509</v>
      </c>
      <c r="I3743" s="3" t="s">
        <v>15</v>
      </c>
      <c r="J3743" s="4">
        <v>1</v>
      </c>
    </row>
    <row r="3744" spans="1:10" x14ac:dyDescent="0.35">
      <c r="A3744" s="2" t="s">
        <v>3780</v>
      </c>
      <c r="B3744" s="4">
        <v>43</v>
      </c>
      <c r="C3744" t="s">
        <v>17</v>
      </c>
      <c r="D3744" t="s">
        <v>33</v>
      </c>
      <c r="E3744" t="s">
        <v>29</v>
      </c>
      <c r="F3744" t="s">
        <v>14</v>
      </c>
      <c r="G3744" s="4">
        <v>7</v>
      </c>
      <c r="H3744" s="1">
        <v>26033</v>
      </c>
      <c r="I3744" s="3" t="s">
        <v>15</v>
      </c>
      <c r="J3744" s="4">
        <v>2</v>
      </c>
    </row>
    <row r="3745" spans="1:10" x14ac:dyDescent="0.35">
      <c r="A3745" s="2" t="s">
        <v>3781</v>
      </c>
      <c r="B3745" s="4">
        <v>21</v>
      </c>
      <c r="C3745" t="s">
        <v>11</v>
      </c>
      <c r="D3745" t="s">
        <v>18</v>
      </c>
      <c r="E3745" t="s">
        <v>42</v>
      </c>
      <c r="F3745" t="s">
        <v>30</v>
      </c>
      <c r="G3745" s="4">
        <v>7</v>
      </c>
      <c r="H3745" s="1">
        <v>42783</v>
      </c>
      <c r="I3745" s="3" t="s">
        <v>21</v>
      </c>
      <c r="J3745" s="4">
        <v>3</v>
      </c>
    </row>
    <row r="3746" spans="1:10" x14ac:dyDescent="0.35">
      <c r="A3746" s="2" t="s">
        <v>3782</v>
      </c>
      <c r="B3746" s="4">
        <v>69</v>
      </c>
      <c r="C3746" t="s">
        <v>11</v>
      </c>
      <c r="D3746" t="s">
        <v>26</v>
      </c>
      <c r="E3746" t="s">
        <v>13</v>
      </c>
      <c r="F3746" t="s">
        <v>20</v>
      </c>
      <c r="G3746" s="4">
        <v>2</v>
      </c>
      <c r="H3746" s="1">
        <v>12180</v>
      </c>
      <c r="I3746" s="3" t="s">
        <v>15</v>
      </c>
      <c r="J3746" s="4">
        <v>5</v>
      </c>
    </row>
    <row r="3747" spans="1:10" x14ac:dyDescent="0.35">
      <c r="A3747" s="2" t="s">
        <v>3783</v>
      </c>
      <c r="B3747" s="4">
        <v>16</v>
      </c>
      <c r="C3747" t="s">
        <v>17</v>
      </c>
      <c r="D3747" t="s">
        <v>33</v>
      </c>
      <c r="E3747" t="s">
        <v>29</v>
      </c>
      <c r="F3747" t="s">
        <v>14</v>
      </c>
      <c r="G3747" s="4">
        <v>8</v>
      </c>
      <c r="H3747" s="1">
        <v>77480</v>
      </c>
      <c r="I3747" s="3" t="s">
        <v>21</v>
      </c>
      <c r="J3747" s="4">
        <v>1</v>
      </c>
    </row>
    <row r="3748" spans="1:10" x14ac:dyDescent="0.35">
      <c r="A3748" s="2" t="s">
        <v>3784</v>
      </c>
      <c r="B3748" s="4">
        <v>26</v>
      </c>
      <c r="C3748" t="s">
        <v>11</v>
      </c>
      <c r="D3748" t="s">
        <v>36</v>
      </c>
      <c r="E3748" t="s">
        <v>19</v>
      </c>
      <c r="F3748" t="s">
        <v>20</v>
      </c>
      <c r="G3748" s="4">
        <v>15</v>
      </c>
      <c r="H3748" s="1">
        <v>6162</v>
      </c>
      <c r="I3748" s="3" t="s">
        <v>15</v>
      </c>
      <c r="J3748" s="4">
        <v>3</v>
      </c>
    </row>
    <row r="3749" spans="1:10" x14ac:dyDescent="0.35">
      <c r="A3749" s="2" t="s">
        <v>3785</v>
      </c>
      <c r="B3749" s="4">
        <v>67</v>
      </c>
      <c r="C3749" t="s">
        <v>17</v>
      </c>
      <c r="D3749" t="s">
        <v>23</v>
      </c>
      <c r="E3749" t="s">
        <v>65</v>
      </c>
      <c r="F3749" t="s">
        <v>14</v>
      </c>
      <c r="G3749" s="4">
        <v>1</v>
      </c>
      <c r="H3749" s="1">
        <v>29782</v>
      </c>
      <c r="I3749" s="3" t="s">
        <v>15</v>
      </c>
      <c r="J3749" s="4">
        <v>3</v>
      </c>
    </row>
    <row r="3750" spans="1:10" x14ac:dyDescent="0.35">
      <c r="A3750" s="2" t="s">
        <v>3786</v>
      </c>
      <c r="B3750" s="4">
        <v>19</v>
      </c>
      <c r="C3750" t="s">
        <v>17</v>
      </c>
      <c r="D3750" t="s">
        <v>12</v>
      </c>
      <c r="E3750" t="s">
        <v>42</v>
      </c>
      <c r="F3750" t="s">
        <v>30</v>
      </c>
      <c r="G3750" s="4">
        <v>1</v>
      </c>
      <c r="H3750" s="1">
        <v>51767</v>
      </c>
      <c r="I3750" s="3" t="s">
        <v>21</v>
      </c>
      <c r="J3750" s="4">
        <v>5</v>
      </c>
    </row>
    <row r="3751" spans="1:10" x14ac:dyDescent="0.35">
      <c r="A3751" s="2" t="s">
        <v>3787</v>
      </c>
      <c r="B3751" s="4">
        <v>23</v>
      </c>
      <c r="C3751" t="s">
        <v>17</v>
      </c>
      <c r="D3751" t="s">
        <v>36</v>
      </c>
      <c r="E3751" t="s">
        <v>13</v>
      </c>
      <c r="F3751" t="s">
        <v>20</v>
      </c>
      <c r="G3751" s="4">
        <v>6</v>
      </c>
      <c r="H3751" s="1">
        <v>67932</v>
      </c>
      <c r="I3751" s="3" t="s">
        <v>15</v>
      </c>
      <c r="J3751" s="4">
        <v>5</v>
      </c>
    </row>
    <row r="3752" spans="1:10" x14ac:dyDescent="0.35">
      <c r="A3752" s="2" t="s">
        <v>3788</v>
      </c>
      <c r="B3752" s="4">
        <v>13</v>
      </c>
      <c r="C3752" t="s">
        <v>11</v>
      </c>
      <c r="D3752" t="s">
        <v>18</v>
      </c>
      <c r="E3752" t="s">
        <v>27</v>
      </c>
      <c r="F3752" t="s">
        <v>20</v>
      </c>
      <c r="G3752" s="4">
        <v>14</v>
      </c>
      <c r="H3752" s="1">
        <v>34677</v>
      </c>
      <c r="I3752" s="3" t="s">
        <v>21</v>
      </c>
      <c r="J3752" s="4">
        <v>4</v>
      </c>
    </row>
    <row r="3753" spans="1:10" x14ac:dyDescent="0.35">
      <c r="A3753" s="2" t="s">
        <v>3789</v>
      </c>
      <c r="B3753" s="4">
        <v>39</v>
      </c>
      <c r="C3753" t="s">
        <v>11</v>
      </c>
      <c r="D3753" t="s">
        <v>49</v>
      </c>
      <c r="E3753" t="s">
        <v>65</v>
      </c>
      <c r="F3753" t="s">
        <v>20</v>
      </c>
      <c r="G3753" s="4">
        <v>2</v>
      </c>
      <c r="H3753" s="1">
        <v>97969</v>
      </c>
      <c r="I3753" s="3" t="s">
        <v>15</v>
      </c>
      <c r="J3753" s="4">
        <v>2</v>
      </c>
    </row>
    <row r="3754" spans="1:10" x14ac:dyDescent="0.35">
      <c r="A3754" s="2" t="s">
        <v>3790</v>
      </c>
      <c r="B3754" s="4">
        <v>75</v>
      </c>
      <c r="C3754" t="s">
        <v>17</v>
      </c>
      <c r="D3754" t="s">
        <v>33</v>
      </c>
      <c r="E3754" t="s">
        <v>29</v>
      </c>
      <c r="F3754" t="s">
        <v>20</v>
      </c>
      <c r="G3754" s="4">
        <v>4</v>
      </c>
      <c r="H3754" s="1">
        <v>16925</v>
      </c>
      <c r="I3754" s="3" t="s">
        <v>15</v>
      </c>
      <c r="J3754" s="4">
        <v>2</v>
      </c>
    </row>
    <row r="3755" spans="1:10" x14ac:dyDescent="0.35">
      <c r="A3755" s="2" t="s">
        <v>3791</v>
      </c>
      <c r="B3755" s="4">
        <v>89</v>
      </c>
      <c r="C3755" t="s">
        <v>17</v>
      </c>
      <c r="D3755" t="s">
        <v>28</v>
      </c>
      <c r="E3755" t="s">
        <v>27</v>
      </c>
      <c r="F3755" t="s">
        <v>14</v>
      </c>
      <c r="G3755" s="4">
        <v>5</v>
      </c>
      <c r="H3755" s="1">
        <v>52324</v>
      </c>
      <c r="I3755" s="3" t="s">
        <v>15</v>
      </c>
      <c r="J3755" s="4">
        <v>1</v>
      </c>
    </row>
    <row r="3756" spans="1:10" x14ac:dyDescent="0.35">
      <c r="A3756" s="2" t="s">
        <v>3792</v>
      </c>
      <c r="B3756" s="4">
        <v>36</v>
      </c>
      <c r="C3756" t="s">
        <v>11</v>
      </c>
      <c r="D3756" t="s">
        <v>36</v>
      </c>
      <c r="E3756" t="s">
        <v>53</v>
      </c>
      <c r="F3756" t="s">
        <v>14</v>
      </c>
      <c r="G3756" s="4">
        <v>7</v>
      </c>
      <c r="H3756" s="1">
        <v>47787</v>
      </c>
      <c r="I3756" s="3" t="s">
        <v>15</v>
      </c>
      <c r="J3756" s="4">
        <v>1</v>
      </c>
    </row>
    <row r="3757" spans="1:10" x14ac:dyDescent="0.35">
      <c r="A3757" s="2" t="s">
        <v>3793</v>
      </c>
      <c r="B3757" s="4">
        <v>87</v>
      </c>
      <c r="C3757" t="s">
        <v>11</v>
      </c>
      <c r="D3757" t="s">
        <v>49</v>
      </c>
      <c r="E3757" t="s">
        <v>13</v>
      </c>
      <c r="F3757" t="s">
        <v>30</v>
      </c>
      <c r="G3757" s="4">
        <v>14</v>
      </c>
      <c r="H3757" s="1">
        <v>59430</v>
      </c>
      <c r="I3757" s="3" t="s">
        <v>21</v>
      </c>
      <c r="J3757" s="4">
        <v>2</v>
      </c>
    </row>
    <row r="3758" spans="1:10" x14ac:dyDescent="0.35">
      <c r="A3758" s="2" t="s">
        <v>3794</v>
      </c>
      <c r="B3758" s="4">
        <v>2</v>
      </c>
      <c r="C3758" t="s">
        <v>11</v>
      </c>
      <c r="D3758" t="s">
        <v>26</v>
      </c>
      <c r="E3758" t="s">
        <v>37</v>
      </c>
      <c r="F3758" t="s">
        <v>30</v>
      </c>
      <c r="G3758" s="4">
        <v>12</v>
      </c>
      <c r="H3758" s="1">
        <v>97735</v>
      </c>
      <c r="I3758" s="3" t="s">
        <v>15</v>
      </c>
      <c r="J3758" s="4">
        <v>3</v>
      </c>
    </row>
    <row r="3759" spans="1:10" x14ac:dyDescent="0.35">
      <c r="A3759" s="2" t="s">
        <v>3795</v>
      </c>
      <c r="B3759" s="4">
        <v>6</v>
      </c>
      <c r="C3759" t="s">
        <v>17</v>
      </c>
      <c r="D3759" t="s">
        <v>39</v>
      </c>
      <c r="E3759" t="s">
        <v>29</v>
      </c>
      <c r="F3759" t="s">
        <v>30</v>
      </c>
      <c r="G3759" s="4">
        <v>3</v>
      </c>
      <c r="H3759" s="1">
        <v>97487</v>
      </c>
      <c r="I3759" s="3" t="s">
        <v>15</v>
      </c>
      <c r="J3759" s="4">
        <v>2</v>
      </c>
    </row>
    <row r="3760" spans="1:10" x14ac:dyDescent="0.35">
      <c r="A3760" s="2" t="s">
        <v>3796</v>
      </c>
      <c r="B3760" s="4">
        <v>47</v>
      </c>
      <c r="C3760" t="s">
        <v>17</v>
      </c>
      <c r="D3760" t="s">
        <v>18</v>
      </c>
      <c r="E3760" t="s">
        <v>42</v>
      </c>
      <c r="F3760" t="s">
        <v>14</v>
      </c>
      <c r="G3760" s="4">
        <v>7</v>
      </c>
      <c r="H3760" s="1">
        <v>47989</v>
      </c>
      <c r="I3760" s="3" t="s">
        <v>15</v>
      </c>
      <c r="J3760" s="4">
        <v>4</v>
      </c>
    </row>
    <row r="3761" spans="1:10" x14ac:dyDescent="0.35">
      <c r="A3761" s="2" t="s">
        <v>3797</v>
      </c>
      <c r="B3761" s="4">
        <v>70</v>
      </c>
      <c r="C3761" t="s">
        <v>11</v>
      </c>
      <c r="D3761" t="s">
        <v>49</v>
      </c>
      <c r="E3761" t="s">
        <v>29</v>
      </c>
      <c r="F3761" t="s">
        <v>14</v>
      </c>
      <c r="G3761" s="4">
        <v>9</v>
      </c>
      <c r="H3761" s="1">
        <v>63714</v>
      </c>
      <c r="I3761" s="3" t="s">
        <v>21</v>
      </c>
      <c r="J3761" s="4">
        <v>5</v>
      </c>
    </row>
    <row r="3762" spans="1:10" x14ac:dyDescent="0.35">
      <c r="A3762" s="2" t="s">
        <v>3798</v>
      </c>
      <c r="B3762" s="4">
        <v>80</v>
      </c>
      <c r="C3762" t="s">
        <v>17</v>
      </c>
      <c r="D3762" t="s">
        <v>26</v>
      </c>
      <c r="E3762" t="s">
        <v>53</v>
      </c>
      <c r="F3762" t="s">
        <v>30</v>
      </c>
      <c r="G3762" s="4">
        <v>3</v>
      </c>
      <c r="H3762" s="1">
        <v>13925</v>
      </c>
      <c r="I3762" s="3" t="s">
        <v>15</v>
      </c>
      <c r="J3762" s="4">
        <v>5</v>
      </c>
    </row>
    <row r="3763" spans="1:10" x14ac:dyDescent="0.35">
      <c r="A3763" s="2" t="s">
        <v>3799</v>
      </c>
      <c r="B3763" s="4">
        <v>47</v>
      </c>
      <c r="C3763" t="s">
        <v>17</v>
      </c>
      <c r="D3763" t="s">
        <v>12</v>
      </c>
      <c r="E3763" t="s">
        <v>29</v>
      </c>
      <c r="F3763" t="s">
        <v>14</v>
      </c>
      <c r="G3763" s="4">
        <v>4</v>
      </c>
      <c r="H3763" s="1">
        <v>56986</v>
      </c>
      <c r="I3763" s="3" t="s">
        <v>21</v>
      </c>
      <c r="J3763" s="4">
        <v>2</v>
      </c>
    </row>
    <row r="3764" spans="1:10" x14ac:dyDescent="0.35">
      <c r="A3764" s="2" t="s">
        <v>3800</v>
      </c>
      <c r="B3764" s="4">
        <v>60</v>
      </c>
      <c r="C3764" t="s">
        <v>17</v>
      </c>
      <c r="D3764" t="s">
        <v>33</v>
      </c>
      <c r="E3764" t="s">
        <v>42</v>
      </c>
      <c r="F3764" t="s">
        <v>14</v>
      </c>
      <c r="G3764" s="4">
        <v>3</v>
      </c>
      <c r="H3764" s="1">
        <v>38182</v>
      </c>
      <c r="I3764" s="3" t="s">
        <v>15</v>
      </c>
      <c r="J3764" s="4">
        <v>3</v>
      </c>
    </row>
    <row r="3765" spans="1:10" x14ac:dyDescent="0.35">
      <c r="A3765" s="2" t="s">
        <v>3801</v>
      </c>
      <c r="B3765" s="4">
        <v>50</v>
      </c>
      <c r="C3765" t="s">
        <v>11</v>
      </c>
      <c r="D3765" t="s">
        <v>39</v>
      </c>
      <c r="E3765" t="s">
        <v>27</v>
      </c>
      <c r="F3765" t="s">
        <v>14</v>
      </c>
      <c r="G3765" s="4">
        <v>12</v>
      </c>
      <c r="H3765" s="1">
        <v>22962</v>
      </c>
      <c r="I3765" s="3" t="s">
        <v>15</v>
      </c>
      <c r="J3765" s="4">
        <v>4</v>
      </c>
    </row>
    <row r="3766" spans="1:10" x14ac:dyDescent="0.35">
      <c r="A3766" s="2" t="s">
        <v>3802</v>
      </c>
      <c r="B3766" s="4">
        <v>83</v>
      </c>
      <c r="C3766" t="s">
        <v>11</v>
      </c>
      <c r="D3766" t="s">
        <v>28</v>
      </c>
      <c r="E3766" t="s">
        <v>37</v>
      </c>
      <c r="F3766" t="s">
        <v>20</v>
      </c>
      <c r="G3766" s="4">
        <v>14</v>
      </c>
      <c r="H3766" s="1">
        <v>40902</v>
      </c>
      <c r="I3766" s="3" t="s">
        <v>15</v>
      </c>
      <c r="J3766" s="4">
        <v>1</v>
      </c>
    </row>
    <row r="3767" spans="1:10" x14ac:dyDescent="0.35">
      <c r="A3767" s="2" t="s">
        <v>3803</v>
      </c>
      <c r="B3767" s="4">
        <v>71</v>
      </c>
      <c r="C3767" t="s">
        <v>11</v>
      </c>
      <c r="D3767" t="s">
        <v>18</v>
      </c>
      <c r="E3767" t="s">
        <v>53</v>
      </c>
      <c r="F3767" t="s">
        <v>30</v>
      </c>
      <c r="G3767" s="4">
        <v>8</v>
      </c>
      <c r="H3767" s="1">
        <v>89505</v>
      </c>
      <c r="I3767" s="3" t="s">
        <v>15</v>
      </c>
      <c r="J3767" s="4">
        <v>5</v>
      </c>
    </row>
    <row r="3768" spans="1:10" x14ac:dyDescent="0.35">
      <c r="A3768" s="2" t="s">
        <v>3804</v>
      </c>
      <c r="B3768" s="4">
        <v>55</v>
      </c>
      <c r="C3768" t="s">
        <v>17</v>
      </c>
      <c r="D3768" t="s">
        <v>36</v>
      </c>
      <c r="E3768" t="s">
        <v>19</v>
      </c>
      <c r="F3768" t="s">
        <v>14</v>
      </c>
      <c r="G3768" s="4">
        <v>3</v>
      </c>
      <c r="H3768" s="1">
        <v>78541</v>
      </c>
      <c r="I3768" s="3" t="s">
        <v>21</v>
      </c>
      <c r="J3768" s="4">
        <v>3</v>
      </c>
    </row>
    <row r="3769" spans="1:10" x14ac:dyDescent="0.35">
      <c r="A3769" s="2" t="s">
        <v>3805</v>
      </c>
      <c r="B3769" s="4">
        <v>86</v>
      </c>
      <c r="C3769" t="s">
        <v>11</v>
      </c>
      <c r="D3769" t="s">
        <v>28</v>
      </c>
      <c r="E3769" t="s">
        <v>37</v>
      </c>
      <c r="F3769" t="s">
        <v>30</v>
      </c>
      <c r="G3769" s="4">
        <v>5</v>
      </c>
      <c r="H3769" s="1">
        <v>7697</v>
      </c>
      <c r="I3769" s="3" t="s">
        <v>21</v>
      </c>
      <c r="J3769" s="4">
        <v>5</v>
      </c>
    </row>
    <row r="3770" spans="1:10" x14ac:dyDescent="0.35">
      <c r="A3770" s="2" t="s">
        <v>3806</v>
      </c>
      <c r="B3770" s="4">
        <v>41</v>
      </c>
      <c r="C3770" t="s">
        <v>11</v>
      </c>
      <c r="D3770" t="s">
        <v>23</v>
      </c>
      <c r="E3770" t="s">
        <v>42</v>
      </c>
      <c r="F3770" t="s">
        <v>30</v>
      </c>
      <c r="G3770" s="4">
        <v>15</v>
      </c>
      <c r="H3770" s="1">
        <v>21675</v>
      </c>
      <c r="I3770" s="3" t="s">
        <v>21</v>
      </c>
      <c r="J3770" s="4">
        <v>5</v>
      </c>
    </row>
    <row r="3771" spans="1:10" x14ac:dyDescent="0.35">
      <c r="A3771" s="2" t="s">
        <v>3807</v>
      </c>
      <c r="B3771" s="4">
        <v>56</v>
      </c>
      <c r="C3771" t="s">
        <v>17</v>
      </c>
      <c r="D3771" t="s">
        <v>26</v>
      </c>
      <c r="E3771" t="s">
        <v>27</v>
      </c>
      <c r="F3771" t="s">
        <v>30</v>
      </c>
      <c r="G3771" s="4">
        <v>6</v>
      </c>
      <c r="H3771" s="1">
        <v>24319</v>
      </c>
      <c r="I3771" s="3" t="s">
        <v>21</v>
      </c>
      <c r="J3771" s="4">
        <v>1</v>
      </c>
    </row>
    <row r="3772" spans="1:10" x14ac:dyDescent="0.35">
      <c r="A3772" s="2" t="s">
        <v>3808</v>
      </c>
      <c r="B3772" s="4">
        <v>33</v>
      </c>
      <c r="C3772" t="s">
        <v>17</v>
      </c>
      <c r="D3772" t="s">
        <v>18</v>
      </c>
      <c r="E3772" t="s">
        <v>29</v>
      </c>
      <c r="F3772" t="s">
        <v>14</v>
      </c>
      <c r="G3772" s="4">
        <v>6</v>
      </c>
      <c r="H3772" s="1">
        <v>59751</v>
      </c>
      <c r="I3772" s="3" t="s">
        <v>21</v>
      </c>
      <c r="J3772" s="4">
        <v>4</v>
      </c>
    </row>
    <row r="3773" spans="1:10" x14ac:dyDescent="0.35">
      <c r="A3773" s="2" t="s">
        <v>3809</v>
      </c>
      <c r="B3773" s="4">
        <v>74</v>
      </c>
      <c r="C3773" t="s">
        <v>11</v>
      </c>
      <c r="D3773" t="s">
        <v>41</v>
      </c>
      <c r="E3773" t="s">
        <v>37</v>
      </c>
      <c r="F3773" t="s">
        <v>30</v>
      </c>
      <c r="G3773" s="4">
        <v>6</v>
      </c>
      <c r="H3773" s="1">
        <v>65669</v>
      </c>
      <c r="I3773" s="3" t="s">
        <v>15</v>
      </c>
      <c r="J3773" s="4">
        <v>4</v>
      </c>
    </row>
    <row r="3774" spans="1:10" x14ac:dyDescent="0.35">
      <c r="A3774" s="2" t="s">
        <v>3810</v>
      </c>
      <c r="B3774" s="4">
        <v>79</v>
      </c>
      <c r="C3774" t="s">
        <v>17</v>
      </c>
      <c r="D3774" t="s">
        <v>12</v>
      </c>
      <c r="E3774" t="s">
        <v>37</v>
      </c>
      <c r="F3774" t="s">
        <v>20</v>
      </c>
      <c r="G3774" s="4">
        <v>9</v>
      </c>
      <c r="H3774" s="1">
        <v>65905</v>
      </c>
      <c r="I3774" s="3" t="s">
        <v>21</v>
      </c>
      <c r="J3774" s="4">
        <v>3</v>
      </c>
    </row>
    <row r="3775" spans="1:10" x14ac:dyDescent="0.35">
      <c r="A3775" s="2" t="s">
        <v>3811</v>
      </c>
      <c r="B3775" s="4">
        <v>84</v>
      </c>
      <c r="C3775" t="s">
        <v>17</v>
      </c>
      <c r="D3775" t="s">
        <v>49</v>
      </c>
      <c r="E3775" t="s">
        <v>53</v>
      </c>
      <c r="F3775" t="s">
        <v>30</v>
      </c>
      <c r="G3775" s="4">
        <v>11</v>
      </c>
      <c r="H3775" s="1">
        <v>22110</v>
      </c>
      <c r="I3775" s="3" t="s">
        <v>15</v>
      </c>
      <c r="J3775" s="4">
        <v>2</v>
      </c>
    </row>
    <row r="3776" spans="1:10" x14ac:dyDescent="0.35">
      <c r="A3776" s="2" t="s">
        <v>3812</v>
      </c>
      <c r="B3776" s="4">
        <v>47</v>
      </c>
      <c r="C3776" t="s">
        <v>17</v>
      </c>
      <c r="D3776" t="s">
        <v>12</v>
      </c>
      <c r="E3776" t="s">
        <v>27</v>
      </c>
      <c r="F3776" t="s">
        <v>14</v>
      </c>
      <c r="G3776" s="4">
        <v>10</v>
      </c>
      <c r="H3776" s="1">
        <v>11857</v>
      </c>
      <c r="I3776" s="3" t="s">
        <v>21</v>
      </c>
      <c r="J3776" s="4">
        <v>3</v>
      </c>
    </row>
    <row r="3777" spans="1:10" x14ac:dyDescent="0.35">
      <c r="A3777" s="2" t="s">
        <v>3813</v>
      </c>
      <c r="B3777" s="4">
        <v>2</v>
      </c>
      <c r="C3777" t="s">
        <v>11</v>
      </c>
      <c r="D3777" t="s">
        <v>12</v>
      </c>
      <c r="E3777" t="s">
        <v>13</v>
      </c>
      <c r="F3777" t="s">
        <v>20</v>
      </c>
      <c r="G3777" s="4">
        <v>13</v>
      </c>
      <c r="H3777" s="1">
        <v>82496</v>
      </c>
      <c r="I3777" s="3" t="s">
        <v>15</v>
      </c>
      <c r="J3777" s="4">
        <v>1</v>
      </c>
    </row>
    <row r="3778" spans="1:10" x14ac:dyDescent="0.35">
      <c r="A3778" s="2" t="s">
        <v>3814</v>
      </c>
      <c r="B3778" s="4">
        <v>12</v>
      </c>
      <c r="C3778" t="s">
        <v>11</v>
      </c>
      <c r="D3778" t="s">
        <v>41</v>
      </c>
      <c r="E3778" t="s">
        <v>42</v>
      </c>
      <c r="F3778" t="s">
        <v>20</v>
      </c>
      <c r="G3778" s="4">
        <v>5</v>
      </c>
      <c r="H3778" s="1">
        <v>13482</v>
      </c>
      <c r="I3778" s="3" t="s">
        <v>15</v>
      </c>
      <c r="J3778" s="4">
        <v>4</v>
      </c>
    </row>
    <row r="3779" spans="1:10" x14ac:dyDescent="0.35">
      <c r="A3779" s="2" t="s">
        <v>3815</v>
      </c>
      <c r="B3779" s="4">
        <v>22</v>
      </c>
      <c r="C3779" t="s">
        <v>11</v>
      </c>
      <c r="D3779" t="s">
        <v>41</v>
      </c>
      <c r="E3779" t="s">
        <v>37</v>
      </c>
      <c r="F3779" t="s">
        <v>20</v>
      </c>
      <c r="G3779" s="4">
        <v>12</v>
      </c>
      <c r="H3779" s="1">
        <v>95078</v>
      </c>
      <c r="I3779" s="3" t="s">
        <v>21</v>
      </c>
      <c r="J3779" s="4">
        <v>4</v>
      </c>
    </row>
    <row r="3780" spans="1:10" x14ac:dyDescent="0.35">
      <c r="A3780" s="2" t="s">
        <v>3816</v>
      </c>
      <c r="B3780" s="4">
        <v>28</v>
      </c>
      <c r="C3780" t="s">
        <v>11</v>
      </c>
      <c r="D3780" t="s">
        <v>18</v>
      </c>
      <c r="E3780" t="s">
        <v>19</v>
      </c>
      <c r="F3780" t="s">
        <v>14</v>
      </c>
      <c r="G3780" s="4">
        <v>8</v>
      </c>
      <c r="H3780" s="1">
        <v>97764</v>
      </c>
      <c r="I3780" s="3" t="s">
        <v>15</v>
      </c>
      <c r="J3780" s="4">
        <v>5</v>
      </c>
    </row>
    <row r="3781" spans="1:10" x14ac:dyDescent="0.35">
      <c r="A3781" s="2" t="s">
        <v>3817</v>
      </c>
      <c r="B3781" s="4">
        <v>57</v>
      </c>
      <c r="C3781" t="s">
        <v>17</v>
      </c>
      <c r="D3781" t="s">
        <v>49</v>
      </c>
      <c r="E3781" t="s">
        <v>37</v>
      </c>
      <c r="F3781" t="s">
        <v>30</v>
      </c>
      <c r="G3781" s="4">
        <v>8</v>
      </c>
      <c r="H3781" s="1">
        <v>76848</v>
      </c>
      <c r="I3781" s="3" t="s">
        <v>15</v>
      </c>
      <c r="J3781" s="4">
        <v>5</v>
      </c>
    </row>
    <row r="3782" spans="1:10" x14ac:dyDescent="0.35">
      <c r="A3782" s="2" t="s">
        <v>3818</v>
      </c>
      <c r="B3782" s="4">
        <v>81</v>
      </c>
      <c r="C3782" t="s">
        <v>17</v>
      </c>
      <c r="D3782" t="s">
        <v>26</v>
      </c>
      <c r="E3782" t="s">
        <v>13</v>
      </c>
      <c r="F3782" t="s">
        <v>14</v>
      </c>
      <c r="G3782" s="4">
        <v>2</v>
      </c>
      <c r="H3782" s="1">
        <v>95598</v>
      </c>
      <c r="I3782" s="3" t="s">
        <v>15</v>
      </c>
      <c r="J3782" s="4">
        <v>2</v>
      </c>
    </row>
    <row r="3783" spans="1:10" x14ac:dyDescent="0.35">
      <c r="A3783" s="2" t="s">
        <v>3819</v>
      </c>
      <c r="B3783" s="4">
        <v>71</v>
      </c>
      <c r="C3783" t="s">
        <v>11</v>
      </c>
      <c r="D3783" t="s">
        <v>18</v>
      </c>
      <c r="E3783" t="s">
        <v>13</v>
      </c>
      <c r="F3783" t="s">
        <v>30</v>
      </c>
      <c r="G3783" s="4">
        <v>12</v>
      </c>
      <c r="H3783" s="1">
        <v>71741</v>
      </c>
      <c r="I3783" s="3" t="s">
        <v>15</v>
      </c>
      <c r="J3783" s="4">
        <v>2</v>
      </c>
    </row>
    <row r="3784" spans="1:10" x14ac:dyDescent="0.35">
      <c r="A3784" s="2" t="s">
        <v>3820</v>
      </c>
      <c r="B3784" s="4">
        <v>22</v>
      </c>
      <c r="C3784" t="s">
        <v>17</v>
      </c>
      <c r="D3784" t="s">
        <v>28</v>
      </c>
      <c r="E3784" t="s">
        <v>13</v>
      </c>
      <c r="F3784" t="s">
        <v>30</v>
      </c>
      <c r="G3784" s="4">
        <v>9</v>
      </c>
      <c r="H3784" s="1">
        <v>48284</v>
      </c>
      <c r="I3784" s="3" t="s">
        <v>21</v>
      </c>
      <c r="J3784" s="4">
        <v>5</v>
      </c>
    </row>
    <row r="3785" spans="1:10" x14ac:dyDescent="0.35">
      <c r="A3785" s="2" t="s">
        <v>3821</v>
      </c>
      <c r="B3785" s="4">
        <v>43</v>
      </c>
      <c r="C3785" t="s">
        <v>11</v>
      </c>
      <c r="D3785" t="s">
        <v>33</v>
      </c>
      <c r="E3785" t="s">
        <v>34</v>
      </c>
      <c r="F3785" t="s">
        <v>30</v>
      </c>
      <c r="G3785" s="4">
        <v>3</v>
      </c>
      <c r="H3785" s="1">
        <v>94179</v>
      </c>
      <c r="I3785" s="3" t="s">
        <v>21</v>
      </c>
      <c r="J3785" s="4">
        <v>5</v>
      </c>
    </row>
    <row r="3786" spans="1:10" x14ac:dyDescent="0.35">
      <c r="A3786" s="2" t="s">
        <v>3822</v>
      </c>
      <c r="B3786" s="4">
        <v>32</v>
      </c>
      <c r="C3786" t="s">
        <v>11</v>
      </c>
      <c r="D3786" t="s">
        <v>33</v>
      </c>
      <c r="E3786" t="s">
        <v>13</v>
      </c>
      <c r="F3786" t="s">
        <v>30</v>
      </c>
      <c r="G3786" s="4">
        <v>10</v>
      </c>
      <c r="H3786" s="1">
        <v>45406</v>
      </c>
      <c r="I3786" s="3" t="s">
        <v>15</v>
      </c>
      <c r="J3786" s="4">
        <v>2</v>
      </c>
    </row>
    <row r="3787" spans="1:10" x14ac:dyDescent="0.35">
      <c r="A3787" s="2" t="s">
        <v>3823</v>
      </c>
      <c r="B3787" s="4">
        <v>63</v>
      </c>
      <c r="C3787" t="s">
        <v>17</v>
      </c>
      <c r="D3787" t="s">
        <v>33</v>
      </c>
      <c r="E3787" t="s">
        <v>65</v>
      </c>
      <c r="F3787" t="s">
        <v>14</v>
      </c>
      <c r="G3787" s="4">
        <v>1</v>
      </c>
      <c r="H3787" s="1">
        <v>36372</v>
      </c>
      <c r="I3787" s="3" t="s">
        <v>21</v>
      </c>
      <c r="J3787" s="4">
        <v>5</v>
      </c>
    </row>
    <row r="3788" spans="1:10" x14ac:dyDescent="0.35">
      <c r="A3788" s="2" t="s">
        <v>3824</v>
      </c>
      <c r="B3788" s="4">
        <v>84</v>
      </c>
      <c r="C3788" t="s">
        <v>11</v>
      </c>
      <c r="D3788" t="s">
        <v>23</v>
      </c>
      <c r="E3788" t="s">
        <v>29</v>
      </c>
      <c r="F3788" t="s">
        <v>30</v>
      </c>
      <c r="G3788" s="4">
        <v>8</v>
      </c>
      <c r="H3788" s="1">
        <v>17629</v>
      </c>
      <c r="I3788" s="3" t="s">
        <v>21</v>
      </c>
      <c r="J3788" s="4">
        <v>1</v>
      </c>
    </row>
    <row r="3789" spans="1:10" x14ac:dyDescent="0.35">
      <c r="A3789" s="2" t="s">
        <v>3825</v>
      </c>
      <c r="B3789" s="4">
        <v>30</v>
      </c>
      <c r="C3789" t="s">
        <v>17</v>
      </c>
      <c r="D3789" t="s">
        <v>18</v>
      </c>
      <c r="E3789" t="s">
        <v>34</v>
      </c>
      <c r="F3789" t="s">
        <v>30</v>
      </c>
      <c r="G3789" s="4">
        <v>6</v>
      </c>
      <c r="H3789" s="1">
        <v>87735</v>
      </c>
      <c r="I3789" s="3" t="s">
        <v>15</v>
      </c>
      <c r="J3789" s="4">
        <v>2</v>
      </c>
    </row>
    <row r="3790" spans="1:10" x14ac:dyDescent="0.35">
      <c r="A3790" s="2" t="s">
        <v>3826</v>
      </c>
      <c r="B3790" s="4">
        <v>87</v>
      </c>
      <c r="C3790" t="s">
        <v>17</v>
      </c>
      <c r="D3790" t="s">
        <v>49</v>
      </c>
      <c r="E3790" t="s">
        <v>19</v>
      </c>
      <c r="F3790" t="s">
        <v>14</v>
      </c>
      <c r="G3790" s="4">
        <v>7</v>
      </c>
      <c r="H3790" s="1">
        <v>65041</v>
      </c>
      <c r="I3790" s="3" t="s">
        <v>15</v>
      </c>
      <c r="J3790" s="4">
        <v>5</v>
      </c>
    </row>
    <row r="3791" spans="1:10" x14ac:dyDescent="0.35">
      <c r="A3791" s="2" t="s">
        <v>3827</v>
      </c>
      <c r="B3791" s="4">
        <v>69</v>
      </c>
      <c r="C3791" t="s">
        <v>17</v>
      </c>
      <c r="D3791" t="s">
        <v>36</v>
      </c>
      <c r="E3791" t="s">
        <v>34</v>
      </c>
      <c r="F3791" t="s">
        <v>20</v>
      </c>
      <c r="G3791" s="4">
        <v>11</v>
      </c>
      <c r="H3791" s="1">
        <v>77185</v>
      </c>
      <c r="I3791" s="3" t="s">
        <v>15</v>
      </c>
      <c r="J3791" s="4">
        <v>2</v>
      </c>
    </row>
    <row r="3792" spans="1:10" x14ac:dyDescent="0.35">
      <c r="A3792" s="2" t="s">
        <v>3828</v>
      </c>
      <c r="B3792" s="4">
        <v>89</v>
      </c>
      <c r="C3792" t="s">
        <v>17</v>
      </c>
      <c r="D3792" t="s">
        <v>36</v>
      </c>
      <c r="E3792" t="s">
        <v>65</v>
      </c>
      <c r="F3792" t="s">
        <v>14</v>
      </c>
      <c r="G3792" s="4">
        <v>14</v>
      </c>
      <c r="H3792" s="1">
        <v>81835</v>
      </c>
      <c r="I3792" s="3" t="s">
        <v>15</v>
      </c>
      <c r="J3792" s="4">
        <v>3</v>
      </c>
    </row>
    <row r="3793" spans="1:10" x14ac:dyDescent="0.35">
      <c r="A3793" s="2" t="s">
        <v>3829</v>
      </c>
      <c r="B3793" s="4">
        <v>79</v>
      </c>
      <c r="C3793" t="s">
        <v>17</v>
      </c>
      <c r="D3793" t="s">
        <v>12</v>
      </c>
      <c r="E3793" t="s">
        <v>65</v>
      </c>
      <c r="F3793" t="s">
        <v>30</v>
      </c>
      <c r="G3793" s="4">
        <v>2</v>
      </c>
      <c r="H3793" s="1">
        <v>14901</v>
      </c>
      <c r="I3793" s="3" t="s">
        <v>21</v>
      </c>
      <c r="J3793" s="4">
        <v>1</v>
      </c>
    </row>
    <row r="3794" spans="1:10" x14ac:dyDescent="0.35">
      <c r="A3794" s="2" t="s">
        <v>3830</v>
      </c>
      <c r="B3794" s="4">
        <v>10</v>
      </c>
      <c r="C3794" t="s">
        <v>11</v>
      </c>
      <c r="D3794" t="s">
        <v>26</v>
      </c>
      <c r="E3794" t="s">
        <v>19</v>
      </c>
      <c r="F3794" t="s">
        <v>14</v>
      </c>
      <c r="G3794" s="4">
        <v>2</v>
      </c>
      <c r="H3794" s="1">
        <v>66135</v>
      </c>
      <c r="I3794" s="3" t="s">
        <v>15</v>
      </c>
      <c r="J3794" s="4">
        <v>1</v>
      </c>
    </row>
    <row r="3795" spans="1:10" x14ac:dyDescent="0.35">
      <c r="A3795" s="2" t="s">
        <v>3831</v>
      </c>
      <c r="B3795" s="4">
        <v>75</v>
      </c>
      <c r="C3795" t="s">
        <v>11</v>
      </c>
      <c r="D3795" t="s">
        <v>28</v>
      </c>
      <c r="E3795" t="s">
        <v>34</v>
      </c>
      <c r="F3795" t="s">
        <v>14</v>
      </c>
      <c r="G3795" s="4">
        <v>1</v>
      </c>
      <c r="H3795" s="1">
        <v>66763</v>
      </c>
      <c r="I3795" s="3" t="s">
        <v>21</v>
      </c>
      <c r="J3795" s="4">
        <v>5</v>
      </c>
    </row>
    <row r="3796" spans="1:10" x14ac:dyDescent="0.35">
      <c r="A3796" s="2" t="s">
        <v>3832</v>
      </c>
      <c r="B3796" s="4">
        <v>34</v>
      </c>
      <c r="C3796" t="s">
        <v>11</v>
      </c>
      <c r="D3796" t="s">
        <v>33</v>
      </c>
      <c r="E3796" t="s">
        <v>37</v>
      </c>
      <c r="F3796" t="s">
        <v>20</v>
      </c>
      <c r="G3796" s="4">
        <v>15</v>
      </c>
      <c r="H3796" s="1">
        <v>25243</v>
      </c>
      <c r="I3796" s="3" t="s">
        <v>21</v>
      </c>
      <c r="J3796" s="4">
        <v>4</v>
      </c>
    </row>
    <row r="3797" spans="1:10" x14ac:dyDescent="0.35">
      <c r="A3797" s="2" t="s">
        <v>3833</v>
      </c>
      <c r="B3797" s="4">
        <v>44</v>
      </c>
      <c r="C3797" t="s">
        <v>17</v>
      </c>
      <c r="D3797" t="s">
        <v>23</v>
      </c>
      <c r="E3797" t="s">
        <v>42</v>
      </c>
      <c r="F3797" t="s">
        <v>20</v>
      </c>
      <c r="G3797" s="4">
        <v>8</v>
      </c>
      <c r="H3797" s="1">
        <v>71611</v>
      </c>
      <c r="I3797" s="3" t="s">
        <v>21</v>
      </c>
      <c r="J3797" s="4">
        <v>2</v>
      </c>
    </row>
    <row r="3798" spans="1:10" x14ac:dyDescent="0.35">
      <c r="A3798" s="2" t="s">
        <v>3834</v>
      </c>
      <c r="B3798" s="4">
        <v>40</v>
      </c>
      <c r="C3798" t="s">
        <v>11</v>
      </c>
      <c r="D3798" t="s">
        <v>49</v>
      </c>
      <c r="E3798" t="s">
        <v>19</v>
      </c>
      <c r="F3798" t="s">
        <v>20</v>
      </c>
      <c r="G3798" s="4">
        <v>8</v>
      </c>
      <c r="H3798" s="1">
        <v>58274</v>
      </c>
      <c r="I3798" s="3" t="s">
        <v>21</v>
      </c>
      <c r="J3798" s="4">
        <v>2</v>
      </c>
    </row>
    <row r="3799" spans="1:10" x14ac:dyDescent="0.35">
      <c r="A3799" s="2" t="s">
        <v>3835</v>
      </c>
      <c r="B3799" s="4">
        <v>58</v>
      </c>
      <c r="C3799" t="s">
        <v>11</v>
      </c>
      <c r="D3799" t="s">
        <v>33</v>
      </c>
      <c r="E3799" t="s">
        <v>65</v>
      </c>
      <c r="F3799" t="s">
        <v>30</v>
      </c>
      <c r="G3799" s="4">
        <v>5</v>
      </c>
      <c r="H3799" s="1">
        <v>81777</v>
      </c>
      <c r="I3799" s="3" t="s">
        <v>21</v>
      </c>
      <c r="J3799" s="4">
        <v>1</v>
      </c>
    </row>
    <row r="3800" spans="1:10" x14ac:dyDescent="0.35">
      <c r="A3800" s="2" t="s">
        <v>3836</v>
      </c>
      <c r="B3800" s="4">
        <v>62</v>
      </c>
      <c r="C3800" t="s">
        <v>11</v>
      </c>
      <c r="D3800" t="s">
        <v>49</v>
      </c>
      <c r="E3800" t="s">
        <v>37</v>
      </c>
      <c r="F3800" t="s">
        <v>14</v>
      </c>
      <c r="G3800" s="4">
        <v>7</v>
      </c>
      <c r="H3800" s="1">
        <v>52432</v>
      </c>
      <c r="I3800" s="3" t="s">
        <v>21</v>
      </c>
      <c r="J3800" s="4">
        <v>2</v>
      </c>
    </row>
    <row r="3801" spans="1:10" x14ac:dyDescent="0.35">
      <c r="A3801" s="2" t="s">
        <v>3837</v>
      </c>
      <c r="B3801" s="4">
        <v>72</v>
      </c>
      <c r="C3801" t="s">
        <v>17</v>
      </c>
      <c r="D3801" t="s">
        <v>41</v>
      </c>
      <c r="E3801" t="s">
        <v>34</v>
      </c>
      <c r="F3801" t="s">
        <v>30</v>
      </c>
      <c r="G3801" s="4">
        <v>7</v>
      </c>
      <c r="H3801" s="1">
        <v>98034</v>
      </c>
      <c r="I3801" s="3" t="s">
        <v>21</v>
      </c>
      <c r="J3801" s="4">
        <v>1</v>
      </c>
    </row>
    <row r="3802" spans="1:10" x14ac:dyDescent="0.35">
      <c r="A3802" s="2" t="s">
        <v>3838</v>
      </c>
      <c r="B3802" s="4">
        <v>36</v>
      </c>
      <c r="C3802" t="s">
        <v>17</v>
      </c>
      <c r="D3802" t="s">
        <v>39</v>
      </c>
      <c r="E3802" t="s">
        <v>37</v>
      </c>
      <c r="F3802" t="s">
        <v>14</v>
      </c>
      <c r="G3802" s="4">
        <v>14</v>
      </c>
      <c r="H3802" s="1">
        <v>6028</v>
      </c>
      <c r="I3802" s="3" t="s">
        <v>21</v>
      </c>
      <c r="J3802" s="4">
        <v>3</v>
      </c>
    </row>
    <row r="3803" spans="1:10" x14ac:dyDescent="0.35">
      <c r="A3803" s="2" t="s">
        <v>3839</v>
      </c>
      <c r="B3803" s="4">
        <v>57</v>
      </c>
      <c r="C3803" t="s">
        <v>11</v>
      </c>
      <c r="D3803" t="s">
        <v>28</v>
      </c>
      <c r="E3803" t="s">
        <v>53</v>
      </c>
      <c r="F3803" t="s">
        <v>30</v>
      </c>
      <c r="G3803" s="4">
        <v>2</v>
      </c>
      <c r="H3803" s="1">
        <v>65658</v>
      </c>
      <c r="I3803" s="3" t="s">
        <v>15</v>
      </c>
      <c r="J3803" s="4">
        <v>2</v>
      </c>
    </row>
    <row r="3804" spans="1:10" x14ac:dyDescent="0.35">
      <c r="A3804" s="2" t="s">
        <v>3840</v>
      </c>
      <c r="B3804" s="4">
        <v>39</v>
      </c>
      <c r="C3804" t="s">
        <v>11</v>
      </c>
      <c r="D3804" t="s">
        <v>28</v>
      </c>
      <c r="E3804" t="s">
        <v>19</v>
      </c>
      <c r="F3804" t="s">
        <v>20</v>
      </c>
      <c r="G3804" s="4">
        <v>10</v>
      </c>
      <c r="H3804" s="1">
        <v>35247</v>
      </c>
      <c r="I3804" s="3" t="s">
        <v>15</v>
      </c>
      <c r="J3804" s="4">
        <v>4</v>
      </c>
    </row>
    <row r="3805" spans="1:10" x14ac:dyDescent="0.35">
      <c r="A3805" s="2" t="s">
        <v>3841</v>
      </c>
      <c r="B3805" s="4">
        <v>29</v>
      </c>
      <c r="C3805" t="s">
        <v>17</v>
      </c>
      <c r="D3805" t="s">
        <v>33</v>
      </c>
      <c r="E3805" t="s">
        <v>37</v>
      </c>
      <c r="F3805" t="s">
        <v>30</v>
      </c>
      <c r="G3805" s="4">
        <v>6</v>
      </c>
      <c r="H3805" s="1">
        <v>86687</v>
      </c>
      <c r="I3805" s="3" t="s">
        <v>15</v>
      </c>
      <c r="J3805" s="4">
        <v>3</v>
      </c>
    </row>
    <row r="3806" spans="1:10" x14ac:dyDescent="0.35">
      <c r="A3806" s="2" t="s">
        <v>3842</v>
      </c>
      <c r="B3806" s="4">
        <v>20</v>
      </c>
      <c r="C3806" t="s">
        <v>11</v>
      </c>
      <c r="D3806" t="s">
        <v>41</v>
      </c>
      <c r="E3806" t="s">
        <v>27</v>
      </c>
      <c r="F3806" t="s">
        <v>14</v>
      </c>
      <c r="G3806" s="4">
        <v>13</v>
      </c>
      <c r="H3806" s="1">
        <v>45628</v>
      </c>
      <c r="I3806" s="3" t="s">
        <v>21</v>
      </c>
      <c r="J3806" s="4">
        <v>5</v>
      </c>
    </row>
    <row r="3807" spans="1:10" x14ac:dyDescent="0.35">
      <c r="A3807" s="2" t="s">
        <v>3843</v>
      </c>
      <c r="B3807" s="4">
        <v>19</v>
      </c>
      <c r="C3807" t="s">
        <v>11</v>
      </c>
      <c r="D3807" t="s">
        <v>23</v>
      </c>
      <c r="E3807" t="s">
        <v>53</v>
      </c>
      <c r="F3807" t="s">
        <v>30</v>
      </c>
      <c r="G3807" s="4">
        <v>4</v>
      </c>
      <c r="H3807" s="1">
        <v>29746</v>
      </c>
      <c r="I3807" s="3" t="s">
        <v>21</v>
      </c>
      <c r="J3807" s="4">
        <v>1</v>
      </c>
    </row>
    <row r="3808" spans="1:10" x14ac:dyDescent="0.35">
      <c r="A3808" s="2" t="s">
        <v>3844</v>
      </c>
      <c r="B3808" s="4">
        <v>70</v>
      </c>
      <c r="C3808" t="s">
        <v>11</v>
      </c>
      <c r="D3808" t="s">
        <v>18</v>
      </c>
      <c r="E3808" t="s">
        <v>13</v>
      </c>
      <c r="F3808" t="s">
        <v>14</v>
      </c>
      <c r="G3808" s="4">
        <v>8</v>
      </c>
      <c r="H3808" s="1">
        <v>51227</v>
      </c>
      <c r="I3808" s="3" t="s">
        <v>15</v>
      </c>
      <c r="J3808" s="4">
        <v>1</v>
      </c>
    </row>
    <row r="3809" spans="1:10" x14ac:dyDescent="0.35">
      <c r="A3809" s="2" t="s">
        <v>3845</v>
      </c>
      <c r="B3809" s="4">
        <v>33</v>
      </c>
      <c r="C3809" t="s">
        <v>17</v>
      </c>
      <c r="D3809" t="s">
        <v>18</v>
      </c>
      <c r="E3809" t="s">
        <v>53</v>
      </c>
      <c r="F3809" t="s">
        <v>30</v>
      </c>
      <c r="G3809" s="4">
        <v>13</v>
      </c>
      <c r="H3809" s="1">
        <v>27338</v>
      </c>
      <c r="I3809" s="3" t="s">
        <v>21</v>
      </c>
      <c r="J3809" s="4">
        <v>4</v>
      </c>
    </row>
    <row r="3810" spans="1:10" x14ac:dyDescent="0.35">
      <c r="A3810" s="2" t="s">
        <v>3846</v>
      </c>
      <c r="B3810" s="4">
        <v>61</v>
      </c>
      <c r="C3810" t="s">
        <v>17</v>
      </c>
      <c r="D3810" t="s">
        <v>28</v>
      </c>
      <c r="E3810" t="s">
        <v>13</v>
      </c>
      <c r="F3810" t="s">
        <v>20</v>
      </c>
      <c r="G3810" s="4">
        <v>1</v>
      </c>
      <c r="H3810" s="1">
        <v>61894</v>
      </c>
      <c r="I3810" s="3" t="s">
        <v>15</v>
      </c>
      <c r="J3810" s="4">
        <v>2</v>
      </c>
    </row>
    <row r="3811" spans="1:10" x14ac:dyDescent="0.35">
      <c r="A3811" s="2" t="s">
        <v>3847</v>
      </c>
      <c r="B3811" s="4">
        <v>30</v>
      </c>
      <c r="C3811" t="s">
        <v>17</v>
      </c>
      <c r="D3811" t="s">
        <v>33</v>
      </c>
      <c r="E3811" t="s">
        <v>53</v>
      </c>
      <c r="F3811" t="s">
        <v>30</v>
      </c>
      <c r="G3811" s="4">
        <v>14</v>
      </c>
      <c r="H3811" s="1">
        <v>69691</v>
      </c>
      <c r="I3811" s="3" t="s">
        <v>15</v>
      </c>
      <c r="J3811" s="4">
        <v>3</v>
      </c>
    </row>
    <row r="3812" spans="1:10" x14ac:dyDescent="0.35">
      <c r="A3812" s="2" t="s">
        <v>3848</v>
      </c>
      <c r="B3812" s="4">
        <v>8</v>
      </c>
      <c r="C3812" t="s">
        <v>17</v>
      </c>
      <c r="D3812" t="s">
        <v>39</v>
      </c>
      <c r="E3812" t="s">
        <v>27</v>
      </c>
      <c r="F3812" t="s">
        <v>30</v>
      </c>
      <c r="G3812" s="4">
        <v>2</v>
      </c>
      <c r="H3812" s="1">
        <v>93572</v>
      </c>
      <c r="I3812" s="3" t="s">
        <v>15</v>
      </c>
      <c r="J3812" s="4">
        <v>2</v>
      </c>
    </row>
    <row r="3813" spans="1:10" x14ac:dyDescent="0.35">
      <c r="A3813" s="2" t="s">
        <v>3849</v>
      </c>
      <c r="B3813" s="4">
        <v>2</v>
      </c>
      <c r="C3813" t="s">
        <v>11</v>
      </c>
      <c r="D3813" t="s">
        <v>18</v>
      </c>
      <c r="E3813" t="s">
        <v>65</v>
      </c>
      <c r="F3813" t="s">
        <v>30</v>
      </c>
      <c r="G3813" s="4">
        <v>15</v>
      </c>
      <c r="H3813" s="1">
        <v>77745</v>
      </c>
      <c r="I3813" s="3" t="s">
        <v>21</v>
      </c>
      <c r="J3813" s="4">
        <v>5</v>
      </c>
    </row>
    <row r="3814" spans="1:10" x14ac:dyDescent="0.35">
      <c r="A3814" s="2" t="s">
        <v>3850</v>
      </c>
      <c r="B3814" s="4">
        <v>2</v>
      </c>
      <c r="C3814" t="s">
        <v>17</v>
      </c>
      <c r="D3814" t="s">
        <v>49</v>
      </c>
      <c r="E3814" t="s">
        <v>13</v>
      </c>
      <c r="F3814" t="s">
        <v>14</v>
      </c>
      <c r="G3814" s="4">
        <v>15</v>
      </c>
      <c r="H3814" s="1">
        <v>16314</v>
      </c>
      <c r="I3814" s="3" t="s">
        <v>15</v>
      </c>
      <c r="J3814" s="4">
        <v>3</v>
      </c>
    </row>
    <row r="3815" spans="1:10" x14ac:dyDescent="0.35">
      <c r="A3815" s="2" t="s">
        <v>3851</v>
      </c>
      <c r="B3815" s="4">
        <v>81</v>
      </c>
      <c r="C3815" t="s">
        <v>17</v>
      </c>
      <c r="D3815" t="s">
        <v>18</v>
      </c>
      <c r="E3815" t="s">
        <v>24</v>
      </c>
      <c r="F3815" t="s">
        <v>14</v>
      </c>
      <c r="G3815" s="4">
        <v>11</v>
      </c>
      <c r="H3815" s="1">
        <v>66609</v>
      </c>
      <c r="I3815" s="3" t="s">
        <v>15</v>
      </c>
      <c r="J3815" s="4">
        <v>1</v>
      </c>
    </row>
    <row r="3816" spans="1:10" x14ac:dyDescent="0.35">
      <c r="A3816" s="2" t="s">
        <v>3852</v>
      </c>
      <c r="B3816" s="4">
        <v>17</v>
      </c>
      <c r="C3816" t="s">
        <v>11</v>
      </c>
      <c r="D3816" t="s">
        <v>33</v>
      </c>
      <c r="E3816" t="s">
        <v>13</v>
      </c>
      <c r="F3816" t="s">
        <v>14</v>
      </c>
      <c r="G3816" s="4">
        <v>3</v>
      </c>
      <c r="H3816" s="1">
        <v>22151</v>
      </c>
      <c r="I3816" s="3" t="s">
        <v>21</v>
      </c>
      <c r="J3816" s="4">
        <v>4</v>
      </c>
    </row>
    <row r="3817" spans="1:10" x14ac:dyDescent="0.35">
      <c r="A3817" s="2" t="s">
        <v>3853</v>
      </c>
      <c r="B3817" s="4">
        <v>77</v>
      </c>
      <c r="C3817" t="s">
        <v>11</v>
      </c>
      <c r="D3817" t="s">
        <v>18</v>
      </c>
      <c r="E3817" t="s">
        <v>65</v>
      </c>
      <c r="F3817" t="s">
        <v>14</v>
      </c>
      <c r="G3817" s="4">
        <v>15</v>
      </c>
      <c r="H3817" s="1">
        <v>52380</v>
      </c>
      <c r="I3817" s="3" t="s">
        <v>21</v>
      </c>
      <c r="J3817" s="4">
        <v>3</v>
      </c>
    </row>
    <row r="3818" spans="1:10" x14ac:dyDescent="0.35">
      <c r="A3818" s="2" t="s">
        <v>3854</v>
      </c>
      <c r="B3818" s="4">
        <v>29</v>
      </c>
      <c r="C3818" t="s">
        <v>17</v>
      </c>
      <c r="D3818" t="s">
        <v>12</v>
      </c>
      <c r="E3818" t="s">
        <v>29</v>
      </c>
      <c r="F3818" t="s">
        <v>30</v>
      </c>
      <c r="G3818" s="4">
        <v>6</v>
      </c>
      <c r="H3818" s="1">
        <v>11322</v>
      </c>
      <c r="I3818" s="3" t="s">
        <v>21</v>
      </c>
      <c r="J3818" s="4">
        <v>1</v>
      </c>
    </row>
    <row r="3819" spans="1:10" x14ac:dyDescent="0.35">
      <c r="A3819" s="2" t="s">
        <v>3855</v>
      </c>
      <c r="B3819" s="4">
        <v>31</v>
      </c>
      <c r="C3819" t="s">
        <v>11</v>
      </c>
      <c r="D3819" t="s">
        <v>12</v>
      </c>
      <c r="E3819" t="s">
        <v>19</v>
      </c>
      <c r="F3819" t="s">
        <v>30</v>
      </c>
      <c r="G3819" s="4">
        <v>15</v>
      </c>
      <c r="H3819" s="1">
        <v>81435</v>
      </c>
      <c r="I3819" s="3" t="s">
        <v>15</v>
      </c>
      <c r="J3819" s="4">
        <v>1</v>
      </c>
    </row>
    <row r="3820" spans="1:10" x14ac:dyDescent="0.35">
      <c r="A3820" s="2" t="s">
        <v>3856</v>
      </c>
      <c r="B3820" s="4">
        <v>2</v>
      </c>
      <c r="C3820" t="s">
        <v>17</v>
      </c>
      <c r="D3820" t="s">
        <v>28</v>
      </c>
      <c r="E3820" t="s">
        <v>53</v>
      </c>
      <c r="F3820" t="s">
        <v>20</v>
      </c>
      <c r="G3820" s="4">
        <v>5</v>
      </c>
      <c r="H3820" s="1">
        <v>78973</v>
      </c>
      <c r="I3820" s="3" t="s">
        <v>21</v>
      </c>
      <c r="J3820" s="4">
        <v>4</v>
      </c>
    </row>
    <row r="3821" spans="1:10" x14ac:dyDescent="0.35">
      <c r="A3821" s="2" t="s">
        <v>3857</v>
      </c>
      <c r="B3821" s="4">
        <v>74</v>
      </c>
      <c r="C3821" t="s">
        <v>17</v>
      </c>
      <c r="D3821" t="s">
        <v>23</v>
      </c>
      <c r="E3821" t="s">
        <v>53</v>
      </c>
      <c r="F3821" t="s">
        <v>20</v>
      </c>
      <c r="G3821" s="4">
        <v>4</v>
      </c>
      <c r="H3821" s="1">
        <v>12916</v>
      </c>
      <c r="I3821" s="3" t="s">
        <v>15</v>
      </c>
      <c r="J3821" s="4">
        <v>1</v>
      </c>
    </row>
    <row r="3822" spans="1:10" x14ac:dyDescent="0.35">
      <c r="A3822" s="2" t="s">
        <v>3858</v>
      </c>
      <c r="B3822" s="4">
        <v>23</v>
      </c>
      <c r="C3822" t="s">
        <v>11</v>
      </c>
      <c r="D3822" t="s">
        <v>39</v>
      </c>
      <c r="E3822" t="s">
        <v>65</v>
      </c>
      <c r="F3822" t="s">
        <v>30</v>
      </c>
      <c r="G3822" s="4">
        <v>14</v>
      </c>
      <c r="H3822" s="1">
        <v>8706</v>
      </c>
      <c r="I3822" s="3" t="s">
        <v>15</v>
      </c>
      <c r="J3822" s="4">
        <v>1</v>
      </c>
    </row>
    <row r="3823" spans="1:10" x14ac:dyDescent="0.35">
      <c r="A3823" s="2" t="s">
        <v>3859</v>
      </c>
      <c r="B3823" s="4">
        <v>18</v>
      </c>
      <c r="C3823" t="s">
        <v>11</v>
      </c>
      <c r="D3823" t="s">
        <v>23</v>
      </c>
      <c r="E3823" t="s">
        <v>24</v>
      </c>
      <c r="F3823" t="s">
        <v>20</v>
      </c>
      <c r="G3823" s="4">
        <v>8</v>
      </c>
      <c r="H3823" s="1">
        <v>60298</v>
      </c>
      <c r="I3823" s="3" t="s">
        <v>21</v>
      </c>
      <c r="J3823" s="4">
        <v>4</v>
      </c>
    </row>
    <row r="3824" spans="1:10" x14ac:dyDescent="0.35">
      <c r="A3824" s="2" t="s">
        <v>3860</v>
      </c>
      <c r="B3824" s="4">
        <v>86</v>
      </c>
      <c r="C3824" t="s">
        <v>11</v>
      </c>
      <c r="D3824" t="s">
        <v>41</v>
      </c>
      <c r="E3824" t="s">
        <v>34</v>
      </c>
      <c r="F3824" t="s">
        <v>14</v>
      </c>
      <c r="G3824" s="4">
        <v>2</v>
      </c>
      <c r="H3824" s="1">
        <v>18394</v>
      </c>
      <c r="I3824" s="3" t="s">
        <v>15</v>
      </c>
      <c r="J3824" s="4">
        <v>1</v>
      </c>
    </row>
    <row r="3825" spans="1:10" x14ac:dyDescent="0.35">
      <c r="A3825" s="2" t="s">
        <v>3861</v>
      </c>
      <c r="B3825" s="4">
        <v>10</v>
      </c>
      <c r="C3825" t="s">
        <v>11</v>
      </c>
      <c r="D3825" t="s">
        <v>28</v>
      </c>
      <c r="E3825" t="s">
        <v>24</v>
      </c>
      <c r="F3825" t="s">
        <v>30</v>
      </c>
      <c r="G3825" s="4">
        <v>11</v>
      </c>
      <c r="H3825" s="1">
        <v>98899</v>
      </c>
      <c r="I3825" s="3" t="s">
        <v>15</v>
      </c>
      <c r="J3825" s="4">
        <v>2</v>
      </c>
    </row>
    <row r="3826" spans="1:10" x14ac:dyDescent="0.35">
      <c r="A3826" s="2" t="s">
        <v>3862</v>
      </c>
      <c r="B3826" s="4">
        <v>51</v>
      </c>
      <c r="C3826" t="s">
        <v>17</v>
      </c>
      <c r="D3826" t="s">
        <v>49</v>
      </c>
      <c r="E3826" t="s">
        <v>24</v>
      </c>
      <c r="F3826" t="s">
        <v>14</v>
      </c>
      <c r="G3826" s="4">
        <v>9</v>
      </c>
      <c r="H3826" s="1">
        <v>21175</v>
      </c>
      <c r="I3826" s="3" t="s">
        <v>21</v>
      </c>
      <c r="J3826" s="4">
        <v>2</v>
      </c>
    </row>
    <row r="3827" spans="1:10" x14ac:dyDescent="0.35">
      <c r="A3827" s="2" t="s">
        <v>3863</v>
      </c>
      <c r="B3827" s="4">
        <v>58</v>
      </c>
      <c r="C3827" t="s">
        <v>11</v>
      </c>
      <c r="D3827" t="s">
        <v>23</v>
      </c>
      <c r="E3827" t="s">
        <v>53</v>
      </c>
      <c r="F3827" t="s">
        <v>30</v>
      </c>
      <c r="G3827" s="4">
        <v>8</v>
      </c>
      <c r="H3827" s="1">
        <v>94869</v>
      </c>
      <c r="I3827" s="3" t="s">
        <v>15</v>
      </c>
      <c r="J3827" s="4">
        <v>5</v>
      </c>
    </row>
    <row r="3828" spans="1:10" x14ac:dyDescent="0.35">
      <c r="A3828" s="2" t="s">
        <v>3864</v>
      </c>
      <c r="B3828" s="4">
        <v>7</v>
      </c>
      <c r="C3828" t="s">
        <v>17</v>
      </c>
      <c r="D3828" t="s">
        <v>49</v>
      </c>
      <c r="E3828" t="s">
        <v>37</v>
      </c>
      <c r="F3828" t="s">
        <v>30</v>
      </c>
      <c r="G3828" s="4">
        <v>13</v>
      </c>
      <c r="H3828" s="1">
        <v>13836</v>
      </c>
      <c r="I3828" s="3" t="s">
        <v>15</v>
      </c>
      <c r="J3828" s="4">
        <v>2</v>
      </c>
    </row>
    <row r="3829" spans="1:10" x14ac:dyDescent="0.35">
      <c r="A3829" s="2" t="s">
        <v>3865</v>
      </c>
      <c r="B3829" s="4">
        <v>47</v>
      </c>
      <c r="C3829" t="s">
        <v>17</v>
      </c>
      <c r="D3829" t="s">
        <v>18</v>
      </c>
      <c r="E3829" t="s">
        <v>34</v>
      </c>
      <c r="F3829" t="s">
        <v>30</v>
      </c>
      <c r="G3829" s="4">
        <v>7</v>
      </c>
      <c r="H3829" s="1">
        <v>74265</v>
      </c>
      <c r="I3829" s="3" t="s">
        <v>15</v>
      </c>
      <c r="J3829" s="4">
        <v>4</v>
      </c>
    </row>
    <row r="3830" spans="1:10" x14ac:dyDescent="0.35">
      <c r="A3830" s="2" t="s">
        <v>3866</v>
      </c>
      <c r="B3830" s="4">
        <v>67</v>
      </c>
      <c r="C3830" t="s">
        <v>11</v>
      </c>
      <c r="D3830" t="s">
        <v>12</v>
      </c>
      <c r="E3830" t="s">
        <v>53</v>
      </c>
      <c r="F3830" t="s">
        <v>14</v>
      </c>
      <c r="G3830" s="4">
        <v>1</v>
      </c>
      <c r="H3830" s="1">
        <v>43122</v>
      </c>
      <c r="I3830" s="3" t="s">
        <v>21</v>
      </c>
      <c r="J3830" s="4">
        <v>4</v>
      </c>
    </row>
    <row r="3831" spans="1:10" x14ac:dyDescent="0.35">
      <c r="A3831" s="2" t="s">
        <v>3867</v>
      </c>
      <c r="B3831" s="4">
        <v>78</v>
      </c>
      <c r="C3831" t="s">
        <v>11</v>
      </c>
      <c r="D3831" t="s">
        <v>49</v>
      </c>
      <c r="E3831" t="s">
        <v>27</v>
      </c>
      <c r="F3831" t="s">
        <v>14</v>
      </c>
      <c r="G3831" s="4">
        <v>12</v>
      </c>
      <c r="H3831" s="1">
        <v>99198</v>
      </c>
      <c r="I3831" s="3" t="s">
        <v>15</v>
      </c>
      <c r="J3831" s="4">
        <v>5</v>
      </c>
    </row>
    <row r="3832" spans="1:10" x14ac:dyDescent="0.35">
      <c r="A3832" s="2" t="s">
        <v>3868</v>
      </c>
      <c r="B3832" s="4">
        <v>41</v>
      </c>
      <c r="C3832" t="s">
        <v>17</v>
      </c>
      <c r="D3832" t="s">
        <v>28</v>
      </c>
      <c r="E3832" t="s">
        <v>29</v>
      </c>
      <c r="F3832" t="s">
        <v>30</v>
      </c>
      <c r="G3832" s="4">
        <v>8</v>
      </c>
      <c r="H3832" s="1">
        <v>67747</v>
      </c>
      <c r="I3832" s="3" t="s">
        <v>15</v>
      </c>
      <c r="J3832" s="4">
        <v>3</v>
      </c>
    </row>
    <row r="3833" spans="1:10" x14ac:dyDescent="0.35">
      <c r="A3833" s="2" t="s">
        <v>3869</v>
      </c>
      <c r="B3833" s="4">
        <v>75</v>
      </c>
      <c r="C3833" t="s">
        <v>11</v>
      </c>
      <c r="D3833" t="s">
        <v>26</v>
      </c>
      <c r="E3833" t="s">
        <v>24</v>
      </c>
      <c r="F3833" t="s">
        <v>30</v>
      </c>
      <c r="G3833" s="4">
        <v>6</v>
      </c>
      <c r="H3833" s="1">
        <v>91549</v>
      </c>
      <c r="I3833" s="3" t="s">
        <v>21</v>
      </c>
      <c r="J3833" s="4">
        <v>4</v>
      </c>
    </row>
    <row r="3834" spans="1:10" x14ac:dyDescent="0.35">
      <c r="A3834" s="2" t="s">
        <v>3870</v>
      </c>
      <c r="B3834" s="4">
        <v>11</v>
      </c>
      <c r="C3834" t="s">
        <v>17</v>
      </c>
      <c r="D3834" t="s">
        <v>41</v>
      </c>
      <c r="E3834" t="s">
        <v>42</v>
      </c>
      <c r="F3834" t="s">
        <v>14</v>
      </c>
      <c r="G3834" s="4">
        <v>10</v>
      </c>
      <c r="H3834" s="1">
        <v>11510</v>
      </c>
      <c r="I3834" s="3" t="s">
        <v>15</v>
      </c>
      <c r="J3834" s="4">
        <v>5</v>
      </c>
    </row>
    <row r="3835" spans="1:10" x14ac:dyDescent="0.35">
      <c r="A3835" s="2" t="s">
        <v>3871</v>
      </c>
      <c r="B3835" s="4">
        <v>19</v>
      </c>
      <c r="C3835" t="s">
        <v>17</v>
      </c>
      <c r="D3835" t="s">
        <v>36</v>
      </c>
      <c r="E3835" t="s">
        <v>37</v>
      </c>
      <c r="F3835" t="s">
        <v>30</v>
      </c>
      <c r="G3835" s="4">
        <v>7</v>
      </c>
      <c r="H3835" s="1">
        <v>30120</v>
      </c>
      <c r="I3835" s="3" t="s">
        <v>15</v>
      </c>
      <c r="J3835" s="4">
        <v>3</v>
      </c>
    </row>
    <row r="3836" spans="1:10" x14ac:dyDescent="0.35">
      <c r="A3836" s="2" t="s">
        <v>3872</v>
      </c>
      <c r="B3836" s="4">
        <v>43</v>
      </c>
      <c r="C3836" t="s">
        <v>17</v>
      </c>
      <c r="D3836" t="s">
        <v>18</v>
      </c>
      <c r="E3836" t="s">
        <v>24</v>
      </c>
      <c r="F3836" t="s">
        <v>30</v>
      </c>
      <c r="G3836" s="4">
        <v>8</v>
      </c>
      <c r="H3836" s="1">
        <v>99388</v>
      </c>
      <c r="I3836" s="3" t="s">
        <v>15</v>
      </c>
      <c r="J3836" s="4">
        <v>1</v>
      </c>
    </row>
    <row r="3837" spans="1:10" x14ac:dyDescent="0.35">
      <c r="A3837" s="2" t="s">
        <v>3873</v>
      </c>
      <c r="B3837" s="4">
        <v>24</v>
      </c>
      <c r="C3837" t="s">
        <v>17</v>
      </c>
      <c r="D3837" t="s">
        <v>12</v>
      </c>
      <c r="E3837" t="s">
        <v>53</v>
      </c>
      <c r="F3837" t="s">
        <v>30</v>
      </c>
      <c r="G3837" s="4">
        <v>14</v>
      </c>
      <c r="H3837" s="1">
        <v>80395</v>
      </c>
      <c r="I3837" s="3" t="s">
        <v>15</v>
      </c>
      <c r="J3837" s="4">
        <v>2</v>
      </c>
    </row>
    <row r="3838" spans="1:10" x14ac:dyDescent="0.35">
      <c r="A3838" s="2" t="s">
        <v>3874</v>
      </c>
      <c r="B3838" s="4">
        <v>61</v>
      </c>
      <c r="C3838" t="s">
        <v>11</v>
      </c>
      <c r="D3838" t="s">
        <v>18</v>
      </c>
      <c r="E3838" t="s">
        <v>34</v>
      </c>
      <c r="F3838" t="s">
        <v>20</v>
      </c>
      <c r="G3838" s="4">
        <v>15</v>
      </c>
      <c r="H3838" s="1">
        <v>7965</v>
      </c>
      <c r="I3838" s="3" t="s">
        <v>15</v>
      </c>
      <c r="J3838" s="4">
        <v>4</v>
      </c>
    </row>
    <row r="3839" spans="1:10" x14ac:dyDescent="0.35">
      <c r="A3839" s="2" t="s">
        <v>3875</v>
      </c>
      <c r="B3839" s="4">
        <v>89</v>
      </c>
      <c r="C3839" t="s">
        <v>17</v>
      </c>
      <c r="D3839" t="s">
        <v>28</v>
      </c>
      <c r="E3839" t="s">
        <v>29</v>
      </c>
      <c r="F3839" t="s">
        <v>14</v>
      </c>
      <c r="G3839" s="4">
        <v>9</v>
      </c>
      <c r="H3839" s="1">
        <v>19155</v>
      </c>
      <c r="I3839" s="3" t="s">
        <v>21</v>
      </c>
      <c r="J3839" s="4">
        <v>3</v>
      </c>
    </row>
    <row r="3840" spans="1:10" x14ac:dyDescent="0.35">
      <c r="A3840" s="2" t="s">
        <v>3876</v>
      </c>
      <c r="B3840" s="4">
        <v>30</v>
      </c>
      <c r="C3840" t="s">
        <v>11</v>
      </c>
      <c r="D3840" t="s">
        <v>23</v>
      </c>
      <c r="E3840" t="s">
        <v>13</v>
      </c>
      <c r="F3840" t="s">
        <v>20</v>
      </c>
      <c r="G3840" s="4">
        <v>14</v>
      </c>
      <c r="H3840" s="1">
        <v>85262</v>
      </c>
      <c r="I3840" s="3" t="s">
        <v>15</v>
      </c>
      <c r="J3840" s="4">
        <v>2</v>
      </c>
    </row>
    <row r="3841" spans="1:10" x14ac:dyDescent="0.35">
      <c r="A3841" s="2" t="s">
        <v>3877</v>
      </c>
      <c r="B3841" s="4">
        <v>11</v>
      </c>
      <c r="C3841" t="s">
        <v>17</v>
      </c>
      <c r="D3841" t="s">
        <v>18</v>
      </c>
      <c r="E3841" t="s">
        <v>37</v>
      </c>
      <c r="F3841" t="s">
        <v>30</v>
      </c>
      <c r="G3841" s="4">
        <v>9</v>
      </c>
      <c r="H3841" s="1">
        <v>84871</v>
      </c>
      <c r="I3841" s="3" t="s">
        <v>15</v>
      </c>
      <c r="J3841" s="4">
        <v>5</v>
      </c>
    </row>
    <row r="3842" spans="1:10" x14ac:dyDescent="0.35">
      <c r="A3842" s="2" t="s">
        <v>3878</v>
      </c>
      <c r="B3842" s="4">
        <v>57</v>
      </c>
      <c r="C3842" t="s">
        <v>11</v>
      </c>
      <c r="D3842" t="s">
        <v>36</v>
      </c>
      <c r="E3842" t="s">
        <v>29</v>
      </c>
      <c r="F3842" t="s">
        <v>14</v>
      </c>
      <c r="G3842" s="4">
        <v>12</v>
      </c>
      <c r="H3842" s="1">
        <v>78084</v>
      </c>
      <c r="I3842" s="3" t="s">
        <v>21</v>
      </c>
      <c r="J3842" s="4">
        <v>3</v>
      </c>
    </row>
    <row r="3843" spans="1:10" x14ac:dyDescent="0.35">
      <c r="A3843" s="2" t="s">
        <v>3879</v>
      </c>
      <c r="B3843" s="4">
        <v>75</v>
      </c>
      <c r="C3843" t="s">
        <v>17</v>
      </c>
      <c r="D3843" t="s">
        <v>33</v>
      </c>
      <c r="E3843" t="s">
        <v>65</v>
      </c>
      <c r="F3843" t="s">
        <v>30</v>
      </c>
      <c r="G3843" s="4">
        <v>15</v>
      </c>
      <c r="H3843" s="1">
        <v>8343</v>
      </c>
      <c r="I3843" s="3" t="s">
        <v>15</v>
      </c>
      <c r="J3843" s="4">
        <v>4</v>
      </c>
    </row>
    <row r="3844" spans="1:10" x14ac:dyDescent="0.35">
      <c r="A3844" s="2" t="s">
        <v>3880</v>
      </c>
      <c r="B3844" s="4">
        <v>56</v>
      </c>
      <c r="C3844" t="s">
        <v>17</v>
      </c>
      <c r="D3844" t="s">
        <v>49</v>
      </c>
      <c r="E3844" t="s">
        <v>13</v>
      </c>
      <c r="F3844" t="s">
        <v>20</v>
      </c>
      <c r="G3844" s="4">
        <v>11</v>
      </c>
      <c r="H3844" s="1">
        <v>41577</v>
      </c>
      <c r="I3844" s="3" t="s">
        <v>21</v>
      </c>
      <c r="J3844" s="4">
        <v>2</v>
      </c>
    </row>
    <row r="3845" spans="1:10" x14ac:dyDescent="0.35">
      <c r="A3845" s="2" t="s">
        <v>3881</v>
      </c>
      <c r="B3845" s="4">
        <v>18</v>
      </c>
      <c r="C3845" t="s">
        <v>11</v>
      </c>
      <c r="D3845" t="s">
        <v>28</v>
      </c>
      <c r="E3845" t="s">
        <v>19</v>
      </c>
      <c r="F3845" t="s">
        <v>20</v>
      </c>
      <c r="G3845" s="4">
        <v>2</v>
      </c>
      <c r="H3845" s="1">
        <v>46228</v>
      </c>
      <c r="I3845" s="3" t="s">
        <v>15</v>
      </c>
      <c r="J3845" s="4">
        <v>4</v>
      </c>
    </row>
    <row r="3846" spans="1:10" x14ac:dyDescent="0.35">
      <c r="A3846" s="2" t="s">
        <v>3882</v>
      </c>
      <c r="B3846" s="4">
        <v>57</v>
      </c>
      <c r="C3846" t="s">
        <v>11</v>
      </c>
      <c r="D3846" t="s">
        <v>18</v>
      </c>
      <c r="E3846" t="s">
        <v>27</v>
      </c>
      <c r="F3846" t="s">
        <v>30</v>
      </c>
      <c r="G3846" s="4">
        <v>11</v>
      </c>
      <c r="H3846" s="1">
        <v>26819</v>
      </c>
      <c r="I3846" s="3" t="s">
        <v>15</v>
      </c>
      <c r="J3846" s="4">
        <v>1</v>
      </c>
    </row>
    <row r="3847" spans="1:10" x14ac:dyDescent="0.35">
      <c r="A3847" s="2" t="s">
        <v>3883</v>
      </c>
      <c r="B3847" s="4">
        <v>4</v>
      </c>
      <c r="C3847" t="s">
        <v>17</v>
      </c>
      <c r="D3847" t="s">
        <v>12</v>
      </c>
      <c r="E3847" t="s">
        <v>53</v>
      </c>
      <c r="F3847" t="s">
        <v>30</v>
      </c>
      <c r="G3847" s="4">
        <v>7</v>
      </c>
      <c r="H3847" s="1">
        <v>77129</v>
      </c>
      <c r="I3847" s="3" t="s">
        <v>21</v>
      </c>
      <c r="J3847" s="4">
        <v>5</v>
      </c>
    </row>
    <row r="3848" spans="1:10" x14ac:dyDescent="0.35">
      <c r="A3848" s="2" t="s">
        <v>3884</v>
      </c>
      <c r="B3848" s="4">
        <v>76</v>
      </c>
      <c r="C3848" t="s">
        <v>11</v>
      </c>
      <c r="D3848" t="s">
        <v>12</v>
      </c>
      <c r="E3848" t="s">
        <v>42</v>
      </c>
      <c r="F3848" t="s">
        <v>30</v>
      </c>
      <c r="G3848" s="4">
        <v>5</v>
      </c>
      <c r="H3848" s="1">
        <v>36935</v>
      </c>
      <c r="I3848" s="3" t="s">
        <v>15</v>
      </c>
      <c r="J3848" s="4">
        <v>2</v>
      </c>
    </row>
    <row r="3849" spans="1:10" x14ac:dyDescent="0.35">
      <c r="A3849" s="2" t="s">
        <v>3885</v>
      </c>
      <c r="B3849" s="4">
        <v>8</v>
      </c>
      <c r="C3849" t="s">
        <v>17</v>
      </c>
      <c r="D3849" t="s">
        <v>18</v>
      </c>
      <c r="E3849" t="s">
        <v>19</v>
      </c>
      <c r="F3849" t="s">
        <v>20</v>
      </c>
      <c r="G3849" s="4">
        <v>3</v>
      </c>
      <c r="H3849" s="1">
        <v>70266</v>
      </c>
      <c r="I3849" s="3" t="s">
        <v>21</v>
      </c>
      <c r="J3849" s="4">
        <v>3</v>
      </c>
    </row>
    <row r="3850" spans="1:10" x14ac:dyDescent="0.35">
      <c r="A3850" s="2" t="s">
        <v>3886</v>
      </c>
      <c r="B3850" s="4">
        <v>43</v>
      </c>
      <c r="C3850" t="s">
        <v>11</v>
      </c>
      <c r="D3850" t="s">
        <v>41</v>
      </c>
      <c r="E3850" t="s">
        <v>34</v>
      </c>
      <c r="F3850" t="s">
        <v>20</v>
      </c>
      <c r="G3850" s="4">
        <v>5</v>
      </c>
      <c r="H3850" s="1">
        <v>85527</v>
      </c>
      <c r="I3850" s="3" t="s">
        <v>15</v>
      </c>
      <c r="J3850" s="4">
        <v>5</v>
      </c>
    </row>
    <row r="3851" spans="1:10" x14ac:dyDescent="0.35">
      <c r="A3851" s="2" t="s">
        <v>3887</v>
      </c>
      <c r="B3851" s="4">
        <v>4</v>
      </c>
      <c r="C3851" t="s">
        <v>17</v>
      </c>
      <c r="D3851" t="s">
        <v>49</v>
      </c>
      <c r="E3851" t="s">
        <v>24</v>
      </c>
      <c r="F3851" t="s">
        <v>20</v>
      </c>
      <c r="G3851" s="4">
        <v>2</v>
      </c>
      <c r="H3851" s="1">
        <v>31242</v>
      </c>
      <c r="I3851" s="3" t="s">
        <v>15</v>
      </c>
      <c r="J3851" s="4">
        <v>2</v>
      </c>
    </row>
    <row r="3852" spans="1:10" x14ac:dyDescent="0.35">
      <c r="A3852" s="2" t="s">
        <v>3888</v>
      </c>
      <c r="B3852" s="4">
        <v>67</v>
      </c>
      <c r="C3852" t="s">
        <v>17</v>
      </c>
      <c r="D3852" t="s">
        <v>12</v>
      </c>
      <c r="E3852" t="s">
        <v>29</v>
      </c>
      <c r="F3852" t="s">
        <v>14</v>
      </c>
      <c r="G3852" s="4">
        <v>8</v>
      </c>
      <c r="H3852" s="1">
        <v>58212</v>
      </c>
      <c r="I3852" s="3" t="s">
        <v>21</v>
      </c>
      <c r="J3852" s="4">
        <v>4</v>
      </c>
    </row>
    <row r="3853" spans="1:10" x14ac:dyDescent="0.35">
      <c r="A3853" s="2" t="s">
        <v>3889</v>
      </c>
      <c r="B3853" s="4">
        <v>39</v>
      </c>
      <c r="C3853" t="s">
        <v>17</v>
      </c>
      <c r="D3853" t="s">
        <v>18</v>
      </c>
      <c r="E3853" t="s">
        <v>13</v>
      </c>
      <c r="F3853" t="s">
        <v>20</v>
      </c>
      <c r="G3853" s="4">
        <v>15</v>
      </c>
      <c r="H3853" s="1">
        <v>52103</v>
      </c>
      <c r="I3853" s="3" t="s">
        <v>21</v>
      </c>
      <c r="J3853" s="4">
        <v>2</v>
      </c>
    </row>
    <row r="3854" spans="1:10" x14ac:dyDescent="0.35">
      <c r="A3854" s="2" t="s">
        <v>3890</v>
      </c>
      <c r="B3854" s="4">
        <v>54</v>
      </c>
      <c r="C3854" t="s">
        <v>17</v>
      </c>
      <c r="D3854" t="s">
        <v>41</v>
      </c>
      <c r="E3854" t="s">
        <v>19</v>
      </c>
      <c r="F3854" t="s">
        <v>14</v>
      </c>
      <c r="G3854" s="4">
        <v>6</v>
      </c>
      <c r="H3854" s="1">
        <v>63352</v>
      </c>
      <c r="I3854" s="3" t="s">
        <v>15</v>
      </c>
      <c r="J3854" s="4">
        <v>2</v>
      </c>
    </row>
    <row r="3855" spans="1:10" x14ac:dyDescent="0.35">
      <c r="A3855" s="2" t="s">
        <v>3891</v>
      </c>
      <c r="B3855" s="4">
        <v>59</v>
      </c>
      <c r="C3855" t="s">
        <v>11</v>
      </c>
      <c r="D3855" t="s">
        <v>12</v>
      </c>
      <c r="E3855" t="s">
        <v>65</v>
      </c>
      <c r="F3855" t="s">
        <v>20</v>
      </c>
      <c r="G3855" s="4">
        <v>7</v>
      </c>
      <c r="H3855" s="1">
        <v>26447</v>
      </c>
      <c r="I3855" s="3" t="s">
        <v>21</v>
      </c>
      <c r="J3855" s="4">
        <v>2</v>
      </c>
    </row>
    <row r="3856" spans="1:10" x14ac:dyDescent="0.35">
      <c r="A3856" s="2" t="s">
        <v>3892</v>
      </c>
      <c r="B3856" s="4">
        <v>52</v>
      </c>
      <c r="C3856" t="s">
        <v>11</v>
      </c>
      <c r="D3856" t="s">
        <v>41</v>
      </c>
      <c r="E3856" t="s">
        <v>24</v>
      </c>
      <c r="F3856" t="s">
        <v>14</v>
      </c>
      <c r="G3856" s="4">
        <v>11</v>
      </c>
      <c r="H3856" s="1">
        <v>79236</v>
      </c>
      <c r="I3856" s="3" t="s">
        <v>15</v>
      </c>
      <c r="J3856" s="4">
        <v>4</v>
      </c>
    </row>
    <row r="3857" spans="1:10" x14ac:dyDescent="0.35">
      <c r="A3857" s="2" t="s">
        <v>3893</v>
      </c>
      <c r="B3857" s="4">
        <v>80</v>
      </c>
      <c r="C3857" t="s">
        <v>17</v>
      </c>
      <c r="D3857" t="s">
        <v>23</v>
      </c>
      <c r="E3857" t="s">
        <v>53</v>
      </c>
      <c r="F3857" t="s">
        <v>30</v>
      </c>
      <c r="G3857" s="4">
        <v>8</v>
      </c>
      <c r="H3857" s="1">
        <v>35726</v>
      </c>
      <c r="I3857" s="3" t="s">
        <v>21</v>
      </c>
      <c r="J3857" s="4">
        <v>3</v>
      </c>
    </row>
    <row r="3858" spans="1:10" x14ac:dyDescent="0.35">
      <c r="A3858" s="2" t="s">
        <v>3894</v>
      </c>
      <c r="B3858" s="4">
        <v>85</v>
      </c>
      <c r="C3858" t="s">
        <v>11</v>
      </c>
      <c r="D3858" t="s">
        <v>28</v>
      </c>
      <c r="E3858" t="s">
        <v>27</v>
      </c>
      <c r="F3858" t="s">
        <v>14</v>
      </c>
      <c r="G3858" s="4">
        <v>11</v>
      </c>
      <c r="H3858" s="1">
        <v>13345</v>
      </c>
      <c r="I3858" s="3" t="s">
        <v>21</v>
      </c>
      <c r="J3858" s="4">
        <v>4</v>
      </c>
    </row>
    <row r="3859" spans="1:10" x14ac:dyDescent="0.35">
      <c r="A3859" s="2" t="s">
        <v>3895</v>
      </c>
      <c r="B3859" s="4">
        <v>48</v>
      </c>
      <c r="C3859" t="s">
        <v>17</v>
      </c>
      <c r="D3859" t="s">
        <v>41</v>
      </c>
      <c r="E3859" t="s">
        <v>13</v>
      </c>
      <c r="F3859" t="s">
        <v>30</v>
      </c>
      <c r="G3859" s="4">
        <v>10</v>
      </c>
      <c r="H3859" s="1">
        <v>80377</v>
      </c>
      <c r="I3859" s="3" t="s">
        <v>21</v>
      </c>
      <c r="J3859" s="4">
        <v>4</v>
      </c>
    </row>
    <row r="3860" spans="1:10" x14ac:dyDescent="0.35">
      <c r="A3860" s="2" t="s">
        <v>3896</v>
      </c>
      <c r="B3860" s="4">
        <v>38</v>
      </c>
      <c r="C3860" t="s">
        <v>11</v>
      </c>
      <c r="D3860" t="s">
        <v>18</v>
      </c>
      <c r="E3860" t="s">
        <v>42</v>
      </c>
      <c r="F3860" t="s">
        <v>20</v>
      </c>
      <c r="G3860" s="4">
        <v>1</v>
      </c>
      <c r="H3860" s="1">
        <v>18033</v>
      </c>
      <c r="I3860" s="3" t="s">
        <v>21</v>
      </c>
      <c r="J3860" s="4">
        <v>5</v>
      </c>
    </row>
    <row r="3861" spans="1:10" x14ac:dyDescent="0.35">
      <c r="A3861" s="2" t="s">
        <v>3897</v>
      </c>
      <c r="B3861" s="4">
        <v>28</v>
      </c>
      <c r="C3861" t="s">
        <v>17</v>
      </c>
      <c r="D3861" t="s">
        <v>36</v>
      </c>
      <c r="E3861" t="s">
        <v>19</v>
      </c>
      <c r="F3861" t="s">
        <v>30</v>
      </c>
      <c r="G3861" s="4">
        <v>3</v>
      </c>
      <c r="H3861" s="1">
        <v>69597</v>
      </c>
      <c r="I3861" s="3" t="s">
        <v>21</v>
      </c>
      <c r="J3861" s="4">
        <v>4</v>
      </c>
    </row>
    <row r="3862" spans="1:10" x14ac:dyDescent="0.35">
      <c r="A3862" s="2" t="s">
        <v>3898</v>
      </c>
      <c r="B3862" s="4">
        <v>36</v>
      </c>
      <c r="C3862" t="s">
        <v>11</v>
      </c>
      <c r="D3862" t="s">
        <v>33</v>
      </c>
      <c r="E3862" t="s">
        <v>29</v>
      </c>
      <c r="F3862" t="s">
        <v>30</v>
      </c>
      <c r="G3862" s="4">
        <v>4</v>
      </c>
      <c r="H3862" s="1">
        <v>58152</v>
      </c>
      <c r="I3862" s="3" t="s">
        <v>15</v>
      </c>
      <c r="J3862" s="4">
        <v>1</v>
      </c>
    </row>
    <row r="3863" spans="1:10" x14ac:dyDescent="0.35">
      <c r="A3863" s="2" t="s">
        <v>3899</v>
      </c>
      <c r="B3863" s="4">
        <v>88</v>
      </c>
      <c r="C3863" t="s">
        <v>11</v>
      </c>
      <c r="D3863" t="s">
        <v>18</v>
      </c>
      <c r="E3863" t="s">
        <v>19</v>
      </c>
      <c r="F3863" t="s">
        <v>30</v>
      </c>
      <c r="G3863" s="4">
        <v>9</v>
      </c>
      <c r="H3863" s="1">
        <v>35121</v>
      </c>
      <c r="I3863" s="3" t="s">
        <v>21</v>
      </c>
      <c r="J3863" s="4">
        <v>5</v>
      </c>
    </row>
    <row r="3864" spans="1:10" x14ac:dyDescent="0.35">
      <c r="A3864" s="2" t="s">
        <v>3900</v>
      </c>
      <c r="B3864" s="4">
        <v>12</v>
      </c>
      <c r="C3864" t="s">
        <v>11</v>
      </c>
      <c r="D3864" t="s">
        <v>28</v>
      </c>
      <c r="E3864" t="s">
        <v>24</v>
      </c>
      <c r="F3864" t="s">
        <v>14</v>
      </c>
      <c r="G3864" s="4">
        <v>11</v>
      </c>
      <c r="H3864" s="1">
        <v>9109</v>
      </c>
      <c r="I3864" s="3" t="s">
        <v>15</v>
      </c>
      <c r="J3864" s="4">
        <v>2</v>
      </c>
    </row>
    <row r="3865" spans="1:10" x14ac:dyDescent="0.35">
      <c r="A3865" s="2" t="s">
        <v>3901</v>
      </c>
      <c r="B3865" s="4">
        <v>84</v>
      </c>
      <c r="C3865" t="s">
        <v>17</v>
      </c>
      <c r="D3865" t="s">
        <v>18</v>
      </c>
      <c r="E3865" t="s">
        <v>53</v>
      </c>
      <c r="F3865" t="s">
        <v>14</v>
      </c>
      <c r="G3865" s="4">
        <v>12</v>
      </c>
      <c r="H3865" s="1">
        <v>36109</v>
      </c>
      <c r="I3865" s="3" t="s">
        <v>15</v>
      </c>
      <c r="J3865" s="4">
        <v>3</v>
      </c>
    </row>
    <row r="3866" spans="1:10" x14ac:dyDescent="0.35">
      <c r="A3866" s="2" t="s">
        <v>3902</v>
      </c>
      <c r="B3866" s="4">
        <v>49</v>
      </c>
      <c r="C3866" t="s">
        <v>17</v>
      </c>
      <c r="D3866" t="s">
        <v>41</v>
      </c>
      <c r="E3866" t="s">
        <v>34</v>
      </c>
      <c r="F3866" t="s">
        <v>30</v>
      </c>
      <c r="G3866" s="4">
        <v>6</v>
      </c>
      <c r="H3866" s="1">
        <v>51790</v>
      </c>
      <c r="I3866" s="3" t="s">
        <v>15</v>
      </c>
      <c r="J3866" s="4">
        <v>5</v>
      </c>
    </row>
    <row r="3867" spans="1:10" x14ac:dyDescent="0.35">
      <c r="A3867" s="2" t="s">
        <v>3903</v>
      </c>
      <c r="B3867" s="4">
        <v>43</v>
      </c>
      <c r="C3867" t="s">
        <v>17</v>
      </c>
      <c r="D3867" t="s">
        <v>23</v>
      </c>
      <c r="E3867" t="s">
        <v>13</v>
      </c>
      <c r="F3867" t="s">
        <v>20</v>
      </c>
      <c r="G3867" s="4">
        <v>8</v>
      </c>
      <c r="H3867" s="1">
        <v>51825</v>
      </c>
      <c r="I3867" s="3" t="s">
        <v>21</v>
      </c>
      <c r="J3867" s="4">
        <v>5</v>
      </c>
    </row>
    <row r="3868" spans="1:10" x14ac:dyDescent="0.35">
      <c r="A3868" s="2" t="s">
        <v>3904</v>
      </c>
      <c r="B3868" s="4">
        <v>54</v>
      </c>
      <c r="C3868" t="s">
        <v>17</v>
      </c>
      <c r="D3868" t="s">
        <v>28</v>
      </c>
      <c r="E3868" t="s">
        <v>29</v>
      </c>
      <c r="F3868" t="s">
        <v>30</v>
      </c>
      <c r="G3868" s="4">
        <v>1</v>
      </c>
      <c r="H3868" s="1">
        <v>17907</v>
      </c>
      <c r="I3868" s="3" t="s">
        <v>21</v>
      </c>
      <c r="J3868" s="4">
        <v>3</v>
      </c>
    </row>
    <row r="3869" spans="1:10" x14ac:dyDescent="0.35">
      <c r="A3869" s="2" t="s">
        <v>3905</v>
      </c>
      <c r="B3869" s="4">
        <v>17</v>
      </c>
      <c r="C3869" t="s">
        <v>17</v>
      </c>
      <c r="D3869" t="s">
        <v>33</v>
      </c>
      <c r="E3869" t="s">
        <v>19</v>
      </c>
      <c r="F3869" t="s">
        <v>30</v>
      </c>
      <c r="G3869" s="4">
        <v>9</v>
      </c>
      <c r="H3869" s="1">
        <v>44077</v>
      </c>
      <c r="I3869" s="3" t="s">
        <v>15</v>
      </c>
      <c r="J3869" s="4">
        <v>5</v>
      </c>
    </row>
    <row r="3870" spans="1:10" x14ac:dyDescent="0.35">
      <c r="A3870" s="2" t="s">
        <v>3906</v>
      </c>
      <c r="B3870" s="4">
        <v>21</v>
      </c>
      <c r="C3870" t="s">
        <v>11</v>
      </c>
      <c r="D3870" t="s">
        <v>41</v>
      </c>
      <c r="E3870" t="s">
        <v>34</v>
      </c>
      <c r="F3870" t="s">
        <v>30</v>
      </c>
      <c r="G3870" s="4">
        <v>7</v>
      </c>
      <c r="H3870" s="1">
        <v>88830</v>
      </c>
      <c r="I3870" s="3" t="s">
        <v>15</v>
      </c>
      <c r="J3870" s="4">
        <v>5</v>
      </c>
    </row>
    <row r="3871" spans="1:10" x14ac:dyDescent="0.35">
      <c r="A3871" s="2" t="s">
        <v>3907</v>
      </c>
      <c r="B3871" s="4">
        <v>1</v>
      </c>
      <c r="C3871" t="s">
        <v>17</v>
      </c>
      <c r="D3871" t="s">
        <v>41</v>
      </c>
      <c r="E3871" t="s">
        <v>53</v>
      </c>
      <c r="F3871" t="s">
        <v>14</v>
      </c>
      <c r="G3871" s="4">
        <v>5</v>
      </c>
      <c r="H3871" s="1">
        <v>33086</v>
      </c>
      <c r="I3871" s="3" t="s">
        <v>15</v>
      </c>
      <c r="J3871" s="4">
        <v>1</v>
      </c>
    </row>
    <row r="3872" spans="1:10" x14ac:dyDescent="0.35">
      <c r="A3872" s="2" t="s">
        <v>3908</v>
      </c>
      <c r="B3872" s="4">
        <v>59</v>
      </c>
      <c r="C3872" t="s">
        <v>11</v>
      </c>
      <c r="D3872" t="s">
        <v>23</v>
      </c>
      <c r="E3872" t="s">
        <v>34</v>
      </c>
      <c r="F3872" t="s">
        <v>14</v>
      </c>
      <c r="G3872" s="4">
        <v>13</v>
      </c>
      <c r="H3872" s="1">
        <v>70311</v>
      </c>
      <c r="I3872" s="3" t="s">
        <v>15</v>
      </c>
      <c r="J3872" s="4">
        <v>2</v>
      </c>
    </row>
    <row r="3873" spans="1:10" x14ac:dyDescent="0.35">
      <c r="A3873" s="2" t="s">
        <v>3909</v>
      </c>
      <c r="B3873" s="4">
        <v>54</v>
      </c>
      <c r="C3873" t="s">
        <v>17</v>
      </c>
      <c r="D3873" t="s">
        <v>28</v>
      </c>
      <c r="E3873" t="s">
        <v>65</v>
      </c>
      <c r="F3873" t="s">
        <v>30</v>
      </c>
      <c r="G3873" s="4">
        <v>3</v>
      </c>
      <c r="H3873" s="1">
        <v>99577</v>
      </c>
      <c r="I3873" s="3" t="s">
        <v>15</v>
      </c>
      <c r="J3873" s="4">
        <v>1</v>
      </c>
    </row>
    <row r="3874" spans="1:10" x14ac:dyDescent="0.35">
      <c r="A3874" s="2" t="s">
        <v>3910</v>
      </c>
      <c r="B3874" s="4">
        <v>36</v>
      </c>
      <c r="C3874" t="s">
        <v>11</v>
      </c>
      <c r="D3874" t="s">
        <v>12</v>
      </c>
      <c r="E3874" t="s">
        <v>29</v>
      </c>
      <c r="F3874" t="s">
        <v>14</v>
      </c>
      <c r="G3874" s="4">
        <v>14</v>
      </c>
      <c r="H3874" s="1">
        <v>37070</v>
      </c>
      <c r="I3874" s="3" t="s">
        <v>21</v>
      </c>
      <c r="J3874" s="4">
        <v>5</v>
      </c>
    </row>
    <row r="3875" spans="1:10" x14ac:dyDescent="0.35">
      <c r="A3875" s="2" t="s">
        <v>3911</v>
      </c>
      <c r="B3875" s="4">
        <v>56</v>
      </c>
      <c r="C3875" t="s">
        <v>17</v>
      </c>
      <c r="D3875" t="s">
        <v>41</v>
      </c>
      <c r="E3875" t="s">
        <v>29</v>
      </c>
      <c r="F3875" t="s">
        <v>30</v>
      </c>
      <c r="G3875" s="4">
        <v>11</v>
      </c>
      <c r="H3875" s="1">
        <v>26850</v>
      </c>
      <c r="I3875" s="3" t="s">
        <v>21</v>
      </c>
      <c r="J3875" s="4">
        <v>3</v>
      </c>
    </row>
    <row r="3876" spans="1:10" x14ac:dyDescent="0.35">
      <c r="A3876" s="2" t="s">
        <v>3912</v>
      </c>
      <c r="B3876" s="4">
        <v>59</v>
      </c>
      <c r="C3876" t="s">
        <v>11</v>
      </c>
      <c r="D3876" t="s">
        <v>18</v>
      </c>
      <c r="E3876" t="s">
        <v>24</v>
      </c>
      <c r="F3876" t="s">
        <v>30</v>
      </c>
      <c r="G3876" s="4">
        <v>9</v>
      </c>
      <c r="H3876" s="1">
        <v>69208</v>
      </c>
      <c r="I3876" s="3" t="s">
        <v>21</v>
      </c>
      <c r="J3876" s="4">
        <v>4</v>
      </c>
    </row>
    <row r="3877" spans="1:10" x14ac:dyDescent="0.35">
      <c r="A3877" s="2" t="s">
        <v>3913</v>
      </c>
      <c r="B3877" s="4">
        <v>27</v>
      </c>
      <c r="C3877" t="s">
        <v>17</v>
      </c>
      <c r="D3877" t="s">
        <v>36</v>
      </c>
      <c r="E3877" t="s">
        <v>42</v>
      </c>
      <c r="F3877" t="s">
        <v>30</v>
      </c>
      <c r="G3877" s="4">
        <v>3</v>
      </c>
      <c r="H3877" s="1">
        <v>11220</v>
      </c>
      <c r="I3877" s="3" t="s">
        <v>21</v>
      </c>
      <c r="J3877" s="4">
        <v>1</v>
      </c>
    </row>
    <row r="3878" spans="1:10" x14ac:dyDescent="0.35">
      <c r="A3878" s="2" t="s">
        <v>3914</v>
      </c>
      <c r="B3878" s="4">
        <v>9</v>
      </c>
      <c r="C3878" t="s">
        <v>11</v>
      </c>
      <c r="D3878" t="s">
        <v>36</v>
      </c>
      <c r="E3878" t="s">
        <v>53</v>
      </c>
      <c r="F3878" t="s">
        <v>14</v>
      </c>
      <c r="G3878" s="4">
        <v>1</v>
      </c>
      <c r="H3878" s="1">
        <v>22844</v>
      </c>
      <c r="I3878" s="3" t="s">
        <v>21</v>
      </c>
      <c r="J3878" s="4">
        <v>5</v>
      </c>
    </row>
    <row r="3879" spans="1:10" x14ac:dyDescent="0.35">
      <c r="A3879" s="2" t="s">
        <v>3915</v>
      </c>
      <c r="B3879" s="4">
        <v>5</v>
      </c>
      <c r="C3879" t="s">
        <v>17</v>
      </c>
      <c r="D3879" t="s">
        <v>26</v>
      </c>
      <c r="E3879" t="s">
        <v>42</v>
      </c>
      <c r="F3879" t="s">
        <v>20</v>
      </c>
      <c r="G3879" s="4">
        <v>2</v>
      </c>
      <c r="H3879" s="1">
        <v>92575</v>
      </c>
      <c r="I3879" s="3" t="s">
        <v>15</v>
      </c>
      <c r="J3879" s="4">
        <v>1</v>
      </c>
    </row>
    <row r="3880" spans="1:10" x14ac:dyDescent="0.35">
      <c r="A3880" s="2" t="s">
        <v>3916</v>
      </c>
      <c r="B3880" s="4">
        <v>49</v>
      </c>
      <c r="C3880" t="s">
        <v>17</v>
      </c>
      <c r="D3880" t="s">
        <v>41</v>
      </c>
      <c r="E3880" t="s">
        <v>65</v>
      </c>
      <c r="F3880" t="s">
        <v>14</v>
      </c>
      <c r="G3880" s="4">
        <v>6</v>
      </c>
      <c r="H3880" s="1">
        <v>77665</v>
      </c>
      <c r="I3880" s="3" t="s">
        <v>21</v>
      </c>
      <c r="J3880" s="4">
        <v>1</v>
      </c>
    </row>
    <row r="3881" spans="1:10" x14ac:dyDescent="0.35">
      <c r="A3881" s="2" t="s">
        <v>3917</v>
      </c>
      <c r="B3881" s="4">
        <v>18</v>
      </c>
      <c r="C3881" t="s">
        <v>11</v>
      </c>
      <c r="D3881" t="s">
        <v>36</v>
      </c>
      <c r="E3881" t="s">
        <v>65</v>
      </c>
      <c r="F3881" t="s">
        <v>30</v>
      </c>
      <c r="G3881" s="4">
        <v>6</v>
      </c>
      <c r="H3881" s="1">
        <v>24952</v>
      </c>
      <c r="I3881" s="3" t="s">
        <v>21</v>
      </c>
      <c r="J3881" s="4">
        <v>4</v>
      </c>
    </row>
    <row r="3882" spans="1:10" x14ac:dyDescent="0.35">
      <c r="A3882" s="2" t="s">
        <v>3918</v>
      </c>
      <c r="B3882" s="4">
        <v>89</v>
      </c>
      <c r="C3882" t="s">
        <v>11</v>
      </c>
      <c r="D3882" t="s">
        <v>41</v>
      </c>
      <c r="E3882" t="s">
        <v>65</v>
      </c>
      <c r="F3882" t="s">
        <v>30</v>
      </c>
      <c r="G3882" s="4">
        <v>5</v>
      </c>
      <c r="H3882" s="1">
        <v>15750</v>
      </c>
      <c r="I3882" s="3" t="s">
        <v>15</v>
      </c>
      <c r="J3882" s="4">
        <v>2</v>
      </c>
    </row>
    <row r="3883" spans="1:10" x14ac:dyDescent="0.35">
      <c r="A3883" s="2" t="s">
        <v>3919</v>
      </c>
      <c r="B3883" s="4">
        <v>77</v>
      </c>
      <c r="C3883" t="s">
        <v>11</v>
      </c>
      <c r="D3883" t="s">
        <v>28</v>
      </c>
      <c r="E3883" t="s">
        <v>27</v>
      </c>
      <c r="F3883" t="s">
        <v>20</v>
      </c>
      <c r="G3883" s="4">
        <v>9</v>
      </c>
      <c r="H3883" s="1">
        <v>84883</v>
      </c>
      <c r="I3883" s="3" t="s">
        <v>21</v>
      </c>
      <c r="J3883" s="4">
        <v>5</v>
      </c>
    </row>
    <row r="3884" spans="1:10" x14ac:dyDescent="0.35">
      <c r="A3884" s="2" t="s">
        <v>3920</v>
      </c>
      <c r="B3884" s="4">
        <v>30</v>
      </c>
      <c r="C3884" t="s">
        <v>11</v>
      </c>
      <c r="D3884" t="s">
        <v>12</v>
      </c>
      <c r="E3884" t="s">
        <v>29</v>
      </c>
      <c r="F3884" t="s">
        <v>30</v>
      </c>
      <c r="G3884" s="4">
        <v>1</v>
      </c>
      <c r="H3884" s="1">
        <v>90068</v>
      </c>
      <c r="I3884" s="3" t="s">
        <v>15</v>
      </c>
      <c r="J3884" s="4">
        <v>5</v>
      </c>
    </row>
    <row r="3885" spans="1:10" x14ac:dyDescent="0.35">
      <c r="A3885" s="2" t="s">
        <v>3921</v>
      </c>
      <c r="B3885" s="4">
        <v>31</v>
      </c>
      <c r="C3885" t="s">
        <v>17</v>
      </c>
      <c r="D3885" t="s">
        <v>33</v>
      </c>
      <c r="E3885" t="s">
        <v>53</v>
      </c>
      <c r="F3885" t="s">
        <v>30</v>
      </c>
      <c r="G3885" s="4">
        <v>6</v>
      </c>
      <c r="H3885" s="1">
        <v>67130</v>
      </c>
      <c r="I3885" s="3" t="s">
        <v>15</v>
      </c>
      <c r="J3885" s="4">
        <v>5</v>
      </c>
    </row>
    <row r="3886" spans="1:10" x14ac:dyDescent="0.35">
      <c r="A3886" s="2" t="s">
        <v>3922</v>
      </c>
      <c r="B3886" s="4">
        <v>79</v>
      </c>
      <c r="C3886" t="s">
        <v>17</v>
      </c>
      <c r="D3886" t="s">
        <v>36</v>
      </c>
      <c r="E3886" t="s">
        <v>65</v>
      </c>
      <c r="F3886" t="s">
        <v>30</v>
      </c>
      <c r="G3886" s="4">
        <v>6</v>
      </c>
      <c r="H3886" s="1">
        <v>28915</v>
      </c>
      <c r="I3886" s="3" t="s">
        <v>21</v>
      </c>
      <c r="J3886" s="4">
        <v>1</v>
      </c>
    </row>
    <row r="3887" spans="1:10" x14ac:dyDescent="0.35">
      <c r="A3887" s="2" t="s">
        <v>3923</v>
      </c>
      <c r="B3887" s="4">
        <v>78</v>
      </c>
      <c r="C3887" t="s">
        <v>17</v>
      </c>
      <c r="D3887" t="s">
        <v>23</v>
      </c>
      <c r="E3887" t="s">
        <v>65</v>
      </c>
      <c r="F3887" t="s">
        <v>14</v>
      </c>
      <c r="G3887" s="4">
        <v>8</v>
      </c>
      <c r="H3887" s="1">
        <v>40846</v>
      </c>
      <c r="I3887" s="3" t="s">
        <v>15</v>
      </c>
      <c r="J3887" s="4">
        <v>2</v>
      </c>
    </row>
    <row r="3888" spans="1:10" x14ac:dyDescent="0.35">
      <c r="A3888" s="2" t="s">
        <v>3924</v>
      </c>
      <c r="B3888" s="4">
        <v>19</v>
      </c>
      <c r="C3888" t="s">
        <v>11</v>
      </c>
      <c r="D3888" t="s">
        <v>26</v>
      </c>
      <c r="E3888" t="s">
        <v>37</v>
      </c>
      <c r="F3888" t="s">
        <v>20</v>
      </c>
      <c r="G3888" s="4">
        <v>1</v>
      </c>
      <c r="H3888" s="1">
        <v>84874</v>
      </c>
      <c r="I3888" s="3" t="s">
        <v>15</v>
      </c>
      <c r="J3888" s="4">
        <v>5</v>
      </c>
    </row>
    <row r="3889" spans="1:10" x14ac:dyDescent="0.35">
      <c r="A3889" s="2" t="s">
        <v>3925</v>
      </c>
      <c r="B3889" s="4">
        <v>81</v>
      </c>
      <c r="C3889" t="s">
        <v>11</v>
      </c>
      <c r="D3889" t="s">
        <v>12</v>
      </c>
      <c r="E3889" t="s">
        <v>53</v>
      </c>
      <c r="F3889" t="s">
        <v>20</v>
      </c>
      <c r="G3889" s="4">
        <v>14</v>
      </c>
      <c r="H3889" s="1">
        <v>15008</v>
      </c>
      <c r="I3889" s="3" t="s">
        <v>15</v>
      </c>
      <c r="J3889" s="4">
        <v>3</v>
      </c>
    </row>
    <row r="3890" spans="1:10" x14ac:dyDescent="0.35">
      <c r="A3890" s="2" t="s">
        <v>3926</v>
      </c>
      <c r="B3890" s="4">
        <v>67</v>
      </c>
      <c r="C3890" t="s">
        <v>17</v>
      </c>
      <c r="D3890" t="s">
        <v>12</v>
      </c>
      <c r="E3890" t="s">
        <v>53</v>
      </c>
      <c r="F3890" t="s">
        <v>20</v>
      </c>
      <c r="G3890" s="4">
        <v>7</v>
      </c>
      <c r="H3890" s="1">
        <v>18054</v>
      </c>
      <c r="I3890" s="3" t="s">
        <v>21</v>
      </c>
      <c r="J3890" s="4">
        <v>1</v>
      </c>
    </row>
    <row r="3891" spans="1:10" x14ac:dyDescent="0.35">
      <c r="A3891" s="2" t="s">
        <v>3927</v>
      </c>
      <c r="B3891" s="4">
        <v>55</v>
      </c>
      <c r="C3891" t="s">
        <v>17</v>
      </c>
      <c r="D3891" t="s">
        <v>36</v>
      </c>
      <c r="E3891" t="s">
        <v>24</v>
      </c>
      <c r="F3891" t="s">
        <v>30</v>
      </c>
      <c r="G3891" s="4">
        <v>7</v>
      </c>
      <c r="H3891" s="1">
        <v>31062</v>
      </c>
      <c r="I3891" s="3" t="s">
        <v>21</v>
      </c>
      <c r="J3891" s="4">
        <v>5</v>
      </c>
    </row>
    <row r="3892" spans="1:10" x14ac:dyDescent="0.35">
      <c r="A3892" s="2" t="s">
        <v>3928</v>
      </c>
      <c r="B3892" s="4">
        <v>45</v>
      </c>
      <c r="C3892" t="s">
        <v>11</v>
      </c>
      <c r="D3892" t="s">
        <v>28</v>
      </c>
      <c r="E3892" t="s">
        <v>42</v>
      </c>
      <c r="F3892" t="s">
        <v>14</v>
      </c>
      <c r="G3892" s="4">
        <v>12</v>
      </c>
      <c r="H3892" s="1">
        <v>62698</v>
      </c>
      <c r="I3892" s="3" t="s">
        <v>21</v>
      </c>
      <c r="J3892" s="4">
        <v>4</v>
      </c>
    </row>
    <row r="3893" spans="1:10" x14ac:dyDescent="0.35">
      <c r="A3893" s="2" t="s">
        <v>3929</v>
      </c>
      <c r="B3893" s="4">
        <v>12</v>
      </c>
      <c r="C3893" t="s">
        <v>11</v>
      </c>
      <c r="D3893" t="s">
        <v>49</v>
      </c>
      <c r="E3893" t="s">
        <v>19</v>
      </c>
      <c r="F3893" t="s">
        <v>20</v>
      </c>
      <c r="G3893" s="4">
        <v>6</v>
      </c>
      <c r="H3893" s="1">
        <v>24633</v>
      </c>
      <c r="I3893" s="3" t="s">
        <v>21</v>
      </c>
      <c r="J3893" s="4">
        <v>4</v>
      </c>
    </row>
    <row r="3894" spans="1:10" x14ac:dyDescent="0.35">
      <c r="A3894" s="2" t="s">
        <v>3930</v>
      </c>
      <c r="B3894" s="4">
        <v>62</v>
      </c>
      <c r="C3894" t="s">
        <v>17</v>
      </c>
      <c r="D3894" t="s">
        <v>39</v>
      </c>
      <c r="E3894" t="s">
        <v>34</v>
      </c>
      <c r="F3894" t="s">
        <v>20</v>
      </c>
      <c r="G3894" s="4">
        <v>13</v>
      </c>
      <c r="H3894" s="1">
        <v>91003</v>
      </c>
      <c r="I3894" s="3" t="s">
        <v>21</v>
      </c>
      <c r="J3894" s="4">
        <v>3</v>
      </c>
    </row>
    <row r="3895" spans="1:10" x14ac:dyDescent="0.35">
      <c r="A3895" s="2" t="s">
        <v>3931</v>
      </c>
      <c r="B3895" s="4">
        <v>33</v>
      </c>
      <c r="C3895" t="s">
        <v>11</v>
      </c>
      <c r="D3895" t="s">
        <v>18</v>
      </c>
      <c r="E3895" t="s">
        <v>29</v>
      </c>
      <c r="F3895" t="s">
        <v>30</v>
      </c>
      <c r="G3895" s="4">
        <v>5</v>
      </c>
      <c r="H3895" s="1">
        <v>65707</v>
      </c>
      <c r="I3895" s="3" t="s">
        <v>21</v>
      </c>
      <c r="J3895" s="4">
        <v>2</v>
      </c>
    </row>
    <row r="3896" spans="1:10" x14ac:dyDescent="0.35">
      <c r="A3896" s="2" t="s">
        <v>3932</v>
      </c>
      <c r="B3896" s="4">
        <v>66</v>
      </c>
      <c r="C3896" t="s">
        <v>17</v>
      </c>
      <c r="D3896" t="s">
        <v>23</v>
      </c>
      <c r="E3896" t="s">
        <v>34</v>
      </c>
      <c r="F3896" t="s">
        <v>20</v>
      </c>
      <c r="G3896" s="4">
        <v>8</v>
      </c>
      <c r="H3896" s="1">
        <v>18218</v>
      </c>
      <c r="I3896" s="3" t="s">
        <v>21</v>
      </c>
      <c r="J3896" s="4">
        <v>4</v>
      </c>
    </row>
    <row r="3897" spans="1:10" x14ac:dyDescent="0.35">
      <c r="A3897" s="2" t="s">
        <v>3933</v>
      </c>
      <c r="B3897" s="4">
        <v>76</v>
      </c>
      <c r="C3897" t="s">
        <v>17</v>
      </c>
      <c r="D3897" t="s">
        <v>23</v>
      </c>
      <c r="E3897" t="s">
        <v>13</v>
      </c>
      <c r="F3897" t="s">
        <v>30</v>
      </c>
      <c r="G3897" s="4">
        <v>5</v>
      </c>
      <c r="H3897" s="1">
        <v>16136</v>
      </c>
      <c r="I3897" s="3" t="s">
        <v>21</v>
      </c>
      <c r="J3897" s="4">
        <v>5</v>
      </c>
    </row>
    <row r="3898" spans="1:10" x14ac:dyDescent="0.35">
      <c r="A3898" s="2" t="s">
        <v>3934</v>
      </c>
      <c r="B3898" s="4">
        <v>78</v>
      </c>
      <c r="C3898" t="s">
        <v>11</v>
      </c>
      <c r="D3898" t="s">
        <v>39</v>
      </c>
      <c r="E3898" t="s">
        <v>19</v>
      </c>
      <c r="F3898" t="s">
        <v>30</v>
      </c>
      <c r="G3898" s="4">
        <v>2</v>
      </c>
      <c r="H3898" s="1">
        <v>71534</v>
      </c>
      <c r="I3898" s="3" t="s">
        <v>15</v>
      </c>
      <c r="J3898" s="4">
        <v>5</v>
      </c>
    </row>
    <row r="3899" spans="1:10" x14ac:dyDescent="0.35">
      <c r="A3899" s="2" t="s">
        <v>3935</v>
      </c>
      <c r="B3899" s="4">
        <v>34</v>
      </c>
      <c r="C3899" t="s">
        <v>17</v>
      </c>
      <c r="D3899" t="s">
        <v>12</v>
      </c>
      <c r="E3899" t="s">
        <v>13</v>
      </c>
      <c r="F3899" t="s">
        <v>30</v>
      </c>
      <c r="G3899" s="4">
        <v>3</v>
      </c>
      <c r="H3899" s="1">
        <v>58719</v>
      </c>
      <c r="I3899" s="3" t="s">
        <v>15</v>
      </c>
      <c r="J3899" s="4">
        <v>2</v>
      </c>
    </row>
    <row r="3900" spans="1:10" x14ac:dyDescent="0.35">
      <c r="A3900" s="2" t="s">
        <v>3936</v>
      </c>
      <c r="B3900" s="4">
        <v>85</v>
      </c>
      <c r="C3900" t="s">
        <v>17</v>
      </c>
      <c r="D3900" t="s">
        <v>23</v>
      </c>
      <c r="E3900" t="s">
        <v>27</v>
      </c>
      <c r="F3900" t="s">
        <v>20</v>
      </c>
      <c r="G3900" s="4">
        <v>5</v>
      </c>
      <c r="H3900" s="1">
        <v>85444</v>
      </c>
      <c r="I3900" s="3" t="s">
        <v>21</v>
      </c>
      <c r="J3900" s="4">
        <v>3</v>
      </c>
    </row>
    <row r="3901" spans="1:10" x14ac:dyDescent="0.35">
      <c r="A3901" s="2" t="s">
        <v>3937</v>
      </c>
      <c r="B3901" s="4">
        <v>76</v>
      </c>
      <c r="C3901" t="s">
        <v>17</v>
      </c>
      <c r="D3901" t="s">
        <v>28</v>
      </c>
      <c r="E3901" t="s">
        <v>65</v>
      </c>
      <c r="F3901" t="s">
        <v>30</v>
      </c>
      <c r="G3901" s="4">
        <v>12</v>
      </c>
      <c r="H3901" s="1">
        <v>17746</v>
      </c>
      <c r="I3901" s="3" t="s">
        <v>21</v>
      </c>
      <c r="J3901" s="4">
        <v>3</v>
      </c>
    </row>
    <row r="3902" spans="1:10" x14ac:dyDescent="0.35">
      <c r="A3902" s="2" t="s">
        <v>3938</v>
      </c>
      <c r="B3902" s="4">
        <v>24</v>
      </c>
      <c r="C3902" t="s">
        <v>11</v>
      </c>
      <c r="D3902" t="s">
        <v>18</v>
      </c>
      <c r="E3902" t="s">
        <v>37</v>
      </c>
      <c r="F3902" t="s">
        <v>30</v>
      </c>
      <c r="G3902" s="4">
        <v>2</v>
      </c>
      <c r="H3902" s="1">
        <v>80573</v>
      </c>
      <c r="I3902" s="3" t="s">
        <v>15</v>
      </c>
      <c r="J3902" s="4">
        <v>4</v>
      </c>
    </row>
    <row r="3903" spans="1:10" x14ac:dyDescent="0.35">
      <c r="A3903" s="2" t="s">
        <v>3939</v>
      </c>
      <c r="B3903" s="4">
        <v>84</v>
      </c>
      <c r="C3903" t="s">
        <v>11</v>
      </c>
      <c r="D3903" t="s">
        <v>36</v>
      </c>
      <c r="E3903" t="s">
        <v>53</v>
      </c>
      <c r="F3903" t="s">
        <v>30</v>
      </c>
      <c r="G3903" s="4">
        <v>11</v>
      </c>
      <c r="H3903" s="1">
        <v>42735</v>
      </c>
      <c r="I3903" s="3" t="s">
        <v>15</v>
      </c>
      <c r="J3903" s="4">
        <v>4</v>
      </c>
    </row>
    <row r="3904" spans="1:10" x14ac:dyDescent="0.35">
      <c r="A3904" s="2" t="s">
        <v>3940</v>
      </c>
      <c r="B3904" s="4">
        <v>74</v>
      </c>
      <c r="C3904" t="s">
        <v>11</v>
      </c>
      <c r="D3904" t="s">
        <v>33</v>
      </c>
      <c r="E3904" t="s">
        <v>27</v>
      </c>
      <c r="F3904" t="s">
        <v>14</v>
      </c>
      <c r="G3904" s="4">
        <v>4</v>
      </c>
      <c r="H3904" s="1">
        <v>28770</v>
      </c>
      <c r="I3904" s="3" t="s">
        <v>21</v>
      </c>
      <c r="J3904" s="4">
        <v>2</v>
      </c>
    </row>
    <row r="3905" spans="1:10" x14ac:dyDescent="0.35">
      <c r="A3905" s="2" t="s">
        <v>3941</v>
      </c>
      <c r="B3905" s="4">
        <v>49</v>
      </c>
      <c r="C3905" t="s">
        <v>11</v>
      </c>
      <c r="D3905" t="s">
        <v>23</v>
      </c>
      <c r="E3905" t="s">
        <v>65</v>
      </c>
      <c r="F3905" t="s">
        <v>20</v>
      </c>
      <c r="G3905" s="4">
        <v>4</v>
      </c>
      <c r="H3905" s="1">
        <v>44092</v>
      </c>
      <c r="I3905" s="3" t="s">
        <v>21</v>
      </c>
      <c r="J3905" s="4">
        <v>3</v>
      </c>
    </row>
    <row r="3906" spans="1:10" x14ac:dyDescent="0.35">
      <c r="A3906" s="2" t="s">
        <v>3942</v>
      </c>
      <c r="B3906" s="4">
        <v>10</v>
      </c>
      <c r="C3906" t="s">
        <v>17</v>
      </c>
      <c r="D3906" t="s">
        <v>36</v>
      </c>
      <c r="E3906" t="s">
        <v>53</v>
      </c>
      <c r="F3906" t="s">
        <v>20</v>
      </c>
      <c r="G3906" s="4">
        <v>12</v>
      </c>
      <c r="H3906" s="1">
        <v>73474</v>
      </c>
      <c r="I3906" s="3" t="s">
        <v>21</v>
      </c>
      <c r="J3906" s="4">
        <v>2</v>
      </c>
    </row>
    <row r="3907" spans="1:10" x14ac:dyDescent="0.35">
      <c r="A3907" s="2" t="s">
        <v>3943</v>
      </c>
      <c r="B3907" s="4">
        <v>44</v>
      </c>
      <c r="C3907" t="s">
        <v>17</v>
      </c>
      <c r="D3907" t="s">
        <v>49</v>
      </c>
      <c r="E3907" t="s">
        <v>34</v>
      </c>
      <c r="F3907" t="s">
        <v>30</v>
      </c>
      <c r="G3907" s="4">
        <v>11</v>
      </c>
      <c r="H3907" s="1">
        <v>17998</v>
      </c>
      <c r="I3907" s="3" t="s">
        <v>15</v>
      </c>
      <c r="J3907" s="4">
        <v>3</v>
      </c>
    </row>
    <row r="3908" spans="1:10" x14ac:dyDescent="0.35">
      <c r="A3908" s="2" t="s">
        <v>3944</v>
      </c>
      <c r="B3908" s="4">
        <v>54</v>
      </c>
      <c r="C3908" t="s">
        <v>11</v>
      </c>
      <c r="D3908" t="s">
        <v>18</v>
      </c>
      <c r="E3908" t="s">
        <v>19</v>
      </c>
      <c r="F3908" t="s">
        <v>20</v>
      </c>
      <c r="G3908" s="4">
        <v>10</v>
      </c>
      <c r="H3908" s="1">
        <v>37923</v>
      </c>
      <c r="I3908" s="3" t="s">
        <v>21</v>
      </c>
      <c r="J3908" s="4">
        <v>5</v>
      </c>
    </row>
    <row r="3909" spans="1:10" x14ac:dyDescent="0.35">
      <c r="A3909" s="2" t="s">
        <v>3945</v>
      </c>
      <c r="B3909" s="4">
        <v>9</v>
      </c>
      <c r="C3909" t="s">
        <v>11</v>
      </c>
      <c r="D3909" t="s">
        <v>41</v>
      </c>
      <c r="E3909" t="s">
        <v>34</v>
      </c>
      <c r="F3909" t="s">
        <v>14</v>
      </c>
      <c r="G3909" s="4">
        <v>5</v>
      </c>
      <c r="H3909" s="1">
        <v>45756</v>
      </c>
      <c r="I3909" s="3" t="s">
        <v>15</v>
      </c>
      <c r="J3909" s="4">
        <v>4</v>
      </c>
    </row>
    <row r="3910" spans="1:10" x14ac:dyDescent="0.35">
      <c r="A3910" s="2" t="s">
        <v>3946</v>
      </c>
      <c r="B3910" s="4">
        <v>19</v>
      </c>
      <c r="C3910" t="s">
        <v>17</v>
      </c>
      <c r="D3910" t="s">
        <v>41</v>
      </c>
      <c r="E3910" t="s">
        <v>13</v>
      </c>
      <c r="F3910" t="s">
        <v>20</v>
      </c>
      <c r="G3910" s="4">
        <v>4</v>
      </c>
      <c r="H3910" s="1">
        <v>60592</v>
      </c>
      <c r="I3910" s="3" t="s">
        <v>21</v>
      </c>
      <c r="J3910" s="4">
        <v>1</v>
      </c>
    </row>
    <row r="3911" spans="1:10" x14ac:dyDescent="0.35">
      <c r="A3911" s="2" t="s">
        <v>3947</v>
      </c>
      <c r="B3911" s="4">
        <v>42</v>
      </c>
      <c r="C3911" t="s">
        <v>11</v>
      </c>
      <c r="D3911" t="s">
        <v>26</v>
      </c>
      <c r="E3911" t="s">
        <v>19</v>
      </c>
      <c r="F3911" t="s">
        <v>14</v>
      </c>
      <c r="G3911" s="4">
        <v>12</v>
      </c>
      <c r="H3911" s="1">
        <v>83013</v>
      </c>
      <c r="I3911" s="3" t="s">
        <v>15</v>
      </c>
      <c r="J3911" s="4">
        <v>5</v>
      </c>
    </row>
    <row r="3912" spans="1:10" x14ac:dyDescent="0.35">
      <c r="A3912" s="2" t="s">
        <v>3948</v>
      </c>
      <c r="B3912" s="4">
        <v>85</v>
      </c>
      <c r="C3912" t="s">
        <v>11</v>
      </c>
      <c r="D3912" t="s">
        <v>23</v>
      </c>
      <c r="E3912" t="s">
        <v>34</v>
      </c>
      <c r="F3912" t="s">
        <v>20</v>
      </c>
      <c r="G3912" s="4">
        <v>7</v>
      </c>
      <c r="H3912" s="1">
        <v>52481</v>
      </c>
      <c r="I3912" s="3" t="s">
        <v>15</v>
      </c>
      <c r="J3912" s="4">
        <v>5</v>
      </c>
    </row>
    <row r="3913" spans="1:10" x14ac:dyDescent="0.35">
      <c r="A3913" s="2" t="s">
        <v>3949</v>
      </c>
      <c r="B3913" s="4">
        <v>51</v>
      </c>
      <c r="C3913" t="s">
        <v>11</v>
      </c>
      <c r="D3913" t="s">
        <v>49</v>
      </c>
      <c r="E3913" t="s">
        <v>27</v>
      </c>
      <c r="F3913" t="s">
        <v>14</v>
      </c>
      <c r="G3913" s="4">
        <v>5</v>
      </c>
      <c r="H3913" s="1">
        <v>32761</v>
      </c>
      <c r="I3913" s="3" t="s">
        <v>15</v>
      </c>
      <c r="J3913" s="4">
        <v>2</v>
      </c>
    </row>
    <row r="3914" spans="1:10" x14ac:dyDescent="0.35">
      <c r="A3914" s="2" t="s">
        <v>3950</v>
      </c>
      <c r="B3914" s="4">
        <v>84</v>
      </c>
      <c r="C3914" t="s">
        <v>11</v>
      </c>
      <c r="D3914" t="s">
        <v>18</v>
      </c>
      <c r="E3914" t="s">
        <v>37</v>
      </c>
      <c r="F3914" t="s">
        <v>20</v>
      </c>
      <c r="G3914" s="4">
        <v>3</v>
      </c>
      <c r="H3914" s="1">
        <v>92342</v>
      </c>
      <c r="I3914" s="3" t="s">
        <v>15</v>
      </c>
      <c r="J3914" s="4">
        <v>4</v>
      </c>
    </row>
    <row r="3915" spans="1:10" x14ac:dyDescent="0.35">
      <c r="A3915" s="2" t="s">
        <v>3951</v>
      </c>
      <c r="B3915" s="4">
        <v>22</v>
      </c>
      <c r="C3915" t="s">
        <v>17</v>
      </c>
      <c r="D3915" t="s">
        <v>28</v>
      </c>
      <c r="E3915" t="s">
        <v>53</v>
      </c>
      <c r="F3915" t="s">
        <v>20</v>
      </c>
      <c r="G3915" s="4">
        <v>2</v>
      </c>
      <c r="H3915" s="1">
        <v>8719</v>
      </c>
      <c r="I3915" s="3" t="s">
        <v>21</v>
      </c>
      <c r="J3915" s="4">
        <v>5</v>
      </c>
    </row>
    <row r="3916" spans="1:10" x14ac:dyDescent="0.35">
      <c r="A3916" s="2" t="s">
        <v>3952</v>
      </c>
      <c r="B3916" s="4">
        <v>12</v>
      </c>
      <c r="C3916" t="s">
        <v>17</v>
      </c>
      <c r="D3916" t="s">
        <v>23</v>
      </c>
      <c r="E3916" t="s">
        <v>24</v>
      </c>
      <c r="F3916" t="s">
        <v>30</v>
      </c>
      <c r="G3916" s="4">
        <v>15</v>
      </c>
      <c r="H3916" s="1">
        <v>94170</v>
      </c>
      <c r="I3916" s="3" t="s">
        <v>21</v>
      </c>
      <c r="J3916" s="4">
        <v>5</v>
      </c>
    </row>
    <row r="3917" spans="1:10" x14ac:dyDescent="0.35">
      <c r="A3917" s="2" t="s">
        <v>3953</v>
      </c>
      <c r="B3917" s="4">
        <v>45</v>
      </c>
      <c r="C3917" t="s">
        <v>17</v>
      </c>
      <c r="D3917" t="s">
        <v>23</v>
      </c>
      <c r="E3917" t="s">
        <v>42</v>
      </c>
      <c r="F3917" t="s">
        <v>30</v>
      </c>
      <c r="G3917" s="4">
        <v>2</v>
      </c>
      <c r="H3917" s="1">
        <v>89196</v>
      </c>
      <c r="I3917" s="3" t="s">
        <v>15</v>
      </c>
      <c r="J3917" s="4">
        <v>1</v>
      </c>
    </row>
    <row r="3918" spans="1:10" x14ac:dyDescent="0.35">
      <c r="A3918" s="2" t="s">
        <v>3954</v>
      </c>
      <c r="B3918" s="4">
        <v>17</v>
      </c>
      <c r="C3918" t="s">
        <v>17</v>
      </c>
      <c r="D3918" t="s">
        <v>41</v>
      </c>
      <c r="E3918" t="s">
        <v>53</v>
      </c>
      <c r="F3918" t="s">
        <v>14</v>
      </c>
      <c r="G3918" s="4">
        <v>4</v>
      </c>
      <c r="H3918" s="1">
        <v>57021</v>
      </c>
      <c r="I3918" s="3" t="s">
        <v>21</v>
      </c>
      <c r="J3918" s="4">
        <v>3</v>
      </c>
    </row>
    <row r="3919" spans="1:10" x14ac:dyDescent="0.35">
      <c r="A3919" s="2" t="s">
        <v>3955</v>
      </c>
      <c r="B3919" s="4">
        <v>42</v>
      </c>
      <c r="C3919" t="s">
        <v>11</v>
      </c>
      <c r="D3919" t="s">
        <v>33</v>
      </c>
      <c r="E3919" t="s">
        <v>27</v>
      </c>
      <c r="F3919" t="s">
        <v>20</v>
      </c>
      <c r="G3919" s="4">
        <v>14</v>
      </c>
      <c r="H3919" s="1">
        <v>76712</v>
      </c>
      <c r="I3919" s="3" t="s">
        <v>21</v>
      </c>
      <c r="J3919" s="4">
        <v>5</v>
      </c>
    </row>
    <row r="3920" spans="1:10" x14ac:dyDescent="0.35">
      <c r="A3920" s="2" t="s">
        <v>3956</v>
      </c>
      <c r="B3920" s="4">
        <v>78</v>
      </c>
      <c r="C3920" t="s">
        <v>17</v>
      </c>
      <c r="D3920" t="s">
        <v>33</v>
      </c>
      <c r="E3920" t="s">
        <v>19</v>
      </c>
      <c r="F3920" t="s">
        <v>20</v>
      </c>
      <c r="G3920" s="4">
        <v>15</v>
      </c>
      <c r="H3920" s="1">
        <v>54387</v>
      </c>
      <c r="I3920" s="3" t="s">
        <v>15</v>
      </c>
      <c r="J3920" s="4">
        <v>3</v>
      </c>
    </row>
    <row r="3921" spans="1:10" x14ac:dyDescent="0.35">
      <c r="A3921" s="2" t="s">
        <v>3957</v>
      </c>
      <c r="B3921" s="4">
        <v>7</v>
      </c>
      <c r="C3921" t="s">
        <v>11</v>
      </c>
      <c r="D3921" t="s">
        <v>23</v>
      </c>
      <c r="E3921" t="s">
        <v>34</v>
      </c>
      <c r="F3921" t="s">
        <v>30</v>
      </c>
      <c r="G3921" s="4">
        <v>15</v>
      </c>
      <c r="H3921" s="1">
        <v>64586</v>
      </c>
      <c r="I3921" s="3" t="s">
        <v>15</v>
      </c>
      <c r="J3921" s="4">
        <v>3</v>
      </c>
    </row>
    <row r="3922" spans="1:10" x14ac:dyDescent="0.35">
      <c r="A3922" s="2" t="s">
        <v>3958</v>
      </c>
      <c r="B3922" s="4">
        <v>18</v>
      </c>
      <c r="C3922" t="s">
        <v>17</v>
      </c>
      <c r="D3922" t="s">
        <v>33</v>
      </c>
      <c r="E3922" t="s">
        <v>27</v>
      </c>
      <c r="F3922" t="s">
        <v>30</v>
      </c>
      <c r="G3922" s="4">
        <v>12</v>
      </c>
      <c r="H3922" s="1">
        <v>65267</v>
      </c>
      <c r="I3922" s="3" t="s">
        <v>21</v>
      </c>
      <c r="J3922" s="4">
        <v>3</v>
      </c>
    </row>
    <row r="3923" spans="1:10" x14ac:dyDescent="0.35">
      <c r="A3923" s="2" t="s">
        <v>3959</v>
      </c>
      <c r="B3923" s="4">
        <v>36</v>
      </c>
      <c r="C3923" t="s">
        <v>11</v>
      </c>
      <c r="D3923" t="s">
        <v>26</v>
      </c>
      <c r="E3923" t="s">
        <v>53</v>
      </c>
      <c r="F3923" t="s">
        <v>30</v>
      </c>
      <c r="G3923" s="4">
        <v>9</v>
      </c>
      <c r="H3923" s="1">
        <v>63662</v>
      </c>
      <c r="I3923" s="3" t="s">
        <v>21</v>
      </c>
      <c r="J3923" s="4">
        <v>1</v>
      </c>
    </row>
    <row r="3924" spans="1:10" x14ac:dyDescent="0.35">
      <c r="A3924" s="2" t="s">
        <v>3960</v>
      </c>
      <c r="B3924" s="4">
        <v>68</v>
      </c>
      <c r="C3924" t="s">
        <v>11</v>
      </c>
      <c r="D3924" t="s">
        <v>26</v>
      </c>
      <c r="E3924" t="s">
        <v>37</v>
      </c>
      <c r="F3924" t="s">
        <v>30</v>
      </c>
      <c r="G3924" s="4">
        <v>7</v>
      </c>
      <c r="H3924" s="1">
        <v>83308</v>
      </c>
      <c r="I3924" s="3" t="s">
        <v>15</v>
      </c>
      <c r="J3924" s="4">
        <v>5</v>
      </c>
    </row>
    <row r="3925" spans="1:10" x14ac:dyDescent="0.35">
      <c r="A3925" s="2" t="s">
        <v>3961</v>
      </c>
      <c r="B3925" s="4">
        <v>37</v>
      </c>
      <c r="C3925" t="s">
        <v>11</v>
      </c>
      <c r="D3925" t="s">
        <v>18</v>
      </c>
      <c r="E3925" t="s">
        <v>29</v>
      </c>
      <c r="F3925" t="s">
        <v>14</v>
      </c>
      <c r="G3925" s="4">
        <v>12</v>
      </c>
      <c r="H3925" s="1">
        <v>80486</v>
      </c>
      <c r="I3925" s="3" t="s">
        <v>15</v>
      </c>
      <c r="J3925" s="4">
        <v>4</v>
      </c>
    </row>
    <row r="3926" spans="1:10" x14ac:dyDescent="0.35">
      <c r="A3926" s="2" t="s">
        <v>3962</v>
      </c>
      <c r="B3926" s="4">
        <v>7</v>
      </c>
      <c r="C3926" t="s">
        <v>17</v>
      </c>
      <c r="D3926" t="s">
        <v>12</v>
      </c>
      <c r="E3926" t="s">
        <v>29</v>
      </c>
      <c r="F3926" t="s">
        <v>30</v>
      </c>
      <c r="G3926" s="4">
        <v>7</v>
      </c>
      <c r="H3926" s="1">
        <v>5137</v>
      </c>
      <c r="I3926" s="3" t="s">
        <v>15</v>
      </c>
      <c r="J3926" s="4">
        <v>4</v>
      </c>
    </row>
    <row r="3927" spans="1:10" x14ac:dyDescent="0.35">
      <c r="A3927" s="2" t="s">
        <v>3963</v>
      </c>
      <c r="B3927" s="4">
        <v>74</v>
      </c>
      <c r="C3927" t="s">
        <v>11</v>
      </c>
      <c r="D3927" t="s">
        <v>41</v>
      </c>
      <c r="E3927" t="s">
        <v>42</v>
      </c>
      <c r="F3927" t="s">
        <v>20</v>
      </c>
      <c r="G3927" s="4">
        <v>2</v>
      </c>
      <c r="H3927" s="1">
        <v>48880</v>
      </c>
      <c r="I3927" s="3" t="s">
        <v>15</v>
      </c>
      <c r="J3927" s="4">
        <v>3</v>
      </c>
    </row>
    <row r="3928" spans="1:10" x14ac:dyDescent="0.35">
      <c r="A3928" s="2" t="s">
        <v>3964</v>
      </c>
      <c r="B3928" s="4">
        <v>81</v>
      </c>
      <c r="C3928" t="s">
        <v>17</v>
      </c>
      <c r="D3928" t="s">
        <v>18</v>
      </c>
      <c r="E3928" t="s">
        <v>19</v>
      </c>
      <c r="F3928" t="s">
        <v>30</v>
      </c>
      <c r="G3928" s="4">
        <v>7</v>
      </c>
      <c r="H3928" s="1">
        <v>17394</v>
      </c>
      <c r="I3928" s="3" t="s">
        <v>21</v>
      </c>
      <c r="J3928" s="4">
        <v>4</v>
      </c>
    </row>
    <row r="3929" spans="1:10" x14ac:dyDescent="0.35">
      <c r="A3929" s="2" t="s">
        <v>3965</v>
      </c>
      <c r="B3929" s="4">
        <v>72</v>
      </c>
      <c r="C3929" t="s">
        <v>11</v>
      </c>
      <c r="D3929" t="s">
        <v>18</v>
      </c>
      <c r="E3929" t="s">
        <v>42</v>
      </c>
      <c r="F3929" t="s">
        <v>20</v>
      </c>
      <c r="G3929" s="4">
        <v>2</v>
      </c>
      <c r="H3929" s="1">
        <v>42811</v>
      </c>
      <c r="I3929" s="3" t="s">
        <v>21</v>
      </c>
      <c r="J3929" s="4">
        <v>1</v>
      </c>
    </row>
    <row r="3930" spans="1:10" x14ac:dyDescent="0.35">
      <c r="A3930" s="2" t="s">
        <v>3966</v>
      </c>
      <c r="B3930" s="4">
        <v>2</v>
      </c>
      <c r="C3930" t="s">
        <v>11</v>
      </c>
      <c r="D3930" t="s">
        <v>36</v>
      </c>
      <c r="E3930" t="s">
        <v>27</v>
      </c>
      <c r="F3930" t="s">
        <v>20</v>
      </c>
      <c r="G3930" s="4">
        <v>9</v>
      </c>
      <c r="H3930" s="1">
        <v>62547</v>
      </c>
      <c r="I3930" s="3" t="s">
        <v>21</v>
      </c>
      <c r="J3930" s="4">
        <v>3</v>
      </c>
    </row>
    <row r="3931" spans="1:10" x14ac:dyDescent="0.35">
      <c r="A3931" s="2" t="s">
        <v>3967</v>
      </c>
      <c r="B3931" s="4">
        <v>53</v>
      </c>
      <c r="C3931" t="s">
        <v>11</v>
      </c>
      <c r="D3931" t="s">
        <v>39</v>
      </c>
      <c r="E3931" t="s">
        <v>37</v>
      </c>
      <c r="F3931" t="s">
        <v>30</v>
      </c>
      <c r="G3931" s="4">
        <v>12</v>
      </c>
      <c r="H3931" s="1">
        <v>40073</v>
      </c>
      <c r="I3931" s="3" t="s">
        <v>15</v>
      </c>
      <c r="J3931" s="4">
        <v>1</v>
      </c>
    </row>
    <row r="3932" spans="1:10" x14ac:dyDescent="0.35">
      <c r="A3932" s="2" t="s">
        <v>3968</v>
      </c>
      <c r="B3932" s="4">
        <v>90</v>
      </c>
      <c r="C3932" t="s">
        <v>17</v>
      </c>
      <c r="D3932" t="s">
        <v>36</v>
      </c>
      <c r="E3932" t="s">
        <v>42</v>
      </c>
      <c r="F3932" t="s">
        <v>30</v>
      </c>
      <c r="G3932" s="4">
        <v>8</v>
      </c>
      <c r="H3932" s="1">
        <v>25688</v>
      </c>
      <c r="I3932" s="3" t="s">
        <v>21</v>
      </c>
      <c r="J3932" s="4">
        <v>2</v>
      </c>
    </row>
    <row r="3933" spans="1:10" x14ac:dyDescent="0.35">
      <c r="A3933" s="2" t="s">
        <v>3969</v>
      </c>
      <c r="B3933" s="4">
        <v>38</v>
      </c>
      <c r="C3933" t="s">
        <v>17</v>
      </c>
      <c r="D3933" t="s">
        <v>23</v>
      </c>
      <c r="E3933" t="s">
        <v>27</v>
      </c>
      <c r="F3933" t="s">
        <v>30</v>
      </c>
      <c r="G3933" s="4">
        <v>7</v>
      </c>
      <c r="H3933" s="1">
        <v>72001</v>
      </c>
      <c r="I3933" s="3" t="s">
        <v>21</v>
      </c>
      <c r="J3933" s="4">
        <v>1</v>
      </c>
    </row>
    <row r="3934" spans="1:10" x14ac:dyDescent="0.35">
      <c r="A3934" s="2" t="s">
        <v>3970</v>
      </c>
      <c r="B3934" s="4">
        <v>80</v>
      </c>
      <c r="C3934" t="s">
        <v>11</v>
      </c>
      <c r="D3934" t="s">
        <v>39</v>
      </c>
      <c r="E3934" t="s">
        <v>24</v>
      </c>
      <c r="F3934" t="s">
        <v>20</v>
      </c>
      <c r="G3934" s="4">
        <v>10</v>
      </c>
      <c r="H3934" s="1">
        <v>13109</v>
      </c>
      <c r="I3934" s="3" t="s">
        <v>21</v>
      </c>
      <c r="J3934" s="4">
        <v>4</v>
      </c>
    </row>
    <row r="3935" spans="1:10" x14ac:dyDescent="0.35">
      <c r="A3935" s="2" t="s">
        <v>3971</v>
      </c>
      <c r="B3935" s="4">
        <v>7</v>
      </c>
      <c r="C3935" t="s">
        <v>17</v>
      </c>
      <c r="D3935" t="s">
        <v>26</v>
      </c>
      <c r="E3935" t="s">
        <v>65</v>
      </c>
      <c r="F3935" t="s">
        <v>20</v>
      </c>
      <c r="G3935" s="4">
        <v>11</v>
      </c>
      <c r="H3935" s="1">
        <v>72230</v>
      </c>
      <c r="I3935" s="3" t="s">
        <v>15</v>
      </c>
      <c r="J3935" s="4">
        <v>3</v>
      </c>
    </row>
    <row r="3936" spans="1:10" x14ac:dyDescent="0.35">
      <c r="A3936" s="2" t="s">
        <v>3972</v>
      </c>
      <c r="B3936" s="4">
        <v>72</v>
      </c>
      <c r="C3936" t="s">
        <v>17</v>
      </c>
      <c r="D3936" t="s">
        <v>41</v>
      </c>
      <c r="E3936" t="s">
        <v>65</v>
      </c>
      <c r="F3936" t="s">
        <v>20</v>
      </c>
      <c r="G3936" s="4">
        <v>2</v>
      </c>
      <c r="H3936" s="1">
        <v>20694</v>
      </c>
      <c r="I3936" s="3" t="s">
        <v>21</v>
      </c>
      <c r="J3936" s="4">
        <v>2</v>
      </c>
    </row>
    <row r="3937" spans="1:10" x14ac:dyDescent="0.35">
      <c r="A3937" s="2" t="s">
        <v>3973</v>
      </c>
      <c r="B3937" s="4">
        <v>52</v>
      </c>
      <c r="C3937" t="s">
        <v>11</v>
      </c>
      <c r="D3937" t="s">
        <v>26</v>
      </c>
      <c r="E3937" t="s">
        <v>19</v>
      </c>
      <c r="F3937" t="s">
        <v>20</v>
      </c>
      <c r="G3937" s="4">
        <v>15</v>
      </c>
      <c r="H3937" s="1">
        <v>70950</v>
      </c>
      <c r="I3937" s="3" t="s">
        <v>15</v>
      </c>
      <c r="J3937" s="4">
        <v>1</v>
      </c>
    </row>
    <row r="3938" spans="1:10" x14ac:dyDescent="0.35">
      <c r="A3938" s="2" t="s">
        <v>3974</v>
      </c>
      <c r="B3938" s="4">
        <v>87</v>
      </c>
      <c r="C3938" t="s">
        <v>17</v>
      </c>
      <c r="D3938" t="s">
        <v>41</v>
      </c>
      <c r="E3938" t="s">
        <v>37</v>
      </c>
      <c r="F3938" t="s">
        <v>14</v>
      </c>
      <c r="G3938" s="4">
        <v>10</v>
      </c>
      <c r="H3938" s="1">
        <v>84966</v>
      </c>
      <c r="I3938" s="3" t="s">
        <v>15</v>
      </c>
      <c r="J3938" s="4">
        <v>1</v>
      </c>
    </row>
    <row r="3939" spans="1:10" x14ac:dyDescent="0.35">
      <c r="A3939" s="2" t="s">
        <v>3975</v>
      </c>
      <c r="B3939" s="4">
        <v>36</v>
      </c>
      <c r="C3939" t="s">
        <v>11</v>
      </c>
      <c r="D3939" t="s">
        <v>26</v>
      </c>
      <c r="E3939" t="s">
        <v>42</v>
      </c>
      <c r="F3939" t="s">
        <v>14</v>
      </c>
      <c r="G3939" s="4">
        <v>4</v>
      </c>
      <c r="H3939" s="1">
        <v>80886</v>
      </c>
      <c r="I3939" s="3" t="s">
        <v>15</v>
      </c>
      <c r="J3939" s="4">
        <v>2</v>
      </c>
    </row>
    <row r="3940" spans="1:10" x14ac:dyDescent="0.35">
      <c r="A3940" s="2" t="s">
        <v>3976</v>
      </c>
      <c r="B3940" s="4">
        <v>8</v>
      </c>
      <c r="C3940" t="s">
        <v>11</v>
      </c>
      <c r="D3940" t="s">
        <v>33</v>
      </c>
      <c r="E3940" t="s">
        <v>42</v>
      </c>
      <c r="F3940" t="s">
        <v>20</v>
      </c>
      <c r="G3940" s="4">
        <v>3</v>
      </c>
      <c r="H3940" s="1">
        <v>56145</v>
      </c>
      <c r="I3940" s="3" t="s">
        <v>21</v>
      </c>
      <c r="J3940" s="4">
        <v>5</v>
      </c>
    </row>
    <row r="3941" spans="1:10" x14ac:dyDescent="0.35">
      <c r="A3941" s="2" t="s">
        <v>3977</v>
      </c>
      <c r="B3941" s="4">
        <v>20</v>
      </c>
      <c r="C3941" t="s">
        <v>11</v>
      </c>
      <c r="D3941" t="s">
        <v>12</v>
      </c>
      <c r="E3941" t="s">
        <v>13</v>
      </c>
      <c r="F3941" t="s">
        <v>14</v>
      </c>
      <c r="G3941" s="4">
        <v>10</v>
      </c>
      <c r="H3941" s="1">
        <v>80282</v>
      </c>
      <c r="I3941" s="3" t="s">
        <v>21</v>
      </c>
      <c r="J3941" s="4">
        <v>5</v>
      </c>
    </row>
    <row r="3942" spans="1:10" x14ac:dyDescent="0.35">
      <c r="A3942" s="2" t="s">
        <v>3978</v>
      </c>
      <c r="B3942" s="4">
        <v>11</v>
      </c>
      <c r="C3942" t="s">
        <v>17</v>
      </c>
      <c r="D3942" t="s">
        <v>39</v>
      </c>
      <c r="E3942" t="s">
        <v>53</v>
      </c>
      <c r="F3942" t="s">
        <v>14</v>
      </c>
      <c r="G3942" s="4">
        <v>14</v>
      </c>
      <c r="H3942" s="1">
        <v>52087</v>
      </c>
      <c r="I3942" s="3" t="s">
        <v>15</v>
      </c>
      <c r="J3942" s="4">
        <v>3</v>
      </c>
    </row>
    <row r="3943" spans="1:10" x14ac:dyDescent="0.35">
      <c r="A3943" s="2" t="s">
        <v>3979</v>
      </c>
      <c r="B3943" s="4">
        <v>26</v>
      </c>
      <c r="C3943" t="s">
        <v>11</v>
      </c>
      <c r="D3943" t="s">
        <v>39</v>
      </c>
      <c r="E3943" t="s">
        <v>27</v>
      </c>
      <c r="F3943" t="s">
        <v>14</v>
      </c>
      <c r="G3943" s="4">
        <v>6</v>
      </c>
      <c r="H3943" s="1">
        <v>79694</v>
      </c>
      <c r="I3943" s="3" t="s">
        <v>15</v>
      </c>
      <c r="J3943" s="4">
        <v>1</v>
      </c>
    </row>
    <row r="3944" spans="1:10" x14ac:dyDescent="0.35">
      <c r="A3944" s="2" t="s">
        <v>3980</v>
      </c>
      <c r="B3944" s="4">
        <v>33</v>
      </c>
      <c r="C3944" t="s">
        <v>17</v>
      </c>
      <c r="D3944" t="s">
        <v>18</v>
      </c>
      <c r="E3944" t="s">
        <v>27</v>
      </c>
      <c r="F3944" t="s">
        <v>14</v>
      </c>
      <c r="G3944" s="4">
        <v>4</v>
      </c>
      <c r="H3944" s="1">
        <v>87167</v>
      </c>
      <c r="I3944" s="3" t="s">
        <v>15</v>
      </c>
      <c r="J3944" s="4">
        <v>3</v>
      </c>
    </row>
    <row r="3945" spans="1:10" x14ac:dyDescent="0.35">
      <c r="A3945" s="2" t="s">
        <v>3981</v>
      </c>
      <c r="B3945" s="4">
        <v>81</v>
      </c>
      <c r="C3945" t="s">
        <v>17</v>
      </c>
      <c r="D3945" t="s">
        <v>12</v>
      </c>
      <c r="E3945" t="s">
        <v>24</v>
      </c>
      <c r="F3945" t="s">
        <v>14</v>
      </c>
      <c r="G3945" s="4">
        <v>1</v>
      </c>
      <c r="H3945" s="1">
        <v>98374</v>
      </c>
      <c r="I3945" s="3" t="s">
        <v>21</v>
      </c>
      <c r="J3945" s="4">
        <v>3</v>
      </c>
    </row>
    <row r="3946" spans="1:10" x14ac:dyDescent="0.35">
      <c r="A3946" s="2" t="s">
        <v>3982</v>
      </c>
      <c r="B3946" s="4">
        <v>11</v>
      </c>
      <c r="C3946" t="s">
        <v>11</v>
      </c>
      <c r="D3946" t="s">
        <v>36</v>
      </c>
      <c r="E3946" t="s">
        <v>37</v>
      </c>
      <c r="F3946" t="s">
        <v>14</v>
      </c>
      <c r="G3946" s="4">
        <v>4</v>
      </c>
      <c r="H3946" s="1">
        <v>36886</v>
      </c>
      <c r="I3946" s="3" t="s">
        <v>15</v>
      </c>
      <c r="J3946" s="4">
        <v>5</v>
      </c>
    </row>
    <row r="3947" spans="1:10" x14ac:dyDescent="0.35">
      <c r="A3947" s="2" t="s">
        <v>3983</v>
      </c>
      <c r="B3947" s="4">
        <v>60</v>
      </c>
      <c r="C3947" t="s">
        <v>17</v>
      </c>
      <c r="D3947" t="s">
        <v>49</v>
      </c>
      <c r="E3947" t="s">
        <v>24</v>
      </c>
      <c r="F3947" t="s">
        <v>30</v>
      </c>
      <c r="G3947" s="4">
        <v>7</v>
      </c>
      <c r="H3947" s="1">
        <v>40625</v>
      </c>
      <c r="I3947" s="3" t="s">
        <v>15</v>
      </c>
      <c r="J3947" s="4">
        <v>2</v>
      </c>
    </row>
    <row r="3948" spans="1:10" x14ac:dyDescent="0.35">
      <c r="A3948" s="2" t="s">
        <v>3984</v>
      </c>
      <c r="B3948" s="4">
        <v>9</v>
      </c>
      <c r="C3948" t="s">
        <v>11</v>
      </c>
      <c r="D3948" t="s">
        <v>41</v>
      </c>
      <c r="E3948" t="s">
        <v>19</v>
      </c>
      <c r="F3948" t="s">
        <v>20</v>
      </c>
      <c r="G3948" s="4">
        <v>6</v>
      </c>
      <c r="H3948" s="1">
        <v>45592</v>
      </c>
      <c r="I3948" s="3" t="s">
        <v>15</v>
      </c>
      <c r="J3948" s="4">
        <v>2</v>
      </c>
    </row>
    <row r="3949" spans="1:10" x14ac:dyDescent="0.35">
      <c r="A3949" s="2" t="s">
        <v>3985</v>
      </c>
      <c r="B3949" s="4">
        <v>90</v>
      </c>
      <c r="C3949" t="s">
        <v>17</v>
      </c>
      <c r="D3949" t="s">
        <v>26</v>
      </c>
      <c r="E3949" t="s">
        <v>29</v>
      </c>
      <c r="F3949" t="s">
        <v>20</v>
      </c>
      <c r="G3949" s="4">
        <v>5</v>
      </c>
      <c r="H3949" s="1">
        <v>77943</v>
      </c>
      <c r="I3949" s="3" t="s">
        <v>21</v>
      </c>
      <c r="J3949" s="4">
        <v>2</v>
      </c>
    </row>
    <row r="3950" spans="1:10" x14ac:dyDescent="0.35">
      <c r="A3950" s="2" t="s">
        <v>3986</v>
      </c>
      <c r="B3950" s="4">
        <v>40</v>
      </c>
      <c r="C3950" t="s">
        <v>17</v>
      </c>
      <c r="D3950" t="s">
        <v>12</v>
      </c>
      <c r="E3950" t="s">
        <v>34</v>
      </c>
      <c r="F3950" t="s">
        <v>14</v>
      </c>
      <c r="G3950" s="4">
        <v>9</v>
      </c>
      <c r="H3950" s="1">
        <v>81988</v>
      </c>
      <c r="I3950" s="3" t="s">
        <v>21</v>
      </c>
      <c r="J3950" s="4">
        <v>1</v>
      </c>
    </row>
    <row r="3951" spans="1:10" x14ac:dyDescent="0.35">
      <c r="A3951" s="2" t="s">
        <v>3987</v>
      </c>
      <c r="B3951" s="4">
        <v>48</v>
      </c>
      <c r="C3951" t="s">
        <v>11</v>
      </c>
      <c r="D3951" t="s">
        <v>23</v>
      </c>
      <c r="E3951" t="s">
        <v>24</v>
      </c>
      <c r="F3951" t="s">
        <v>20</v>
      </c>
      <c r="G3951" s="4">
        <v>13</v>
      </c>
      <c r="H3951" s="1">
        <v>85320</v>
      </c>
      <c r="I3951" s="3" t="s">
        <v>15</v>
      </c>
      <c r="J3951" s="4">
        <v>4</v>
      </c>
    </row>
    <row r="3952" spans="1:10" x14ac:dyDescent="0.35">
      <c r="A3952" s="2" t="s">
        <v>3988</v>
      </c>
      <c r="B3952" s="4">
        <v>2</v>
      </c>
      <c r="C3952" t="s">
        <v>17</v>
      </c>
      <c r="D3952" t="s">
        <v>39</v>
      </c>
      <c r="E3952" t="s">
        <v>34</v>
      </c>
      <c r="F3952" t="s">
        <v>30</v>
      </c>
      <c r="G3952" s="4">
        <v>9</v>
      </c>
      <c r="H3952" s="1">
        <v>36490</v>
      </c>
      <c r="I3952" s="3" t="s">
        <v>15</v>
      </c>
      <c r="J3952" s="4">
        <v>3</v>
      </c>
    </row>
    <row r="3953" spans="1:10" x14ac:dyDescent="0.35">
      <c r="A3953" s="2" t="s">
        <v>3989</v>
      </c>
      <c r="B3953" s="4">
        <v>90</v>
      </c>
      <c r="C3953" t="s">
        <v>17</v>
      </c>
      <c r="D3953" t="s">
        <v>23</v>
      </c>
      <c r="E3953" t="s">
        <v>37</v>
      </c>
      <c r="F3953" t="s">
        <v>14</v>
      </c>
      <c r="G3953" s="4">
        <v>4</v>
      </c>
      <c r="H3953" s="1">
        <v>39868</v>
      </c>
      <c r="I3953" s="3" t="s">
        <v>21</v>
      </c>
      <c r="J3953" s="4">
        <v>2</v>
      </c>
    </row>
    <row r="3954" spans="1:10" x14ac:dyDescent="0.35">
      <c r="A3954" s="2" t="s">
        <v>3990</v>
      </c>
      <c r="B3954" s="4">
        <v>69</v>
      </c>
      <c r="C3954" t="s">
        <v>11</v>
      </c>
      <c r="D3954" t="s">
        <v>18</v>
      </c>
      <c r="E3954" t="s">
        <v>24</v>
      </c>
      <c r="F3954" t="s">
        <v>30</v>
      </c>
      <c r="G3954" s="4">
        <v>2</v>
      </c>
      <c r="H3954" s="1">
        <v>76513</v>
      </c>
      <c r="I3954" s="3" t="s">
        <v>15</v>
      </c>
      <c r="J3954" s="4">
        <v>3</v>
      </c>
    </row>
    <row r="3955" spans="1:10" x14ac:dyDescent="0.35">
      <c r="A3955" s="2" t="s">
        <v>3991</v>
      </c>
      <c r="B3955" s="4">
        <v>40</v>
      </c>
      <c r="C3955" t="s">
        <v>11</v>
      </c>
      <c r="D3955" t="s">
        <v>18</v>
      </c>
      <c r="E3955" t="s">
        <v>34</v>
      </c>
      <c r="F3955" t="s">
        <v>20</v>
      </c>
      <c r="G3955" s="4">
        <v>13</v>
      </c>
      <c r="H3955" s="1">
        <v>46623</v>
      </c>
      <c r="I3955" s="3" t="s">
        <v>15</v>
      </c>
      <c r="J3955" s="4">
        <v>4</v>
      </c>
    </row>
    <row r="3956" spans="1:10" x14ac:dyDescent="0.35">
      <c r="A3956" s="2" t="s">
        <v>3992</v>
      </c>
      <c r="B3956" s="4">
        <v>73</v>
      </c>
      <c r="C3956" t="s">
        <v>17</v>
      </c>
      <c r="D3956" t="s">
        <v>41</v>
      </c>
      <c r="E3956" t="s">
        <v>34</v>
      </c>
      <c r="F3956" t="s">
        <v>30</v>
      </c>
      <c r="G3956" s="4">
        <v>5</v>
      </c>
      <c r="H3956" s="1">
        <v>75639</v>
      </c>
      <c r="I3956" s="3" t="s">
        <v>21</v>
      </c>
      <c r="J3956" s="4">
        <v>3</v>
      </c>
    </row>
    <row r="3957" spans="1:10" x14ac:dyDescent="0.35">
      <c r="A3957" s="2" t="s">
        <v>3993</v>
      </c>
      <c r="B3957" s="4">
        <v>51</v>
      </c>
      <c r="C3957" t="s">
        <v>17</v>
      </c>
      <c r="D3957" t="s">
        <v>28</v>
      </c>
      <c r="E3957" t="s">
        <v>34</v>
      </c>
      <c r="F3957" t="s">
        <v>14</v>
      </c>
      <c r="G3957" s="4">
        <v>11</v>
      </c>
      <c r="H3957" s="1">
        <v>74252</v>
      </c>
      <c r="I3957" s="3" t="s">
        <v>21</v>
      </c>
      <c r="J3957" s="4">
        <v>3</v>
      </c>
    </row>
    <row r="3958" spans="1:10" x14ac:dyDescent="0.35">
      <c r="A3958" s="2" t="s">
        <v>3994</v>
      </c>
      <c r="B3958" s="4">
        <v>60</v>
      </c>
      <c r="C3958" t="s">
        <v>17</v>
      </c>
      <c r="D3958" t="s">
        <v>39</v>
      </c>
      <c r="E3958" t="s">
        <v>42</v>
      </c>
      <c r="F3958" t="s">
        <v>14</v>
      </c>
      <c r="G3958" s="4">
        <v>1</v>
      </c>
      <c r="H3958" s="1">
        <v>95273</v>
      </c>
      <c r="I3958" s="3" t="s">
        <v>21</v>
      </c>
      <c r="J3958" s="4">
        <v>4</v>
      </c>
    </row>
    <row r="3959" spans="1:10" x14ac:dyDescent="0.35">
      <c r="A3959" s="2" t="s">
        <v>3995</v>
      </c>
      <c r="B3959" s="4">
        <v>30</v>
      </c>
      <c r="C3959" t="s">
        <v>11</v>
      </c>
      <c r="D3959" t="s">
        <v>39</v>
      </c>
      <c r="E3959" t="s">
        <v>24</v>
      </c>
      <c r="F3959" t="s">
        <v>20</v>
      </c>
      <c r="G3959" s="4">
        <v>6</v>
      </c>
      <c r="H3959" s="1">
        <v>6500</v>
      </c>
      <c r="I3959" s="3" t="s">
        <v>21</v>
      </c>
      <c r="J3959" s="4">
        <v>2</v>
      </c>
    </row>
    <row r="3960" spans="1:10" x14ac:dyDescent="0.35">
      <c r="A3960" s="2" t="s">
        <v>3996</v>
      </c>
      <c r="B3960" s="4">
        <v>48</v>
      </c>
      <c r="C3960" t="s">
        <v>11</v>
      </c>
      <c r="D3960" t="s">
        <v>36</v>
      </c>
      <c r="E3960" t="s">
        <v>65</v>
      </c>
      <c r="F3960" t="s">
        <v>14</v>
      </c>
      <c r="G3960" s="4">
        <v>15</v>
      </c>
      <c r="H3960" s="1">
        <v>71837</v>
      </c>
      <c r="I3960" s="3" t="s">
        <v>15</v>
      </c>
      <c r="J3960" s="4">
        <v>3</v>
      </c>
    </row>
    <row r="3961" spans="1:10" x14ac:dyDescent="0.35">
      <c r="A3961" s="2" t="s">
        <v>3997</v>
      </c>
      <c r="B3961" s="4">
        <v>40</v>
      </c>
      <c r="C3961" t="s">
        <v>17</v>
      </c>
      <c r="D3961" t="s">
        <v>26</v>
      </c>
      <c r="E3961" t="s">
        <v>34</v>
      </c>
      <c r="F3961" t="s">
        <v>20</v>
      </c>
      <c r="G3961" s="4">
        <v>10</v>
      </c>
      <c r="H3961" s="1">
        <v>98322</v>
      </c>
      <c r="I3961" s="3" t="s">
        <v>21</v>
      </c>
      <c r="J3961" s="4">
        <v>5</v>
      </c>
    </row>
    <row r="3962" spans="1:10" x14ac:dyDescent="0.35">
      <c r="A3962" s="2" t="s">
        <v>3998</v>
      </c>
      <c r="B3962" s="4">
        <v>19</v>
      </c>
      <c r="C3962" t="s">
        <v>11</v>
      </c>
      <c r="D3962" t="s">
        <v>36</v>
      </c>
      <c r="E3962" t="s">
        <v>37</v>
      </c>
      <c r="F3962" t="s">
        <v>30</v>
      </c>
      <c r="G3962" s="4">
        <v>10</v>
      </c>
      <c r="H3962" s="1">
        <v>77895</v>
      </c>
      <c r="I3962" s="3" t="s">
        <v>15</v>
      </c>
      <c r="J3962" s="4">
        <v>2</v>
      </c>
    </row>
    <row r="3963" spans="1:10" x14ac:dyDescent="0.35">
      <c r="A3963" s="2" t="s">
        <v>3999</v>
      </c>
      <c r="B3963" s="4">
        <v>3</v>
      </c>
      <c r="C3963" t="s">
        <v>17</v>
      </c>
      <c r="D3963" t="s">
        <v>26</v>
      </c>
      <c r="E3963" t="s">
        <v>27</v>
      </c>
      <c r="F3963" t="s">
        <v>20</v>
      </c>
      <c r="G3963" s="4">
        <v>3</v>
      </c>
      <c r="H3963" s="1">
        <v>60023</v>
      </c>
      <c r="I3963" s="3" t="s">
        <v>21</v>
      </c>
      <c r="J3963" s="4">
        <v>5</v>
      </c>
    </row>
    <row r="3964" spans="1:10" x14ac:dyDescent="0.35">
      <c r="A3964" s="2" t="s">
        <v>4000</v>
      </c>
      <c r="B3964" s="4">
        <v>86</v>
      </c>
      <c r="C3964" t="s">
        <v>17</v>
      </c>
      <c r="D3964" t="s">
        <v>18</v>
      </c>
      <c r="E3964" t="s">
        <v>13</v>
      </c>
      <c r="F3964" t="s">
        <v>20</v>
      </c>
      <c r="G3964" s="4">
        <v>15</v>
      </c>
      <c r="H3964" s="1">
        <v>75634</v>
      </c>
      <c r="I3964" s="3" t="s">
        <v>21</v>
      </c>
      <c r="J3964" s="4">
        <v>2</v>
      </c>
    </row>
    <row r="3965" spans="1:10" x14ac:dyDescent="0.35">
      <c r="A3965" s="2" t="s">
        <v>4001</v>
      </c>
      <c r="B3965" s="4">
        <v>50</v>
      </c>
      <c r="C3965" t="s">
        <v>17</v>
      </c>
      <c r="D3965" t="s">
        <v>41</v>
      </c>
      <c r="E3965" t="s">
        <v>27</v>
      </c>
      <c r="F3965" t="s">
        <v>20</v>
      </c>
      <c r="G3965" s="4">
        <v>6</v>
      </c>
      <c r="H3965" s="1">
        <v>85547</v>
      </c>
      <c r="I3965" s="3" t="s">
        <v>21</v>
      </c>
      <c r="J3965" s="4">
        <v>2</v>
      </c>
    </row>
    <row r="3966" spans="1:10" x14ac:dyDescent="0.35">
      <c r="A3966" s="2" t="s">
        <v>4002</v>
      </c>
      <c r="B3966" s="4">
        <v>12</v>
      </c>
      <c r="C3966" t="s">
        <v>11</v>
      </c>
      <c r="D3966" t="s">
        <v>28</v>
      </c>
      <c r="E3966" t="s">
        <v>42</v>
      </c>
      <c r="F3966" t="s">
        <v>20</v>
      </c>
      <c r="G3966" s="4">
        <v>8</v>
      </c>
      <c r="H3966" s="1">
        <v>92132</v>
      </c>
      <c r="I3966" s="3" t="s">
        <v>21</v>
      </c>
      <c r="J3966" s="4">
        <v>2</v>
      </c>
    </row>
    <row r="3967" spans="1:10" x14ac:dyDescent="0.35">
      <c r="A3967" s="2" t="s">
        <v>4003</v>
      </c>
      <c r="B3967" s="4">
        <v>26</v>
      </c>
      <c r="C3967" t="s">
        <v>11</v>
      </c>
      <c r="D3967" t="s">
        <v>23</v>
      </c>
      <c r="E3967" t="s">
        <v>34</v>
      </c>
      <c r="F3967" t="s">
        <v>30</v>
      </c>
      <c r="G3967" s="4">
        <v>14</v>
      </c>
      <c r="H3967" s="1">
        <v>95486</v>
      </c>
      <c r="I3967" s="3" t="s">
        <v>15</v>
      </c>
      <c r="J3967" s="4">
        <v>1</v>
      </c>
    </row>
    <row r="3968" spans="1:10" x14ac:dyDescent="0.35">
      <c r="A3968" s="2" t="s">
        <v>4004</v>
      </c>
      <c r="B3968" s="4">
        <v>8</v>
      </c>
      <c r="C3968" t="s">
        <v>11</v>
      </c>
      <c r="D3968" t="s">
        <v>18</v>
      </c>
      <c r="E3968" t="s">
        <v>13</v>
      </c>
      <c r="F3968" t="s">
        <v>20</v>
      </c>
      <c r="G3968" s="4">
        <v>4</v>
      </c>
      <c r="H3968" s="1">
        <v>29550</v>
      </c>
      <c r="I3968" s="3" t="s">
        <v>15</v>
      </c>
      <c r="J3968" s="4">
        <v>3</v>
      </c>
    </row>
    <row r="3969" spans="1:10" x14ac:dyDescent="0.35">
      <c r="A3969" s="2" t="s">
        <v>4005</v>
      </c>
      <c r="B3969" s="4">
        <v>53</v>
      </c>
      <c r="C3969" t="s">
        <v>17</v>
      </c>
      <c r="D3969" t="s">
        <v>23</v>
      </c>
      <c r="E3969" t="s">
        <v>42</v>
      </c>
      <c r="F3969" t="s">
        <v>30</v>
      </c>
      <c r="G3969" s="4">
        <v>15</v>
      </c>
      <c r="H3969" s="1">
        <v>75362</v>
      </c>
      <c r="I3969" s="3" t="s">
        <v>15</v>
      </c>
      <c r="J3969" s="4">
        <v>2</v>
      </c>
    </row>
    <row r="3970" spans="1:10" x14ac:dyDescent="0.35">
      <c r="A3970" s="2" t="s">
        <v>4006</v>
      </c>
      <c r="B3970" s="4">
        <v>26</v>
      </c>
      <c r="C3970" t="s">
        <v>11</v>
      </c>
      <c r="D3970" t="s">
        <v>12</v>
      </c>
      <c r="E3970" t="s">
        <v>34</v>
      </c>
      <c r="F3970" t="s">
        <v>30</v>
      </c>
      <c r="G3970" s="4">
        <v>3</v>
      </c>
      <c r="H3970" s="1">
        <v>79385</v>
      </c>
      <c r="I3970" s="3" t="s">
        <v>21</v>
      </c>
      <c r="J3970" s="4">
        <v>3</v>
      </c>
    </row>
    <row r="3971" spans="1:10" x14ac:dyDescent="0.35">
      <c r="A3971" s="2" t="s">
        <v>4007</v>
      </c>
      <c r="B3971" s="4">
        <v>55</v>
      </c>
      <c r="C3971" t="s">
        <v>11</v>
      </c>
      <c r="D3971" t="s">
        <v>12</v>
      </c>
      <c r="E3971" t="s">
        <v>19</v>
      </c>
      <c r="F3971" t="s">
        <v>14</v>
      </c>
      <c r="G3971" s="4">
        <v>7</v>
      </c>
      <c r="H3971" s="1">
        <v>41871</v>
      </c>
      <c r="I3971" s="3" t="s">
        <v>21</v>
      </c>
      <c r="J3971" s="4">
        <v>1</v>
      </c>
    </row>
    <row r="3972" spans="1:10" x14ac:dyDescent="0.35">
      <c r="A3972" s="2" t="s">
        <v>4008</v>
      </c>
      <c r="B3972" s="4">
        <v>45</v>
      </c>
      <c r="C3972" t="s">
        <v>11</v>
      </c>
      <c r="D3972" t="s">
        <v>36</v>
      </c>
      <c r="E3972" t="s">
        <v>24</v>
      </c>
      <c r="F3972" t="s">
        <v>20</v>
      </c>
      <c r="G3972" s="4">
        <v>15</v>
      </c>
      <c r="H3972" s="1">
        <v>50931</v>
      </c>
      <c r="I3972" s="3" t="s">
        <v>21</v>
      </c>
      <c r="J3972" s="4">
        <v>3</v>
      </c>
    </row>
    <row r="3973" spans="1:10" x14ac:dyDescent="0.35">
      <c r="A3973" s="2" t="s">
        <v>4009</v>
      </c>
      <c r="B3973" s="4">
        <v>14</v>
      </c>
      <c r="C3973" t="s">
        <v>17</v>
      </c>
      <c r="D3973" t="s">
        <v>49</v>
      </c>
      <c r="E3973" t="s">
        <v>53</v>
      </c>
      <c r="F3973" t="s">
        <v>14</v>
      </c>
      <c r="G3973" s="4">
        <v>9</v>
      </c>
      <c r="H3973" s="1">
        <v>52973</v>
      </c>
      <c r="I3973" s="3" t="s">
        <v>21</v>
      </c>
      <c r="J3973" s="4">
        <v>5</v>
      </c>
    </row>
    <row r="3974" spans="1:10" x14ac:dyDescent="0.35">
      <c r="A3974" s="2" t="s">
        <v>4010</v>
      </c>
      <c r="B3974" s="4">
        <v>34</v>
      </c>
      <c r="C3974" t="s">
        <v>11</v>
      </c>
      <c r="D3974" t="s">
        <v>18</v>
      </c>
      <c r="E3974" t="s">
        <v>53</v>
      </c>
      <c r="F3974" t="s">
        <v>14</v>
      </c>
      <c r="G3974" s="4">
        <v>12</v>
      </c>
      <c r="H3974" s="1">
        <v>40932</v>
      </c>
      <c r="I3974" s="3" t="s">
        <v>15</v>
      </c>
      <c r="J3974" s="4">
        <v>4</v>
      </c>
    </row>
    <row r="3975" spans="1:10" x14ac:dyDescent="0.35">
      <c r="A3975" s="2" t="s">
        <v>4011</v>
      </c>
      <c r="B3975" s="4">
        <v>88</v>
      </c>
      <c r="C3975" t="s">
        <v>11</v>
      </c>
      <c r="D3975" t="s">
        <v>36</v>
      </c>
      <c r="E3975" t="s">
        <v>13</v>
      </c>
      <c r="F3975" t="s">
        <v>30</v>
      </c>
      <c r="G3975" s="4">
        <v>7</v>
      </c>
      <c r="H3975" s="1">
        <v>51632</v>
      </c>
      <c r="I3975" s="3" t="s">
        <v>21</v>
      </c>
      <c r="J3975" s="4">
        <v>2</v>
      </c>
    </row>
    <row r="3976" spans="1:10" x14ac:dyDescent="0.35">
      <c r="A3976" s="2" t="s">
        <v>4012</v>
      </c>
      <c r="B3976" s="4">
        <v>48</v>
      </c>
      <c r="C3976" t="s">
        <v>11</v>
      </c>
      <c r="D3976" t="s">
        <v>41</v>
      </c>
      <c r="E3976" t="s">
        <v>24</v>
      </c>
      <c r="F3976" t="s">
        <v>20</v>
      </c>
      <c r="G3976" s="4">
        <v>1</v>
      </c>
      <c r="H3976" s="1">
        <v>96462</v>
      </c>
      <c r="I3976" s="3" t="s">
        <v>21</v>
      </c>
      <c r="J3976" s="4">
        <v>1</v>
      </c>
    </row>
    <row r="3977" spans="1:10" x14ac:dyDescent="0.35">
      <c r="A3977" s="2" t="s">
        <v>4013</v>
      </c>
      <c r="B3977" s="4">
        <v>55</v>
      </c>
      <c r="C3977" t="s">
        <v>11</v>
      </c>
      <c r="D3977" t="s">
        <v>26</v>
      </c>
      <c r="E3977" t="s">
        <v>13</v>
      </c>
      <c r="F3977" t="s">
        <v>20</v>
      </c>
      <c r="G3977" s="4">
        <v>1</v>
      </c>
      <c r="H3977" s="1">
        <v>34887</v>
      </c>
      <c r="I3977" s="3" t="s">
        <v>15</v>
      </c>
      <c r="J3977" s="4">
        <v>1</v>
      </c>
    </row>
    <row r="3978" spans="1:10" x14ac:dyDescent="0.35">
      <c r="A3978" s="2" t="s">
        <v>4014</v>
      </c>
      <c r="B3978" s="4">
        <v>14</v>
      </c>
      <c r="C3978" t="s">
        <v>11</v>
      </c>
      <c r="D3978" t="s">
        <v>41</v>
      </c>
      <c r="E3978" t="s">
        <v>34</v>
      </c>
      <c r="F3978" t="s">
        <v>30</v>
      </c>
      <c r="G3978" s="4">
        <v>1</v>
      </c>
      <c r="H3978" s="1">
        <v>98216</v>
      </c>
      <c r="I3978" s="3" t="s">
        <v>15</v>
      </c>
      <c r="J3978" s="4">
        <v>5</v>
      </c>
    </row>
    <row r="3979" spans="1:10" x14ac:dyDescent="0.35">
      <c r="A3979" s="2" t="s">
        <v>4015</v>
      </c>
      <c r="B3979" s="4">
        <v>84</v>
      </c>
      <c r="C3979" t="s">
        <v>17</v>
      </c>
      <c r="D3979" t="s">
        <v>33</v>
      </c>
      <c r="E3979" t="s">
        <v>37</v>
      </c>
      <c r="F3979" t="s">
        <v>14</v>
      </c>
      <c r="G3979" s="4">
        <v>2</v>
      </c>
      <c r="H3979" s="1">
        <v>14696</v>
      </c>
      <c r="I3979" s="3" t="s">
        <v>21</v>
      </c>
      <c r="J3979" s="4">
        <v>5</v>
      </c>
    </row>
    <row r="3980" spans="1:10" x14ac:dyDescent="0.35">
      <c r="A3980" s="2" t="s">
        <v>4016</v>
      </c>
      <c r="B3980" s="4">
        <v>10</v>
      </c>
      <c r="C3980" t="s">
        <v>11</v>
      </c>
      <c r="D3980" t="s">
        <v>26</v>
      </c>
      <c r="E3980" t="s">
        <v>34</v>
      </c>
      <c r="F3980" t="s">
        <v>30</v>
      </c>
      <c r="G3980" s="4">
        <v>6</v>
      </c>
      <c r="H3980" s="1">
        <v>28811</v>
      </c>
      <c r="I3980" s="3" t="s">
        <v>15</v>
      </c>
      <c r="J3980" s="4">
        <v>3</v>
      </c>
    </row>
    <row r="3981" spans="1:10" x14ac:dyDescent="0.35">
      <c r="A3981" s="2" t="s">
        <v>4017</v>
      </c>
      <c r="B3981" s="4">
        <v>2</v>
      </c>
      <c r="C3981" t="s">
        <v>17</v>
      </c>
      <c r="D3981" t="s">
        <v>26</v>
      </c>
      <c r="E3981" t="s">
        <v>24</v>
      </c>
      <c r="F3981" t="s">
        <v>20</v>
      </c>
      <c r="G3981" s="4">
        <v>5</v>
      </c>
      <c r="H3981" s="1">
        <v>75585</v>
      </c>
      <c r="I3981" s="3" t="s">
        <v>15</v>
      </c>
      <c r="J3981" s="4">
        <v>3</v>
      </c>
    </row>
    <row r="3982" spans="1:10" x14ac:dyDescent="0.35">
      <c r="A3982" s="2" t="s">
        <v>4018</v>
      </c>
      <c r="B3982" s="4">
        <v>86</v>
      </c>
      <c r="C3982" t="s">
        <v>17</v>
      </c>
      <c r="D3982" t="s">
        <v>33</v>
      </c>
      <c r="E3982" t="s">
        <v>27</v>
      </c>
      <c r="F3982" t="s">
        <v>14</v>
      </c>
      <c r="G3982" s="4">
        <v>9</v>
      </c>
      <c r="H3982" s="1">
        <v>15694</v>
      </c>
      <c r="I3982" s="3" t="s">
        <v>21</v>
      </c>
      <c r="J3982" s="4">
        <v>1</v>
      </c>
    </row>
    <row r="3983" spans="1:10" x14ac:dyDescent="0.35">
      <c r="A3983" s="2" t="s">
        <v>4019</v>
      </c>
      <c r="B3983" s="4">
        <v>52</v>
      </c>
      <c r="C3983" t="s">
        <v>17</v>
      </c>
      <c r="D3983" t="s">
        <v>18</v>
      </c>
      <c r="E3983" t="s">
        <v>13</v>
      </c>
      <c r="F3983" t="s">
        <v>30</v>
      </c>
      <c r="G3983" s="4">
        <v>4</v>
      </c>
      <c r="H3983" s="1">
        <v>96631</v>
      </c>
      <c r="I3983" s="3" t="s">
        <v>15</v>
      </c>
      <c r="J3983" s="4">
        <v>4</v>
      </c>
    </row>
    <row r="3984" spans="1:10" x14ac:dyDescent="0.35">
      <c r="A3984" s="2" t="s">
        <v>4020</v>
      </c>
      <c r="B3984" s="4">
        <v>54</v>
      </c>
      <c r="C3984" t="s">
        <v>11</v>
      </c>
      <c r="D3984" t="s">
        <v>28</v>
      </c>
      <c r="E3984" t="s">
        <v>19</v>
      </c>
      <c r="F3984" t="s">
        <v>14</v>
      </c>
      <c r="G3984" s="4">
        <v>11</v>
      </c>
      <c r="H3984" s="1">
        <v>72249</v>
      </c>
      <c r="I3984" s="3" t="s">
        <v>15</v>
      </c>
      <c r="J3984" s="4">
        <v>2</v>
      </c>
    </row>
    <row r="3985" spans="1:10" x14ac:dyDescent="0.35">
      <c r="A3985" s="2" t="s">
        <v>4021</v>
      </c>
      <c r="B3985" s="4">
        <v>32</v>
      </c>
      <c r="C3985" t="s">
        <v>11</v>
      </c>
      <c r="D3985" t="s">
        <v>49</v>
      </c>
      <c r="E3985" t="s">
        <v>34</v>
      </c>
      <c r="F3985" t="s">
        <v>14</v>
      </c>
      <c r="G3985" s="4">
        <v>15</v>
      </c>
      <c r="H3985" s="1">
        <v>22230</v>
      </c>
      <c r="I3985" s="3" t="s">
        <v>21</v>
      </c>
      <c r="J3985" s="4">
        <v>4</v>
      </c>
    </row>
    <row r="3986" spans="1:10" x14ac:dyDescent="0.35">
      <c r="A3986" s="2" t="s">
        <v>4022</v>
      </c>
      <c r="B3986" s="4">
        <v>39</v>
      </c>
      <c r="C3986" t="s">
        <v>17</v>
      </c>
      <c r="D3986" t="s">
        <v>36</v>
      </c>
      <c r="E3986" t="s">
        <v>53</v>
      </c>
      <c r="F3986" t="s">
        <v>14</v>
      </c>
      <c r="G3986" s="4">
        <v>9</v>
      </c>
      <c r="H3986" s="1">
        <v>43298</v>
      </c>
      <c r="I3986" s="3" t="s">
        <v>15</v>
      </c>
      <c r="J3986" s="4">
        <v>4</v>
      </c>
    </row>
    <row r="3987" spans="1:10" x14ac:dyDescent="0.35">
      <c r="A3987" s="2" t="s">
        <v>4023</v>
      </c>
      <c r="B3987" s="4">
        <v>20</v>
      </c>
      <c r="C3987" t="s">
        <v>17</v>
      </c>
      <c r="D3987" t="s">
        <v>36</v>
      </c>
      <c r="E3987" t="s">
        <v>53</v>
      </c>
      <c r="F3987" t="s">
        <v>30</v>
      </c>
      <c r="G3987" s="4">
        <v>13</v>
      </c>
      <c r="H3987" s="1">
        <v>69509</v>
      </c>
      <c r="I3987" s="3" t="s">
        <v>21</v>
      </c>
      <c r="J3987" s="4">
        <v>4</v>
      </c>
    </row>
    <row r="3988" spans="1:10" x14ac:dyDescent="0.35">
      <c r="A3988" s="2" t="s">
        <v>4024</v>
      </c>
      <c r="B3988" s="4">
        <v>27</v>
      </c>
      <c r="C3988" t="s">
        <v>17</v>
      </c>
      <c r="D3988" t="s">
        <v>23</v>
      </c>
      <c r="E3988" t="s">
        <v>27</v>
      </c>
      <c r="F3988" t="s">
        <v>14</v>
      </c>
      <c r="G3988" s="4">
        <v>9</v>
      </c>
      <c r="H3988" s="1">
        <v>74954</v>
      </c>
      <c r="I3988" s="3" t="s">
        <v>21</v>
      </c>
      <c r="J3988" s="4">
        <v>4</v>
      </c>
    </row>
    <row r="3989" spans="1:10" x14ac:dyDescent="0.35">
      <c r="A3989" s="2" t="s">
        <v>4025</v>
      </c>
      <c r="B3989" s="4">
        <v>9</v>
      </c>
      <c r="C3989" t="s">
        <v>11</v>
      </c>
      <c r="D3989" t="s">
        <v>26</v>
      </c>
      <c r="E3989" t="s">
        <v>27</v>
      </c>
      <c r="F3989" t="s">
        <v>14</v>
      </c>
      <c r="G3989" s="4">
        <v>7</v>
      </c>
      <c r="H3989" s="1">
        <v>46255</v>
      </c>
      <c r="I3989" s="3" t="s">
        <v>21</v>
      </c>
      <c r="J3989" s="4">
        <v>2</v>
      </c>
    </row>
    <row r="3990" spans="1:10" x14ac:dyDescent="0.35">
      <c r="A3990" s="2" t="s">
        <v>4026</v>
      </c>
      <c r="B3990" s="4">
        <v>18</v>
      </c>
      <c r="C3990" t="s">
        <v>17</v>
      </c>
      <c r="D3990" t="s">
        <v>36</v>
      </c>
      <c r="E3990" t="s">
        <v>37</v>
      </c>
      <c r="F3990" t="s">
        <v>30</v>
      </c>
      <c r="G3990" s="4">
        <v>5</v>
      </c>
      <c r="H3990" s="1">
        <v>31244</v>
      </c>
      <c r="I3990" s="3" t="s">
        <v>15</v>
      </c>
      <c r="J3990" s="4">
        <v>5</v>
      </c>
    </row>
    <row r="3991" spans="1:10" x14ac:dyDescent="0.35">
      <c r="A3991" s="2" t="s">
        <v>4027</v>
      </c>
      <c r="B3991" s="4">
        <v>59</v>
      </c>
      <c r="C3991" t="s">
        <v>17</v>
      </c>
      <c r="D3991" t="s">
        <v>41</v>
      </c>
      <c r="E3991" t="s">
        <v>27</v>
      </c>
      <c r="F3991" t="s">
        <v>20</v>
      </c>
      <c r="G3991" s="4">
        <v>10</v>
      </c>
      <c r="H3991" s="1">
        <v>6311</v>
      </c>
      <c r="I3991" s="3" t="s">
        <v>21</v>
      </c>
      <c r="J3991" s="4">
        <v>1</v>
      </c>
    </row>
    <row r="3992" spans="1:10" x14ac:dyDescent="0.35">
      <c r="A3992" s="2" t="s">
        <v>4028</v>
      </c>
      <c r="B3992" s="4">
        <v>86</v>
      </c>
      <c r="C3992" t="s">
        <v>11</v>
      </c>
      <c r="D3992" t="s">
        <v>23</v>
      </c>
      <c r="E3992" t="s">
        <v>65</v>
      </c>
      <c r="F3992" t="s">
        <v>30</v>
      </c>
      <c r="G3992" s="4">
        <v>3</v>
      </c>
      <c r="H3992" s="1">
        <v>96712</v>
      </c>
      <c r="I3992" s="3" t="s">
        <v>21</v>
      </c>
      <c r="J3992" s="4">
        <v>4</v>
      </c>
    </row>
    <row r="3993" spans="1:10" x14ac:dyDescent="0.35">
      <c r="A3993" s="2" t="s">
        <v>4029</v>
      </c>
      <c r="B3993" s="4">
        <v>47</v>
      </c>
      <c r="C3993" t="s">
        <v>17</v>
      </c>
      <c r="D3993" t="s">
        <v>41</v>
      </c>
      <c r="E3993" t="s">
        <v>27</v>
      </c>
      <c r="F3993" t="s">
        <v>20</v>
      </c>
      <c r="G3993" s="4">
        <v>5</v>
      </c>
      <c r="H3993" s="1">
        <v>97122</v>
      </c>
      <c r="I3993" s="3" t="s">
        <v>21</v>
      </c>
      <c r="J3993" s="4">
        <v>3</v>
      </c>
    </row>
    <row r="3994" spans="1:10" x14ac:dyDescent="0.35">
      <c r="A3994" s="2" t="s">
        <v>4030</v>
      </c>
      <c r="B3994" s="4">
        <v>67</v>
      </c>
      <c r="C3994" t="s">
        <v>11</v>
      </c>
      <c r="D3994" t="s">
        <v>36</v>
      </c>
      <c r="E3994" t="s">
        <v>13</v>
      </c>
      <c r="F3994" t="s">
        <v>20</v>
      </c>
      <c r="G3994" s="4">
        <v>15</v>
      </c>
      <c r="H3994" s="1">
        <v>77681</v>
      </c>
      <c r="I3994" s="3" t="s">
        <v>15</v>
      </c>
      <c r="J3994" s="4">
        <v>1</v>
      </c>
    </row>
    <row r="3995" spans="1:10" x14ac:dyDescent="0.35">
      <c r="A3995" s="2" t="s">
        <v>4031</v>
      </c>
      <c r="B3995" s="4">
        <v>60</v>
      </c>
      <c r="C3995" t="s">
        <v>17</v>
      </c>
      <c r="D3995" t="s">
        <v>39</v>
      </c>
      <c r="E3995" t="s">
        <v>37</v>
      </c>
      <c r="F3995" t="s">
        <v>14</v>
      </c>
      <c r="G3995" s="4">
        <v>6</v>
      </c>
      <c r="H3995" s="1">
        <v>72696</v>
      </c>
      <c r="I3995" s="3" t="s">
        <v>15</v>
      </c>
      <c r="J3995" s="4">
        <v>4</v>
      </c>
    </row>
    <row r="3996" spans="1:10" x14ac:dyDescent="0.35">
      <c r="A3996" s="2" t="s">
        <v>4032</v>
      </c>
      <c r="B3996" s="4">
        <v>51</v>
      </c>
      <c r="C3996" t="s">
        <v>11</v>
      </c>
      <c r="D3996" t="s">
        <v>28</v>
      </c>
      <c r="E3996" t="s">
        <v>13</v>
      </c>
      <c r="F3996" t="s">
        <v>20</v>
      </c>
      <c r="G3996" s="4">
        <v>8</v>
      </c>
      <c r="H3996" s="1">
        <v>45026</v>
      </c>
      <c r="I3996" s="3" t="s">
        <v>21</v>
      </c>
      <c r="J3996" s="4">
        <v>3</v>
      </c>
    </row>
    <row r="3997" spans="1:10" x14ac:dyDescent="0.35">
      <c r="A3997" s="2" t="s">
        <v>4033</v>
      </c>
      <c r="B3997" s="4">
        <v>75</v>
      </c>
      <c r="C3997" t="s">
        <v>17</v>
      </c>
      <c r="D3997" t="s">
        <v>12</v>
      </c>
      <c r="E3997" t="s">
        <v>65</v>
      </c>
      <c r="F3997" t="s">
        <v>14</v>
      </c>
      <c r="G3997" s="4">
        <v>9</v>
      </c>
      <c r="H3997" s="1">
        <v>69224</v>
      </c>
      <c r="I3997" s="3" t="s">
        <v>15</v>
      </c>
      <c r="J3997" s="4">
        <v>3</v>
      </c>
    </row>
    <row r="3998" spans="1:10" x14ac:dyDescent="0.35">
      <c r="A3998" s="2" t="s">
        <v>4034</v>
      </c>
      <c r="B3998" s="4">
        <v>17</v>
      </c>
      <c r="C3998" t="s">
        <v>17</v>
      </c>
      <c r="D3998" t="s">
        <v>36</v>
      </c>
      <c r="E3998" t="s">
        <v>29</v>
      </c>
      <c r="F3998" t="s">
        <v>14</v>
      </c>
      <c r="G3998" s="4">
        <v>3</v>
      </c>
      <c r="H3998" s="1">
        <v>50685</v>
      </c>
      <c r="I3998" s="3" t="s">
        <v>15</v>
      </c>
      <c r="J3998" s="4">
        <v>1</v>
      </c>
    </row>
    <row r="3999" spans="1:10" x14ac:dyDescent="0.35">
      <c r="A3999" s="2" t="s">
        <v>4035</v>
      </c>
      <c r="B3999" s="4">
        <v>6</v>
      </c>
      <c r="C3999" t="s">
        <v>11</v>
      </c>
      <c r="D3999" t="s">
        <v>28</v>
      </c>
      <c r="E3999" t="s">
        <v>19</v>
      </c>
      <c r="F3999" t="s">
        <v>30</v>
      </c>
      <c r="G3999" s="4">
        <v>2</v>
      </c>
      <c r="H3999" s="1">
        <v>25841</v>
      </c>
      <c r="I3999" s="3" t="s">
        <v>15</v>
      </c>
      <c r="J3999" s="4">
        <v>4</v>
      </c>
    </row>
    <row r="4000" spans="1:10" x14ac:dyDescent="0.35">
      <c r="A4000" s="2" t="s">
        <v>4036</v>
      </c>
      <c r="B4000" s="4">
        <v>9</v>
      </c>
      <c r="C4000" t="s">
        <v>17</v>
      </c>
      <c r="D4000" t="s">
        <v>49</v>
      </c>
      <c r="E4000" t="s">
        <v>34</v>
      </c>
      <c r="F4000" t="s">
        <v>20</v>
      </c>
      <c r="G4000" s="4">
        <v>5</v>
      </c>
      <c r="H4000" s="1">
        <v>66863</v>
      </c>
      <c r="I4000" s="3" t="s">
        <v>15</v>
      </c>
      <c r="J4000" s="4">
        <v>4</v>
      </c>
    </row>
    <row r="4001" spans="1:10" x14ac:dyDescent="0.35">
      <c r="A4001" s="2" t="s">
        <v>4037</v>
      </c>
      <c r="B4001" s="4">
        <v>33</v>
      </c>
      <c r="C4001" t="s">
        <v>17</v>
      </c>
      <c r="D4001" t="s">
        <v>28</v>
      </c>
      <c r="E4001" t="s">
        <v>42</v>
      </c>
      <c r="F4001" t="s">
        <v>30</v>
      </c>
      <c r="G4001" s="4">
        <v>9</v>
      </c>
      <c r="H4001" s="1">
        <v>76755</v>
      </c>
      <c r="I4001" s="3" t="s">
        <v>15</v>
      </c>
      <c r="J4001" s="4">
        <v>1</v>
      </c>
    </row>
    <row r="4002" spans="1:10" x14ac:dyDescent="0.35">
      <c r="A4002" s="2" t="s">
        <v>4038</v>
      </c>
      <c r="B4002" s="4">
        <v>49</v>
      </c>
      <c r="C4002" t="s">
        <v>17</v>
      </c>
      <c r="D4002" t="s">
        <v>12</v>
      </c>
      <c r="E4002" t="s">
        <v>27</v>
      </c>
      <c r="F4002" t="s">
        <v>30</v>
      </c>
      <c r="G4002" s="4">
        <v>2</v>
      </c>
      <c r="H4002" s="1">
        <v>19056</v>
      </c>
      <c r="I4002" s="3" t="s">
        <v>21</v>
      </c>
      <c r="J4002" s="4">
        <v>2</v>
      </c>
    </row>
    <row r="4003" spans="1:10" x14ac:dyDescent="0.35">
      <c r="A4003" s="2" t="s">
        <v>4039</v>
      </c>
      <c r="B4003" s="4">
        <v>10</v>
      </c>
      <c r="C4003" t="s">
        <v>17</v>
      </c>
      <c r="D4003" t="s">
        <v>33</v>
      </c>
      <c r="E4003" t="s">
        <v>19</v>
      </c>
      <c r="F4003" t="s">
        <v>30</v>
      </c>
      <c r="G4003" s="4">
        <v>9</v>
      </c>
      <c r="H4003" s="1">
        <v>46513</v>
      </c>
      <c r="I4003" s="3" t="s">
        <v>21</v>
      </c>
      <c r="J4003" s="4">
        <v>3</v>
      </c>
    </row>
    <row r="4004" spans="1:10" x14ac:dyDescent="0.35">
      <c r="A4004" s="2" t="s">
        <v>4040</v>
      </c>
      <c r="B4004" s="4">
        <v>86</v>
      </c>
      <c r="C4004" t="s">
        <v>17</v>
      </c>
      <c r="D4004" t="s">
        <v>36</v>
      </c>
      <c r="E4004" t="s">
        <v>65</v>
      </c>
      <c r="F4004" t="s">
        <v>14</v>
      </c>
      <c r="G4004" s="4">
        <v>2</v>
      </c>
      <c r="H4004" s="1">
        <v>72208</v>
      </c>
      <c r="I4004" s="3" t="s">
        <v>15</v>
      </c>
      <c r="J4004" s="4">
        <v>2</v>
      </c>
    </row>
    <row r="4005" spans="1:10" x14ac:dyDescent="0.35">
      <c r="A4005" s="2" t="s">
        <v>4041</v>
      </c>
      <c r="B4005" s="4">
        <v>8</v>
      </c>
      <c r="C4005" t="s">
        <v>17</v>
      </c>
      <c r="D4005" t="s">
        <v>33</v>
      </c>
      <c r="E4005" t="s">
        <v>42</v>
      </c>
      <c r="F4005" t="s">
        <v>20</v>
      </c>
      <c r="G4005" s="4">
        <v>7</v>
      </c>
      <c r="H4005" s="1">
        <v>50207</v>
      </c>
      <c r="I4005" s="3" t="s">
        <v>21</v>
      </c>
      <c r="J4005" s="4">
        <v>4</v>
      </c>
    </row>
    <row r="4006" spans="1:10" x14ac:dyDescent="0.35">
      <c r="A4006" s="2" t="s">
        <v>4042</v>
      </c>
      <c r="B4006" s="4">
        <v>6</v>
      </c>
      <c r="C4006" t="s">
        <v>17</v>
      </c>
      <c r="D4006" t="s">
        <v>26</v>
      </c>
      <c r="E4006" t="s">
        <v>65</v>
      </c>
      <c r="F4006" t="s">
        <v>14</v>
      </c>
      <c r="G4006" s="4">
        <v>2</v>
      </c>
      <c r="H4006" s="1">
        <v>79837</v>
      </c>
      <c r="I4006" s="3" t="s">
        <v>21</v>
      </c>
      <c r="J4006" s="4">
        <v>5</v>
      </c>
    </row>
    <row r="4007" spans="1:10" x14ac:dyDescent="0.35">
      <c r="A4007" s="2" t="s">
        <v>4043</v>
      </c>
      <c r="B4007" s="4">
        <v>84</v>
      </c>
      <c r="C4007" t="s">
        <v>17</v>
      </c>
      <c r="D4007" t="s">
        <v>26</v>
      </c>
      <c r="E4007" t="s">
        <v>37</v>
      </c>
      <c r="F4007" t="s">
        <v>20</v>
      </c>
      <c r="G4007" s="4">
        <v>9</v>
      </c>
      <c r="H4007" s="1">
        <v>26785</v>
      </c>
      <c r="I4007" s="3" t="s">
        <v>21</v>
      </c>
      <c r="J4007" s="4">
        <v>5</v>
      </c>
    </row>
    <row r="4008" spans="1:10" x14ac:dyDescent="0.35">
      <c r="A4008" s="2" t="s">
        <v>4044</v>
      </c>
      <c r="B4008" s="4">
        <v>58</v>
      </c>
      <c r="C4008" t="s">
        <v>17</v>
      </c>
      <c r="D4008" t="s">
        <v>26</v>
      </c>
      <c r="E4008" t="s">
        <v>53</v>
      </c>
      <c r="F4008" t="s">
        <v>30</v>
      </c>
      <c r="G4008" s="4">
        <v>12</v>
      </c>
      <c r="H4008" s="1">
        <v>97548</v>
      </c>
      <c r="I4008" s="3" t="s">
        <v>21</v>
      </c>
      <c r="J4008" s="4">
        <v>4</v>
      </c>
    </row>
    <row r="4009" spans="1:10" x14ac:dyDescent="0.35">
      <c r="A4009" s="2" t="s">
        <v>4045</v>
      </c>
      <c r="B4009" s="4">
        <v>66</v>
      </c>
      <c r="C4009" t="s">
        <v>11</v>
      </c>
      <c r="D4009" t="s">
        <v>18</v>
      </c>
      <c r="E4009" t="s">
        <v>24</v>
      </c>
      <c r="F4009" t="s">
        <v>20</v>
      </c>
      <c r="G4009" s="4">
        <v>14</v>
      </c>
      <c r="H4009" s="1">
        <v>52310</v>
      </c>
      <c r="I4009" s="3" t="s">
        <v>21</v>
      </c>
      <c r="J4009" s="4">
        <v>5</v>
      </c>
    </row>
    <row r="4010" spans="1:10" x14ac:dyDescent="0.35">
      <c r="A4010" s="2" t="s">
        <v>4046</v>
      </c>
      <c r="B4010" s="4">
        <v>31</v>
      </c>
      <c r="C4010" t="s">
        <v>17</v>
      </c>
      <c r="D4010" t="s">
        <v>23</v>
      </c>
      <c r="E4010" t="s">
        <v>42</v>
      </c>
      <c r="F4010" t="s">
        <v>20</v>
      </c>
      <c r="G4010" s="4">
        <v>5</v>
      </c>
      <c r="H4010" s="1">
        <v>12951</v>
      </c>
      <c r="I4010" s="3" t="s">
        <v>15</v>
      </c>
      <c r="J4010" s="4">
        <v>1</v>
      </c>
    </row>
    <row r="4011" spans="1:10" x14ac:dyDescent="0.35">
      <c r="A4011" s="2" t="s">
        <v>4047</v>
      </c>
      <c r="B4011" s="4">
        <v>48</v>
      </c>
      <c r="C4011" t="s">
        <v>17</v>
      </c>
      <c r="D4011" t="s">
        <v>33</v>
      </c>
      <c r="E4011" t="s">
        <v>42</v>
      </c>
      <c r="F4011" t="s">
        <v>14</v>
      </c>
      <c r="G4011" s="4">
        <v>6</v>
      </c>
      <c r="H4011" s="1">
        <v>95969</v>
      </c>
      <c r="I4011" s="3" t="s">
        <v>15</v>
      </c>
      <c r="J4011" s="4">
        <v>2</v>
      </c>
    </row>
    <row r="4012" spans="1:10" x14ac:dyDescent="0.35">
      <c r="A4012" s="2" t="s">
        <v>4048</v>
      </c>
      <c r="B4012" s="4">
        <v>45</v>
      </c>
      <c r="C4012" t="s">
        <v>11</v>
      </c>
      <c r="D4012" t="s">
        <v>33</v>
      </c>
      <c r="E4012" t="s">
        <v>34</v>
      </c>
      <c r="F4012" t="s">
        <v>20</v>
      </c>
      <c r="G4012" s="4">
        <v>11</v>
      </c>
      <c r="H4012" s="1">
        <v>35459</v>
      </c>
      <c r="I4012" s="3" t="s">
        <v>15</v>
      </c>
      <c r="J4012" s="4">
        <v>5</v>
      </c>
    </row>
    <row r="4013" spans="1:10" x14ac:dyDescent="0.35">
      <c r="A4013" s="2" t="s">
        <v>4049</v>
      </c>
      <c r="B4013" s="4">
        <v>15</v>
      </c>
      <c r="C4013" t="s">
        <v>11</v>
      </c>
      <c r="D4013" t="s">
        <v>18</v>
      </c>
      <c r="E4013" t="s">
        <v>65</v>
      </c>
      <c r="F4013" t="s">
        <v>14</v>
      </c>
      <c r="G4013" s="4">
        <v>11</v>
      </c>
      <c r="H4013" s="1">
        <v>98881</v>
      </c>
      <c r="I4013" s="3" t="s">
        <v>15</v>
      </c>
      <c r="J4013" s="4">
        <v>5</v>
      </c>
    </row>
    <row r="4014" spans="1:10" x14ac:dyDescent="0.35">
      <c r="A4014" s="2" t="s">
        <v>4050</v>
      </c>
      <c r="B4014" s="4">
        <v>15</v>
      </c>
      <c r="C4014" t="s">
        <v>17</v>
      </c>
      <c r="D4014" t="s">
        <v>41</v>
      </c>
      <c r="E4014" t="s">
        <v>24</v>
      </c>
      <c r="F4014" t="s">
        <v>14</v>
      </c>
      <c r="G4014" s="4">
        <v>14</v>
      </c>
      <c r="H4014" s="1">
        <v>59427</v>
      </c>
      <c r="I4014" s="3" t="s">
        <v>21</v>
      </c>
      <c r="J4014" s="4">
        <v>2</v>
      </c>
    </row>
    <row r="4015" spans="1:10" x14ac:dyDescent="0.35">
      <c r="A4015" s="2" t="s">
        <v>4051</v>
      </c>
      <c r="B4015" s="4">
        <v>84</v>
      </c>
      <c r="C4015" t="s">
        <v>17</v>
      </c>
      <c r="D4015" t="s">
        <v>33</v>
      </c>
      <c r="E4015" t="s">
        <v>65</v>
      </c>
      <c r="F4015" t="s">
        <v>14</v>
      </c>
      <c r="G4015" s="4">
        <v>2</v>
      </c>
      <c r="H4015" s="1">
        <v>10499</v>
      </c>
      <c r="I4015" s="3" t="s">
        <v>15</v>
      </c>
      <c r="J4015" s="4">
        <v>3</v>
      </c>
    </row>
    <row r="4016" spans="1:10" x14ac:dyDescent="0.35">
      <c r="A4016" s="2" t="s">
        <v>4052</v>
      </c>
      <c r="B4016" s="4">
        <v>31</v>
      </c>
      <c r="C4016" t="s">
        <v>17</v>
      </c>
      <c r="D4016" t="s">
        <v>41</v>
      </c>
      <c r="E4016" t="s">
        <v>29</v>
      </c>
      <c r="F4016" t="s">
        <v>20</v>
      </c>
      <c r="G4016" s="4">
        <v>13</v>
      </c>
      <c r="H4016" s="1">
        <v>14423</v>
      </c>
      <c r="I4016" s="3" t="s">
        <v>15</v>
      </c>
      <c r="J4016" s="4">
        <v>5</v>
      </c>
    </row>
    <row r="4017" spans="1:10" x14ac:dyDescent="0.35">
      <c r="A4017" s="2" t="s">
        <v>4053</v>
      </c>
      <c r="B4017" s="4">
        <v>66</v>
      </c>
      <c r="C4017" t="s">
        <v>11</v>
      </c>
      <c r="D4017" t="s">
        <v>28</v>
      </c>
      <c r="E4017" t="s">
        <v>29</v>
      </c>
      <c r="F4017" t="s">
        <v>14</v>
      </c>
      <c r="G4017" s="4">
        <v>5</v>
      </c>
      <c r="H4017" s="1">
        <v>86467</v>
      </c>
      <c r="I4017" s="3" t="s">
        <v>15</v>
      </c>
      <c r="J4017" s="4">
        <v>4</v>
      </c>
    </row>
    <row r="4018" spans="1:10" x14ac:dyDescent="0.35">
      <c r="A4018" s="2" t="s">
        <v>4054</v>
      </c>
      <c r="B4018" s="4">
        <v>73</v>
      </c>
      <c r="C4018" t="s">
        <v>17</v>
      </c>
      <c r="D4018" t="s">
        <v>39</v>
      </c>
      <c r="E4018" t="s">
        <v>42</v>
      </c>
      <c r="F4018" t="s">
        <v>14</v>
      </c>
      <c r="G4018" s="4">
        <v>2</v>
      </c>
      <c r="H4018" s="1">
        <v>43114</v>
      </c>
      <c r="I4018" s="3" t="s">
        <v>21</v>
      </c>
      <c r="J4018" s="4">
        <v>3</v>
      </c>
    </row>
    <row r="4019" spans="1:10" x14ac:dyDescent="0.35">
      <c r="A4019" s="2" t="s">
        <v>4055</v>
      </c>
      <c r="B4019" s="4">
        <v>39</v>
      </c>
      <c r="C4019" t="s">
        <v>17</v>
      </c>
      <c r="D4019" t="s">
        <v>23</v>
      </c>
      <c r="E4019" t="s">
        <v>24</v>
      </c>
      <c r="F4019" t="s">
        <v>14</v>
      </c>
      <c r="G4019" s="4">
        <v>8</v>
      </c>
      <c r="H4019" s="1">
        <v>91122</v>
      </c>
      <c r="I4019" s="3" t="s">
        <v>21</v>
      </c>
      <c r="J4019" s="4">
        <v>4</v>
      </c>
    </row>
    <row r="4020" spans="1:10" x14ac:dyDescent="0.35">
      <c r="A4020" s="2" t="s">
        <v>4056</v>
      </c>
      <c r="B4020" s="4">
        <v>89</v>
      </c>
      <c r="C4020" t="s">
        <v>11</v>
      </c>
      <c r="D4020" t="s">
        <v>41</v>
      </c>
      <c r="E4020" t="s">
        <v>42</v>
      </c>
      <c r="F4020" t="s">
        <v>30</v>
      </c>
      <c r="G4020" s="4">
        <v>10</v>
      </c>
      <c r="H4020" s="1">
        <v>5939</v>
      </c>
      <c r="I4020" s="3" t="s">
        <v>21</v>
      </c>
      <c r="J4020" s="4">
        <v>3</v>
      </c>
    </row>
    <row r="4021" spans="1:10" x14ac:dyDescent="0.35">
      <c r="A4021" s="2" t="s">
        <v>4057</v>
      </c>
      <c r="B4021" s="4">
        <v>51</v>
      </c>
      <c r="C4021" t="s">
        <v>17</v>
      </c>
      <c r="D4021" t="s">
        <v>49</v>
      </c>
      <c r="E4021" t="s">
        <v>65</v>
      </c>
      <c r="F4021" t="s">
        <v>14</v>
      </c>
      <c r="G4021" s="4">
        <v>9</v>
      </c>
      <c r="H4021" s="1">
        <v>77869</v>
      </c>
      <c r="I4021" s="3" t="s">
        <v>15</v>
      </c>
      <c r="J4021" s="4">
        <v>1</v>
      </c>
    </row>
    <row r="4022" spans="1:10" x14ac:dyDescent="0.35">
      <c r="A4022" s="2" t="s">
        <v>4058</v>
      </c>
      <c r="B4022" s="4">
        <v>18</v>
      </c>
      <c r="C4022" t="s">
        <v>11</v>
      </c>
      <c r="D4022" t="s">
        <v>41</v>
      </c>
      <c r="E4022" t="s">
        <v>65</v>
      </c>
      <c r="F4022" t="s">
        <v>30</v>
      </c>
      <c r="G4022" s="4">
        <v>6</v>
      </c>
      <c r="H4022" s="1">
        <v>74307</v>
      </c>
      <c r="I4022" s="3" t="s">
        <v>15</v>
      </c>
      <c r="J4022" s="4">
        <v>3</v>
      </c>
    </row>
    <row r="4023" spans="1:10" x14ac:dyDescent="0.35">
      <c r="A4023" s="2" t="s">
        <v>4059</v>
      </c>
      <c r="B4023" s="4">
        <v>64</v>
      </c>
      <c r="C4023" t="s">
        <v>11</v>
      </c>
      <c r="D4023" t="s">
        <v>23</v>
      </c>
      <c r="E4023" t="s">
        <v>42</v>
      </c>
      <c r="F4023" t="s">
        <v>20</v>
      </c>
      <c r="G4023" s="4">
        <v>6</v>
      </c>
      <c r="H4023" s="1">
        <v>25516</v>
      </c>
      <c r="I4023" s="3" t="s">
        <v>15</v>
      </c>
      <c r="J4023" s="4">
        <v>4</v>
      </c>
    </row>
    <row r="4024" spans="1:10" x14ac:dyDescent="0.35">
      <c r="A4024" s="2" t="s">
        <v>4060</v>
      </c>
      <c r="B4024" s="4">
        <v>9</v>
      </c>
      <c r="C4024" t="s">
        <v>11</v>
      </c>
      <c r="D4024" t="s">
        <v>18</v>
      </c>
      <c r="E4024" t="s">
        <v>27</v>
      </c>
      <c r="F4024" t="s">
        <v>30</v>
      </c>
      <c r="G4024" s="4">
        <v>6</v>
      </c>
      <c r="H4024" s="1">
        <v>51007</v>
      </c>
      <c r="I4024" s="3" t="s">
        <v>15</v>
      </c>
      <c r="J4024" s="4">
        <v>2</v>
      </c>
    </row>
    <row r="4025" spans="1:10" x14ac:dyDescent="0.35">
      <c r="A4025" s="2" t="s">
        <v>4061</v>
      </c>
      <c r="B4025" s="4">
        <v>51</v>
      </c>
      <c r="C4025" t="s">
        <v>11</v>
      </c>
      <c r="D4025" t="s">
        <v>36</v>
      </c>
      <c r="E4025" t="s">
        <v>65</v>
      </c>
      <c r="F4025" t="s">
        <v>14</v>
      </c>
      <c r="G4025" s="4">
        <v>11</v>
      </c>
      <c r="H4025" s="1">
        <v>52409</v>
      </c>
      <c r="I4025" s="3" t="s">
        <v>15</v>
      </c>
      <c r="J4025" s="4">
        <v>2</v>
      </c>
    </row>
    <row r="4026" spans="1:10" x14ac:dyDescent="0.35">
      <c r="A4026" s="2" t="s">
        <v>4062</v>
      </c>
      <c r="B4026" s="4">
        <v>82</v>
      </c>
      <c r="C4026" t="s">
        <v>17</v>
      </c>
      <c r="D4026" t="s">
        <v>41</v>
      </c>
      <c r="E4026" t="s">
        <v>13</v>
      </c>
      <c r="F4026" t="s">
        <v>30</v>
      </c>
      <c r="G4026" s="4">
        <v>6</v>
      </c>
      <c r="H4026" s="1">
        <v>60091</v>
      </c>
      <c r="I4026" s="3" t="s">
        <v>15</v>
      </c>
      <c r="J4026" s="4">
        <v>2</v>
      </c>
    </row>
    <row r="4027" spans="1:10" x14ac:dyDescent="0.35">
      <c r="A4027" s="2" t="s">
        <v>4063</v>
      </c>
      <c r="B4027" s="4">
        <v>41</v>
      </c>
      <c r="C4027" t="s">
        <v>17</v>
      </c>
      <c r="D4027" t="s">
        <v>49</v>
      </c>
      <c r="E4027" t="s">
        <v>29</v>
      </c>
      <c r="F4027" t="s">
        <v>14</v>
      </c>
      <c r="G4027" s="4">
        <v>5</v>
      </c>
      <c r="H4027" s="1">
        <v>44891</v>
      </c>
      <c r="I4027" s="3" t="s">
        <v>15</v>
      </c>
      <c r="J4027" s="4">
        <v>2</v>
      </c>
    </row>
    <row r="4028" spans="1:10" x14ac:dyDescent="0.35">
      <c r="A4028" s="2" t="s">
        <v>4064</v>
      </c>
      <c r="B4028" s="4">
        <v>73</v>
      </c>
      <c r="C4028" t="s">
        <v>11</v>
      </c>
      <c r="D4028" t="s">
        <v>41</v>
      </c>
      <c r="E4028" t="s">
        <v>24</v>
      </c>
      <c r="F4028" t="s">
        <v>20</v>
      </c>
      <c r="G4028" s="4">
        <v>14</v>
      </c>
      <c r="H4028" s="1">
        <v>18544</v>
      </c>
      <c r="I4028" s="3" t="s">
        <v>21</v>
      </c>
      <c r="J4028" s="4">
        <v>2</v>
      </c>
    </row>
    <row r="4029" spans="1:10" x14ac:dyDescent="0.35">
      <c r="A4029" s="2" t="s">
        <v>4065</v>
      </c>
      <c r="B4029" s="4">
        <v>24</v>
      </c>
      <c r="C4029" t="s">
        <v>17</v>
      </c>
      <c r="D4029" t="s">
        <v>49</v>
      </c>
      <c r="E4029" t="s">
        <v>34</v>
      </c>
      <c r="F4029" t="s">
        <v>20</v>
      </c>
      <c r="G4029" s="4">
        <v>6</v>
      </c>
      <c r="H4029" s="1">
        <v>23022</v>
      </c>
      <c r="I4029" s="3" t="s">
        <v>15</v>
      </c>
      <c r="J4029" s="4">
        <v>1</v>
      </c>
    </row>
    <row r="4030" spans="1:10" x14ac:dyDescent="0.35">
      <c r="A4030" s="2" t="s">
        <v>4066</v>
      </c>
      <c r="B4030" s="4">
        <v>48</v>
      </c>
      <c r="C4030" t="s">
        <v>17</v>
      </c>
      <c r="D4030" t="s">
        <v>18</v>
      </c>
      <c r="E4030" t="s">
        <v>65</v>
      </c>
      <c r="F4030" t="s">
        <v>20</v>
      </c>
      <c r="G4030" s="4">
        <v>14</v>
      </c>
      <c r="H4030" s="1">
        <v>15400</v>
      </c>
      <c r="I4030" s="3" t="s">
        <v>15</v>
      </c>
      <c r="J4030" s="4">
        <v>5</v>
      </c>
    </row>
    <row r="4031" spans="1:10" x14ac:dyDescent="0.35">
      <c r="A4031" s="2" t="s">
        <v>4067</v>
      </c>
      <c r="B4031" s="4">
        <v>41</v>
      </c>
      <c r="C4031" t="s">
        <v>11</v>
      </c>
      <c r="D4031" t="s">
        <v>33</v>
      </c>
      <c r="E4031" t="s">
        <v>34</v>
      </c>
      <c r="F4031" t="s">
        <v>30</v>
      </c>
      <c r="G4031" s="4">
        <v>14</v>
      </c>
      <c r="H4031" s="1">
        <v>61343</v>
      </c>
      <c r="I4031" s="3" t="s">
        <v>21</v>
      </c>
      <c r="J4031" s="4">
        <v>2</v>
      </c>
    </row>
    <row r="4032" spans="1:10" x14ac:dyDescent="0.35">
      <c r="A4032" s="2" t="s">
        <v>4068</v>
      </c>
      <c r="B4032" s="4">
        <v>53</v>
      </c>
      <c r="C4032" t="s">
        <v>17</v>
      </c>
      <c r="D4032" t="s">
        <v>28</v>
      </c>
      <c r="E4032" t="s">
        <v>29</v>
      </c>
      <c r="F4032" t="s">
        <v>20</v>
      </c>
      <c r="G4032" s="4">
        <v>7</v>
      </c>
      <c r="H4032" s="1">
        <v>6311</v>
      </c>
      <c r="I4032" s="3" t="s">
        <v>15</v>
      </c>
      <c r="J4032" s="4">
        <v>5</v>
      </c>
    </row>
    <row r="4033" spans="1:10" x14ac:dyDescent="0.35">
      <c r="A4033" s="2" t="s">
        <v>4069</v>
      </c>
      <c r="B4033" s="4">
        <v>62</v>
      </c>
      <c r="C4033" t="s">
        <v>11</v>
      </c>
      <c r="D4033" t="s">
        <v>28</v>
      </c>
      <c r="E4033" t="s">
        <v>42</v>
      </c>
      <c r="F4033" t="s">
        <v>14</v>
      </c>
      <c r="G4033" s="4">
        <v>1</v>
      </c>
      <c r="H4033" s="1">
        <v>32749</v>
      </c>
      <c r="I4033" s="3" t="s">
        <v>21</v>
      </c>
      <c r="J4033" s="4">
        <v>1</v>
      </c>
    </row>
    <row r="4034" spans="1:10" x14ac:dyDescent="0.35">
      <c r="A4034" s="2" t="s">
        <v>4070</v>
      </c>
      <c r="B4034" s="4">
        <v>43</v>
      </c>
      <c r="C4034" t="s">
        <v>11</v>
      </c>
      <c r="D4034" t="s">
        <v>49</v>
      </c>
      <c r="E4034" t="s">
        <v>27</v>
      </c>
      <c r="F4034" t="s">
        <v>14</v>
      </c>
      <c r="G4034" s="4">
        <v>7</v>
      </c>
      <c r="H4034" s="1">
        <v>97798</v>
      </c>
      <c r="I4034" s="3" t="s">
        <v>15</v>
      </c>
      <c r="J4034" s="4">
        <v>2</v>
      </c>
    </row>
    <row r="4035" spans="1:10" x14ac:dyDescent="0.35">
      <c r="A4035" s="2" t="s">
        <v>4071</v>
      </c>
      <c r="B4035" s="4">
        <v>80</v>
      </c>
      <c r="C4035" t="s">
        <v>17</v>
      </c>
      <c r="D4035" t="s">
        <v>23</v>
      </c>
      <c r="E4035" t="s">
        <v>19</v>
      </c>
      <c r="F4035" t="s">
        <v>30</v>
      </c>
      <c r="G4035" s="4">
        <v>2</v>
      </c>
      <c r="H4035" s="1">
        <v>18495</v>
      </c>
      <c r="I4035" s="3" t="s">
        <v>15</v>
      </c>
      <c r="J4035" s="4">
        <v>5</v>
      </c>
    </row>
    <row r="4036" spans="1:10" x14ac:dyDescent="0.35">
      <c r="A4036" s="2" t="s">
        <v>4072</v>
      </c>
      <c r="B4036" s="4">
        <v>78</v>
      </c>
      <c r="C4036" t="s">
        <v>17</v>
      </c>
      <c r="D4036" t="s">
        <v>18</v>
      </c>
      <c r="E4036" t="s">
        <v>29</v>
      </c>
      <c r="F4036" t="s">
        <v>30</v>
      </c>
      <c r="G4036" s="4">
        <v>3</v>
      </c>
      <c r="H4036" s="1">
        <v>90678</v>
      </c>
      <c r="I4036" s="3" t="s">
        <v>21</v>
      </c>
      <c r="J4036" s="4">
        <v>4</v>
      </c>
    </row>
    <row r="4037" spans="1:10" x14ac:dyDescent="0.35">
      <c r="A4037" s="2" t="s">
        <v>4073</v>
      </c>
      <c r="B4037" s="4">
        <v>70</v>
      </c>
      <c r="C4037" t="s">
        <v>17</v>
      </c>
      <c r="D4037" t="s">
        <v>49</v>
      </c>
      <c r="E4037" t="s">
        <v>34</v>
      </c>
      <c r="F4037" t="s">
        <v>30</v>
      </c>
      <c r="G4037" s="4">
        <v>5</v>
      </c>
      <c r="H4037" s="1">
        <v>52025</v>
      </c>
      <c r="I4037" s="3" t="s">
        <v>21</v>
      </c>
      <c r="J4037" s="4">
        <v>2</v>
      </c>
    </row>
    <row r="4038" spans="1:10" x14ac:dyDescent="0.35">
      <c r="A4038" s="2" t="s">
        <v>4074</v>
      </c>
      <c r="B4038" s="4">
        <v>10</v>
      </c>
      <c r="C4038" t="s">
        <v>17</v>
      </c>
      <c r="D4038" t="s">
        <v>18</v>
      </c>
      <c r="E4038" t="s">
        <v>24</v>
      </c>
      <c r="F4038" t="s">
        <v>14</v>
      </c>
      <c r="G4038" s="4">
        <v>5</v>
      </c>
      <c r="H4038" s="1">
        <v>14799</v>
      </c>
      <c r="I4038" s="3" t="s">
        <v>21</v>
      </c>
      <c r="J4038" s="4">
        <v>5</v>
      </c>
    </row>
    <row r="4039" spans="1:10" x14ac:dyDescent="0.35">
      <c r="A4039" s="2" t="s">
        <v>4075</v>
      </c>
      <c r="B4039" s="4">
        <v>22</v>
      </c>
      <c r="C4039" t="s">
        <v>17</v>
      </c>
      <c r="D4039" t="s">
        <v>49</v>
      </c>
      <c r="E4039" t="s">
        <v>27</v>
      </c>
      <c r="F4039" t="s">
        <v>14</v>
      </c>
      <c r="G4039" s="4">
        <v>1</v>
      </c>
      <c r="H4039" s="1">
        <v>32418</v>
      </c>
      <c r="I4039" s="3" t="s">
        <v>15</v>
      </c>
      <c r="J4039" s="4">
        <v>2</v>
      </c>
    </row>
    <row r="4040" spans="1:10" x14ac:dyDescent="0.35">
      <c r="A4040" s="2" t="s">
        <v>4076</v>
      </c>
      <c r="B4040" s="4">
        <v>61</v>
      </c>
      <c r="C4040" t="s">
        <v>11</v>
      </c>
      <c r="D4040" t="s">
        <v>33</v>
      </c>
      <c r="E4040" t="s">
        <v>34</v>
      </c>
      <c r="F4040" t="s">
        <v>30</v>
      </c>
      <c r="G4040" s="4">
        <v>6</v>
      </c>
      <c r="H4040" s="1">
        <v>70147</v>
      </c>
      <c r="I4040" s="3" t="s">
        <v>15</v>
      </c>
      <c r="J4040" s="4">
        <v>1</v>
      </c>
    </row>
    <row r="4041" spans="1:10" x14ac:dyDescent="0.35">
      <c r="A4041" s="2" t="s">
        <v>4077</v>
      </c>
      <c r="B4041" s="4">
        <v>77</v>
      </c>
      <c r="C4041" t="s">
        <v>17</v>
      </c>
      <c r="D4041" t="s">
        <v>26</v>
      </c>
      <c r="E4041" t="s">
        <v>19</v>
      </c>
      <c r="F4041" t="s">
        <v>14</v>
      </c>
      <c r="G4041" s="4">
        <v>10</v>
      </c>
      <c r="H4041" s="1">
        <v>35489</v>
      </c>
      <c r="I4041" s="3" t="s">
        <v>15</v>
      </c>
      <c r="J4041" s="4">
        <v>2</v>
      </c>
    </row>
    <row r="4042" spans="1:10" x14ac:dyDescent="0.35">
      <c r="A4042" s="2" t="s">
        <v>4078</v>
      </c>
      <c r="B4042" s="4">
        <v>79</v>
      </c>
      <c r="C4042" t="s">
        <v>11</v>
      </c>
      <c r="D4042" t="s">
        <v>12</v>
      </c>
      <c r="E4042" t="s">
        <v>34</v>
      </c>
      <c r="F4042" t="s">
        <v>30</v>
      </c>
      <c r="G4042" s="4">
        <v>9</v>
      </c>
      <c r="H4042" s="1">
        <v>43836</v>
      </c>
      <c r="I4042" s="3" t="s">
        <v>21</v>
      </c>
      <c r="J4042" s="4">
        <v>4</v>
      </c>
    </row>
    <row r="4043" spans="1:10" x14ac:dyDescent="0.35">
      <c r="A4043" s="2" t="s">
        <v>4079</v>
      </c>
      <c r="B4043" s="4">
        <v>88</v>
      </c>
      <c r="C4043" t="s">
        <v>17</v>
      </c>
      <c r="D4043" t="s">
        <v>39</v>
      </c>
      <c r="E4043" t="s">
        <v>34</v>
      </c>
      <c r="F4043" t="s">
        <v>20</v>
      </c>
      <c r="G4043" s="4">
        <v>7</v>
      </c>
      <c r="H4043" s="1">
        <v>23565</v>
      </c>
      <c r="I4043" s="3" t="s">
        <v>15</v>
      </c>
      <c r="J4043" s="4">
        <v>1</v>
      </c>
    </row>
    <row r="4044" spans="1:10" x14ac:dyDescent="0.35">
      <c r="A4044" s="2" t="s">
        <v>4080</v>
      </c>
      <c r="B4044" s="4">
        <v>54</v>
      </c>
      <c r="C4044" t="s">
        <v>17</v>
      </c>
      <c r="D4044" t="s">
        <v>41</v>
      </c>
      <c r="E4044" t="s">
        <v>19</v>
      </c>
      <c r="F4044" t="s">
        <v>30</v>
      </c>
      <c r="G4044" s="4">
        <v>4</v>
      </c>
      <c r="H4044" s="1">
        <v>46617</v>
      </c>
      <c r="I4044" s="3" t="s">
        <v>15</v>
      </c>
      <c r="J4044" s="4">
        <v>2</v>
      </c>
    </row>
    <row r="4045" spans="1:10" x14ac:dyDescent="0.35">
      <c r="A4045" s="2" t="s">
        <v>4081</v>
      </c>
      <c r="B4045" s="4">
        <v>61</v>
      </c>
      <c r="C4045" t="s">
        <v>17</v>
      </c>
      <c r="D4045" t="s">
        <v>18</v>
      </c>
      <c r="E4045" t="s">
        <v>29</v>
      </c>
      <c r="F4045" t="s">
        <v>14</v>
      </c>
      <c r="G4045" s="4">
        <v>5</v>
      </c>
      <c r="H4045" s="1">
        <v>17857</v>
      </c>
      <c r="I4045" s="3" t="s">
        <v>21</v>
      </c>
      <c r="J4045" s="4">
        <v>5</v>
      </c>
    </row>
    <row r="4046" spans="1:10" x14ac:dyDescent="0.35">
      <c r="A4046" s="2" t="s">
        <v>4082</v>
      </c>
      <c r="B4046" s="4">
        <v>48</v>
      </c>
      <c r="C4046" t="s">
        <v>17</v>
      </c>
      <c r="D4046" t="s">
        <v>28</v>
      </c>
      <c r="E4046" t="s">
        <v>24</v>
      </c>
      <c r="F4046" t="s">
        <v>30</v>
      </c>
      <c r="G4046" s="4">
        <v>5</v>
      </c>
      <c r="H4046" s="1">
        <v>85056</v>
      </c>
      <c r="I4046" s="3" t="s">
        <v>21</v>
      </c>
      <c r="J4046" s="4">
        <v>1</v>
      </c>
    </row>
    <row r="4047" spans="1:10" x14ac:dyDescent="0.35">
      <c r="A4047" s="2" t="s">
        <v>4083</v>
      </c>
      <c r="B4047" s="4">
        <v>72</v>
      </c>
      <c r="C4047" t="s">
        <v>11</v>
      </c>
      <c r="D4047" t="s">
        <v>12</v>
      </c>
      <c r="E4047" t="s">
        <v>27</v>
      </c>
      <c r="F4047" t="s">
        <v>30</v>
      </c>
      <c r="G4047" s="4">
        <v>2</v>
      </c>
      <c r="H4047" s="1">
        <v>12415</v>
      </c>
      <c r="I4047" s="3" t="s">
        <v>21</v>
      </c>
      <c r="J4047" s="4">
        <v>1</v>
      </c>
    </row>
    <row r="4048" spans="1:10" x14ac:dyDescent="0.35">
      <c r="A4048" s="2" t="s">
        <v>4084</v>
      </c>
      <c r="B4048" s="4">
        <v>27</v>
      </c>
      <c r="C4048" t="s">
        <v>17</v>
      </c>
      <c r="D4048" t="s">
        <v>49</v>
      </c>
      <c r="E4048" t="s">
        <v>37</v>
      </c>
      <c r="F4048" t="s">
        <v>30</v>
      </c>
      <c r="G4048" s="4">
        <v>3</v>
      </c>
      <c r="H4048" s="1">
        <v>70363</v>
      </c>
      <c r="I4048" s="3" t="s">
        <v>15</v>
      </c>
      <c r="J4048" s="4">
        <v>3</v>
      </c>
    </row>
    <row r="4049" spans="1:10" x14ac:dyDescent="0.35">
      <c r="A4049" s="2" t="s">
        <v>4085</v>
      </c>
      <c r="B4049" s="4">
        <v>75</v>
      </c>
      <c r="C4049" t="s">
        <v>11</v>
      </c>
      <c r="D4049" t="s">
        <v>23</v>
      </c>
      <c r="E4049" t="s">
        <v>37</v>
      </c>
      <c r="F4049" t="s">
        <v>14</v>
      </c>
      <c r="G4049" s="4">
        <v>13</v>
      </c>
      <c r="H4049" s="1">
        <v>9768</v>
      </c>
      <c r="I4049" s="3" t="s">
        <v>21</v>
      </c>
      <c r="J4049" s="4">
        <v>3</v>
      </c>
    </row>
    <row r="4050" spans="1:10" x14ac:dyDescent="0.35">
      <c r="A4050" s="2" t="s">
        <v>4086</v>
      </c>
      <c r="B4050" s="4">
        <v>13</v>
      </c>
      <c r="C4050" t="s">
        <v>11</v>
      </c>
      <c r="D4050" t="s">
        <v>33</v>
      </c>
      <c r="E4050" t="s">
        <v>24</v>
      </c>
      <c r="F4050" t="s">
        <v>30</v>
      </c>
      <c r="G4050" s="4">
        <v>7</v>
      </c>
      <c r="H4050" s="1">
        <v>36635</v>
      </c>
      <c r="I4050" s="3" t="s">
        <v>21</v>
      </c>
      <c r="J4050" s="4">
        <v>2</v>
      </c>
    </row>
    <row r="4051" spans="1:10" x14ac:dyDescent="0.35">
      <c r="A4051" s="2" t="s">
        <v>4087</v>
      </c>
      <c r="B4051" s="4">
        <v>27</v>
      </c>
      <c r="C4051" t="s">
        <v>17</v>
      </c>
      <c r="D4051" t="s">
        <v>18</v>
      </c>
      <c r="E4051" t="s">
        <v>24</v>
      </c>
      <c r="F4051" t="s">
        <v>20</v>
      </c>
      <c r="G4051" s="4">
        <v>5</v>
      </c>
      <c r="H4051" s="1">
        <v>26575</v>
      </c>
      <c r="I4051" s="3" t="s">
        <v>21</v>
      </c>
      <c r="J4051" s="4">
        <v>2</v>
      </c>
    </row>
    <row r="4052" spans="1:10" x14ac:dyDescent="0.35">
      <c r="A4052" s="2" t="s">
        <v>4088</v>
      </c>
      <c r="B4052" s="4">
        <v>90</v>
      </c>
      <c r="C4052" t="s">
        <v>17</v>
      </c>
      <c r="D4052" t="s">
        <v>26</v>
      </c>
      <c r="E4052" t="s">
        <v>19</v>
      </c>
      <c r="F4052" t="s">
        <v>30</v>
      </c>
      <c r="G4052" s="4">
        <v>4</v>
      </c>
      <c r="H4052" s="1">
        <v>98633</v>
      </c>
      <c r="I4052" s="3" t="s">
        <v>15</v>
      </c>
      <c r="J4052" s="4">
        <v>5</v>
      </c>
    </row>
    <row r="4053" spans="1:10" x14ac:dyDescent="0.35">
      <c r="A4053" s="2" t="s">
        <v>4089</v>
      </c>
      <c r="B4053" s="4">
        <v>71</v>
      </c>
      <c r="C4053" t="s">
        <v>17</v>
      </c>
      <c r="D4053" t="s">
        <v>12</v>
      </c>
      <c r="E4053" t="s">
        <v>53</v>
      </c>
      <c r="F4053" t="s">
        <v>30</v>
      </c>
      <c r="G4053" s="4">
        <v>1</v>
      </c>
      <c r="H4053" s="1">
        <v>67472</v>
      </c>
      <c r="I4053" s="3" t="s">
        <v>15</v>
      </c>
      <c r="J4053" s="4">
        <v>4</v>
      </c>
    </row>
    <row r="4054" spans="1:10" x14ac:dyDescent="0.35">
      <c r="A4054" s="2" t="s">
        <v>4090</v>
      </c>
      <c r="B4054" s="4">
        <v>43</v>
      </c>
      <c r="C4054" t="s">
        <v>17</v>
      </c>
      <c r="D4054" t="s">
        <v>39</v>
      </c>
      <c r="E4054" t="s">
        <v>65</v>
      </c>
      <c r="F4054" t="s">
        <v>14</v>
      </c>
      <c r="G4054" s="4">
        <v>14</v>
      </c>
      <c r="H4054" s="1">
        <v>25438</v>
      </c>
      <c r="I4054" s="3" t="s">
        <v>21</v>
      </c>
      <c r="J4054" s="4">
        <v>3</v>
      </c>
    </row>
    <row r="4055" spans="1:10" x14ac:dyDescent="0.35">
      <c r="A4055" s="2" t="s">
        <v>4091</v>
      </c>
      <c r="B4055" s="4">
        <v>16</v>
      </c>
      <c r="C4055" t="s">
        <v>11</v>
      </c>
      <c r="D4055" t="s">
        <v>18</v>
      </c>
      <c r="E4055" t="s">
        <v>27</v>
      </c>
      <c r="F4055" t="s">
        <v>20</v>
      </c>
      <c r="G4055" s="4">
        <v>11</v>
      </c>
      <c r="H4055" s="1">
        <v>98573</v>
      </c>
      <c r="I4055" s="3" t="s">
        <v>21</v>
      </c>
      <c r="J4055" s="4">
        <v>2</v>
      </c>
    </row>
    <row r="4056" spans="1:10" x14ac:dyDescent="0.35">
      <c r="A4056" s="2" t="s">
        <v>4092</v>
      </c>
      <c r="B4056" s="4">
        <v>8</v>
      </c>
      <c r="C4056" t="s">
        <v>11</v>
      </c>
      <c r="D4056" t="s">
        <v>33</v>
      </c>
      <c r="E4056" t="s">
        <v>34</v>
      </c>
      <c r="F4056" t="s">
        <v>20</v>
      </c>
      <c r="G4056" s="4">
        <v>14</v>
      </c>
      <c r="H4056" s="1">
        <v>28265</v>
      </c>
      <c r="I4056" s="3" t="s">
        <v>21</v>
      </c>
      <c r="J4056" s="4">
        <v>1</v>
      </c>
    </row>
    <row r="4057" spans="1:10" x14ac:dyDescent="0.35">
      <c r="A4057" s="2" t="s">
        <v>4093</v>
      </c>
      <c r="B4057" s="4">
        <v>4</v>
      </c>
      <c r="C4057" t="s">
        <v>11</v>
      </c>
      <c r="D4057" t="s">
        <v>23</v>
      </c>
      <c r="E4057" t="s">
        <v>19</v>
      </c>
      <c r="F4057" t="s">
        <v>30</v>
      </c>
      <c r="G4057" s="4">
        <v>9</v>
      </c>
      <c r="H4057" s="1">
        <v>26114</v>
      </c>
      <c r="I4057" s="3" t="s">
        <v>21</v>
      </c>
      <c r="J4057" s="4">
        <v>1</v>
      </c>
    </row>
    <row r="4058" spans="1:10" x14ac:dyDescent="0.35">
      <c r="A4058" s="2" t="s">
        <v>4094</v>
      </c>
      <c r="B4058" s="4">
        <v>54</v>
      </c>
      <c r="C4058" t="s">
        <v>11</v>
      </c>
      <c r="D4058" t="s">
        <v>28</v>
      </c>
      <c r="E4058" t="s">
        <v>53</v>
      </c>
      <c r="F4058" t="s">
        <v>30</v>
      </c>
      <c r="G4058" s="4">
        <v>12</v>
      </c>
      <c r="H4058" s="1">
        <v>39301</v>
      </c>
      <c r="I4058" s="3" t="s">
        <v>15</v>
      </c>
      <c r="J4058" s="4">
        <v>3</v>
      </c>
    </row>
    <row r="4059" spans="1:10" x14ac:dyDescent="0.35">
      <c r="A4059" s="2" t="s">
        <v>4095</v>
      </c>
      <c r="B4059" s="4">
        <v>83</v>
      </c>
      <c r="C4059" t="s">
        <v>11</v>
      </c>
      <c r="D4059" t="s">
        <v>33</v>
      </c>
      <c r="E4059" t="s">
        <v>34</v>
      </c>
      <c r="F4059" t="s">
        <v>30</v>
      </c>
      <c r="G4059" s="4">
        <v>11</v>
      </c>
      <c r="H4059" s="1">
        <v>36521</v>
      </c>
      <c r="I4059" s="3" t="s">
        <v>15</v>
      </c>
      <c r="J4059" s="4">
        <v>2</v>
      </c>
    </row>
    <row r="4060" spans="1:10" x14ac:dyDescent="0.35">
      <c r="A4060" s="2" t="s">
        <v>4096</v>
      </c>
      <c r="B4060" s="4">
        <v>60</v>
      </c>
      <c r="C4060" t="s">
        <v>17</v>
      </c>
      <c r="D4060" t="s">
        <v>26</v>
      </c>
      <c r="E4060" t="s">
        <v>65</v>
      </c>
      <c r="F4060" t="s">
        <v>30</v>
      </c>
      <c r="G4060" s="4">
        <v>15</v>
      </c>
      <c r="H4060" s="1">
        <v>39555</v>
      </c>
      <c r="I4060" s="3" t="s">
        <v>21</v>
      </c>
      <c r="J4060" s="4">
        <v>1</v>
      </c>
    </row>
    <row r="4061" spans="1:10" x14ac:dyDescent="0.35">
      <c r="A4061" s="2" t="s">
        <v>4097</v>
      </c>
      <c r="B4061" s="4">
        <v>5</v>
      </c>
      <c r="C4061" t="s">
        <v>11</v>
      </c>
      <c r="D4061" t="s">
        <v>26</v>
      </c>
      <c r="E4061" t="s">
        <v>24</v>
      </c>
      <c r="F4061" t="s">
        <v>14</v>
      </c>
      <c r="G4061" s="4">
        <v>4</v>
      </c>
      <c r="H4061" s="1">
        <v>54921</v>
      </c>
      <c r="I4061" s="3" t="s">
        <v>21</v>
      </c>
      <c r="J4061" s="4">
        <v>3</v>
      </c>
    </row>
    <row r="4062" spans="1:10" x14ac:dyDescent="0.35">
      <c r="A4062" s="2" t="s">
        <v>4098</v>
      </c>
      <c r="B4062" s="4">
        <v>2</v>
      </c>
      <c r="C4062" t="s">
        <v>17</v>
      </c>
      <c r="D4062" t="s">
        <v>33</v>
      </c>
      <c r="E4062" t="s">
        <v>29</v>
      </c>
      <c r="F4062" t="s">
        <v>14</v>
      </c>
      <c r="G4062" s="4">
        <v>15</v>
      </c>
      <c r="H4062" s="1">
        <v>92953</v>
      </c>
      <c r="I4062" s="3" t="s">
        <v>15</v>
      </c>
      <c r="J4062" s="4">
        <v>1</v>
      </c>
    </row>
    <row r="4063" spans="1:10" x14ac:dyDescent="0.35">
      <c r="A4063" s="2" t="s">
        <v>4099</v>
      </c>
      <c r="B4063" s="4">
        <v>90</v>
      </c>
      <c r="C4063" t="s">
        <v>11</v>
      </c>
      <c r="D4063" t="s">
        <v>39</v>
      </c>
      <c r="E4063" t="s">
        <v>27</v>
      </c>
      <c r="F4063" t="s">
        <v>14</v>
      </c>
      <c r="G4063" s="4">
        <v>6</v>
      </c>
      <c r="H4063" s="1">
        <v>34845</v>
      </c>
      <c r="I4063" s="3" t="s">
        <v>15</v>
      </c>
      <c r="J4063" s="4">
        <v>5</v>
      </c>
    </row>
    <row r="4064" spans="1:10" x14ac:dyDescent="0.35">
      <c r="A4064" s="2" t="s">
        <v>4100</v>
      </c>
      <c r="B4064" s="4">
        <v>51</v>
      </c>
      <c r="C4064" t="s">
        <v>17</v>
      </c>
      <c r="D4064" t="s">
        <v>12</v>
      </c>
      <c r="E4064" t="s">
        <v>19</v>
      </c>
      <c r="F4064" t="s">
        <v>14</v>
      </c>
      <c r="G4064" s="4">
        <v>11</v>
      </c>
      <c r="H4064" s="1">
        <v>68622</v>
      </c>
      <c r="I4064" s="3" t="s">
        <v>15</v>
      </c>
      <c r="J4064" s="4">
        <v>3</v>
      </c>
    </row>
    <row r="4065" spans="1:10" x14ac:dyDescent="0.35">
      <c r="A4065" s="2" t="s">
        <v>4101</v>
      </c>
      <c r="B4065" s="4">
        <v>8</v>
      </c>
      <c r="C4065" t="s">
        <v>17</v>
      </c>
      <c r="D4065" t="s">
        <v>18</v>
      </c>
      <c r="E4065" t="s">
        <v>13</v>
      </c>
      <c r="F4065" t="s">
        <v>20</v>
      </c>
      <c r="G4065" s="4">
        <v>6</v>
      </c>
      <c r="H4065" s="1">
        <v>54552</v>
      </c>
      <c r="I4065" s="3" t="s">
        <v>21</v>
      </c>
      <c r="J4065" s="4">
        <v>2</v>
      </c>
    </row>
    <row r="4066" spans="1:10" x14ac:dyDescent="0.35">
      <c r="A4066" s="2" t="s">
        <v>4102</v>
      </c>
      <c r="B4066" s="4">
        <v>43</v>
      </c>
      <c r="C4066" t="s">
        <v>11</v>
      </c>
      <c r="D4066" t="s">
        <v>33</v>
      </c>
      <c r="E4066" t="s">
        <v>34</v>
      </c>
      <c r="F4066" t="s">
        <v>14</v>
      </c>
      <c r="G4066" s="4">
        <v>7</v>
      </c>
      <c r="H4066" s="1">
        <v>51120</v>
      </c>
      <c r="I4066" s="3" t="s">
        <v>15</v>
      </c>
      <c r="J4066" s="4">
        <v>5</v>
      </c>
    </row>
    <row r="4067" spans="1:10" x14ac:dyDescent="0.35">
      <c r="A4067" s="2" t="s">
        <v>4103</v>
      </c>
      <c r="B4067" s="4">
        <v>55</v>
      </c>
      <c r="C4067" t="s">
        <v>17</v>
      </c>
      <c r="D4067" t="s">
        <v>33</v>
      </c>
      <c r="E4067" t="s">
        <v>65</v>
      </c>
      <c r="F4067" t="s">
        <v>14</v>
      </c>
      <c r="G4067" s="4">
        <v>11</v>
      </c>
      <c r="H4067" s="1">
        <v>78799</v>
      </c>
      <c r="I4067" s="3" t="s">
        <v>21</v>
      </c>
      <c r="J4067" s="4">
        <v>1</v>
      </c>
    </row>
    <row r="4068" spans="1:10" x14ac:dyDescent="0.35">
      <c r="A4068" s="2" t="s">
        <v>4104</v>
      </c>
      <c r="B4068" s="4">
        <v>5</v>
      </c>
      <c r="C4068" t="s">
        <v>11</v>
      </c>
      <c r="D4068" t="s">
        <v>28</v>
      </c>
      <c r="E4068" t="s">
        <v>13</v>
      </c>
      <c r="F4068" t="s">
        <v>14</v>
      </c>
      <c r="G4068" s="4">
        <v>8</v>
      </c>
      <c r="H4068" s="1">
        <v>93828</v>
      </c>
      <c r="I4068" s="3" t="s">
        <v>15</v>
      </c>
      <c r="J4068" s="4">
        <v>3</v>
      </c>
    </row>
    <row r="4069" spans="1:10" x14ac:dyDescent="0.35">
      <c r="A4069" s="2" t="s">
        <v>4105</v>
      </c>
      <c r="B4069" s="4">
        <v>48</v>
      </c>
      <c r="C4069" t="s">
        <v>17</v>
      </c>
      <c r="D4069" t="s">
        <v>12</v>
      </c>
      <c r="E4069" t="s">
        <v>42</v>
      </c>
      <c r="F4069" t="s">
        <v>30</v>
      </c>
      <c r="G4069" s="4">
        <v>10</v>
      </c>
      <c r="H4069" s="1">
        <v>18382</v>
      </c>
      <c r="I4069" s="3" t="s">
        <v>15</v>
      </c>
      <c r="J4069" s="4">
        <v>4</v>
      </c>
    </row>
    <row r="4070" spans="1:10" x14ac:dyDescent="0.35">
      <c r="A4070" s="2" t="s">
        <v>4106</v>
      </c>
      <c r="B4070" s="4">
        <v>8</v>
      </c>
      <c r="C4070" t="s">
        <v>11</v>
      </c>
      <c r="D4070" t="s">
        <v>12</v>
      </c>
      <c r="E4070" t="s">
        <v>27</v>
      </c>
      <c r="F4070" t="s">
        <v>14</v>
      </c>
      <c r="G4070" s="4">
        <v>11</v>
      </c>
      <c r="H4070" s="1">
        <v>74916</v>
      </c>
      <c r="I4070" s="3" t="s">
        <v>21</v>
      </c>
      <c r="J4070" s="4">
        <v>2</v>
      </c>
    </row>
    <row r="4071" spans="1:10" x14ac:dyDescent="0.35">
      <c r="A4071" s="2" t="s">
        <v>4107</v>
      </c>
      <c r="B4071" s="4">
        <v>2</v>
      </c>
      <c r="C4071" t="s">
        <v>17</v>
      </c>
      <c r="D4071" t="s">
        <v>39</v>
      </c>
      <c r="E4071" t="s">
        <v>65</v>
      </c>
      <c r="F4071" t="s">
        <v>30</v>
      </c>
      <c r="G4071" s="4">
        <v>12</v>
      </c>
      <c r="H4071" s="1">
        <v>20291</v>
      </c>
      <c r="I4071" s="3" t="s">
        <v>21</v>
      </c>
      <c r="J4071" s="4">
        <v>1</v>
      </c>
    </row>
    <row r="4072" spans="1:10" x14ac:dyDescent="0.35">
      <c r="A4072" s="2" t="s">
        <v>4108</v>
      </c>
      <c r="B4072" s="4">
        <v>17</v>
      </c>
      <c r="C4072" t="s">
        <v>17</v>
      </c>
      <c r="D4072" t="s">
        <v>28</v>
      </c>
      <c r="E4072" t="s">
        <v>13</v>
      </c>
      <c r="F4072" t="s">
        <v>30</v>
      </c>
      <c r="G4072" s="4">
        <v>15</v>
      </c>
      <c r="H4072" s="1">
        <v>57867</v>
      </c>
      <c r="I4072" s="3" t="s">
        <v>21</v>
      </c>
      <c r="J4072" s="4">
        <v>4</v>
      </c>
    </row>
    <row r="4073" spans="1:10" x14ac:dyDescent="0.35">
      <c r="A4073" s="2" t="s">
        <v>4109</v>
      </c>
      <c r="B4073" s="4">
        <v>12</v>
      </c>
      <c r="C4073" t="s">
        <v>17</v>
      </c>
      <c r="D4073" t="s">
        <v>39</v>
      </c>
      <c r="E4073" t="s">
        <v>29</v>
      </c>
      <c r="F4073" t="s">
        <v>20</v>
      </c>
      <c r="G4073" s="4">
        <v>6</v>
      </c>
      <c r="H4073" s="1">
        <v>83023</v>
      </c>
      <c r="I4073" s="3" t="s">
        <v>15</v>
      </c>
      <c r="J4073" s="4">
        <v>2</v>
      </c>
    </row>
    <row r="4074" spans="1:10" x14ac:dyDescent="0.35">
      <c r="A4074" s="2" t="s">
        <v>4110</v>
      </c>
      <c r="B4074" s="4">
        <v>4</v>
      </c>
      <c r="C4074" t="s">
        <v>11</v>
      </c>
      <c r="D4074" t="s">
        <v>33</v>
      </c>
      <c r="E4074" t="s">
        <v>27</v>
      </c>
      <c r="F4074" t="s">
        <v>20</v>
      </c>
      <c r="G4074" s="4">
        <v>8</v>
      </c>
      <c r="H4074" s="1">
        <v>41988</v>
      </c>
      <c r="I4074" s="3" t="s">
        <v>21</v>
      </c>
      <c r="J4074" s="4">
        <v>1</v>
      </c>
    </row>
    <row r="4075" spans="1:10" x14ac:dyDescent="0.35">
      <c r="A4075" s="2" t="s">
        <v>4111</v>
      </c>
      <c r="B4075" s="4">
        <v>71</v>
      </c>
      <c r="C4075" t="s">
        <v>17</v>
      </c>
      <c r="D4075" t="s">
        <v>26</v>
      </c>
      <c r="E4075" t="s">
        <v>27</v>
      </c>
      <c r="F4075" t="s">
        <v>14</v>
      </c>
      <c r="G4075" s="4">
        <v>6</v>
      </c>
      <c r="H4075" s="1">
        <v>32668</v>
      </c>
      <c r="I4075" s="3" t="s">
        <v>21</v>
      </c>
      <c r="J4075" s="4">
        <v>4</v>
      </c>
    </row>
    <row r="4076" spans="1:10" x14ac:dyDescent="0.35">
      <c r="A4076" s="2" t="s">
        <v>4112</v>
      </c>
      <c r="B4076" s="4">
        <v>88</v>
      </c>
      <c r="C4076" t="s">
        <v>17</v>
      </c>
      <c r="D4076" t="s">
        <v>36</v>
      </c>
      <c r="E4076" t="s">
        <v>24</v>
      </c>
      <c r="F4076" t="s">
        <v>20</v>
      </c>
      <c r="G4076" s="4">
        <v>5</v>
      </c>
      <c r="H4076" s="1">
        <v>95752</v>
      </c>
      <c r="I4076" s="3" t="s">
        <v>21</v>
      </c>
      <c r="J4076" s="4">
        <v>5</v>
      </c>
    </row>
    <row r="4077" spans="1:10" x14ac:dyDescent="0.35">
      <c r="A4077" s="2" t="s">
        <v>4113</v>
      </c>
      <c r="B4077" s="4">
        <v>71</v>
      </c>
      <c r="C4077" t="s">
        <v>17</v>
      </c>
      <c r="D4077" t="s">
        <v>36</v>
      </c>
      <c r="E4077" t="s">
        <v>65</v>
      </c>
      <c r="F4077" t="s">
        <v>14</v>
      </c>
      <c r="G4077" s="4">
        <v>4</v>
      </c>
      <c r="H4077" s="1">
        <v>78575</v>
      </c>
      <c r="I4077" s="3" t="s">
        <v>15</v>
      </c>
      <c r="J4077" s="4">
        <v>4</v>
      </c>
    </row>
    <row r="4078" spans="1:10" x14ac:dyDescent="0.35">
      <c r="A4078" s="2" t="s">
        <v>4114</v>
      </c>
      <c r="B4078" s="4">
        <v>2</v>
      </c>
      <c r="C4078" t="s">
        <v>11</v>
      </c>
      <c r="D4078" t="s">
        <v>49</v>
      </c>
      <c r="E4078" t="s">
        <v>19</v>
      </c>
      <c r="F4078" t="s">
        <v>30</v>
      </c>
      <c r="G4078" s="4">
        <v>10</v>
      </c>
      <c r="H4078" s="1">
        <v>30801</v>
      </c>
      <c r="I4078" s="3" t="s">
        <v>15</v>
      </c>
      <c r="J4078" s="4">
        <v>3</v>
      </c>
    </row>
    <row r="4079" spans="1:10" x14ac:dyDescent="0.35">
      <c r="A4079" s="2" t="s">
        <v>4115</v>
      </c>
      <c r="B4079" s="4">
        <v>73</v>
      </c>
      <c r="C4079" t="s">
        <v>11</v>
      </c>
      <c r="D4079" t="s">
        <v>39</v>
      </c>
      <c r="E4079" t="s">
        <v>19</v>
      </c>
      <c r="F4079" t="s">
        <v>20</v>
      </c>
      <c r="G4079" s="4">
        <v>14</v>
      </c>
      <c r="H4079" s="1">
        <v>96271</v>
      </c>
      <c r="I4079" s="3" t="s">
        <v>15</v>
      </c>
      <c r="J4079" s="4">
        <v>2</v>
      </c>
    </row>
    <row r="4080" spans="1:10" x14ac:dyDescent="0.35">
      <c r="A4080" s="2" t="s">
        <v>4116</v>
      </c>
      <c r="B4080" s="4">
        <v>29</v>
      </c>
      <c r="C4080" t="s">
        <v>17</v>
      </c>
      <c r="D4080" t="s">
        <v>26</v>
      </c>
      <c r="E4080" t="s">
        <v>42</v>
      </c>
      <c r="F4080" t="s">
        <v>14</v>
      </c>
      <c r="G4080" s="4">
        <v>2</v>
      </c>
      <c r="H4080" s="1">
        <v>54465</v>
      </c>
      <c r="I4080" s="3" t="s">
        <v>21</v>
      </c>
      <c r="J4080" s="4">
        <v>4</v>
      </c>
    </row>
    <row r="4081" spans="1:10" x14ac:dyDescent="0.35">
      <c r="A4081" s="2" t="s">
        <v>4117</v>
      </c>
      <c r="B4081" s="4">
        <v>79</v>
      </c>
      <c r="C4081" t="s">
        <v>11</v>
      </c>
      <c r="D4081" t="s">
        <v>18</v>
      </c>
      <c r="E4081" t="s">
        <v>34</v>
      </c>
      <c r="F4081" t="s">
        <v>14</v>
      </c>
      <c r="G4081" s="4">
        <v>1</v>
      </c>
      <c r="H4081" s="1">
        <v>77720</v>
      </c>
      <c r="I4081" s="3" t="s">
        <v>15</v>
      </c>
      <c r="J4081" s="4">
        <v>2</v>
      </c>
    </row>
    <row r="4082" spans="1:10" x14ac:dyDescent="0.35">
      <c r="A4082" s="2" t="s">
        <v>4118</v>
      </c>
      <c r="B4082" s="4">
        <v>49</v>
      </c>
      <c r="C4082" t="s">
        <v>17</v>
      </c>
      <c r="D4082" t="s">
        <v>23</v>
      </c>
      <c r="E4082" t="s">
        <v>19</v>
      </c>
      <c r="F4082" t="s">
        <v>14</v>
      </c>
      <c r="G4082" s="4">
        <v>12</v>
      </c>
      <c r="H4082" s="1">
        <v>77514</v>
      </c>
      <c r="I4082" s="3" t="s">
        <v>15</v>
      </c>
      <c r="J4082" s="4">
        <v>2</v>
      </c>
    </row>
    <row r="4083" spans="1:10" x14ac:dyDescent="0.35">
      <c r="A4083" s="2" t="s">
        <v>4119</v>
      </c>
      <c r="B4083" s="4">
        <v>23</v>
      </c>
      <c r="C4083" t="s">
        <v>17</v>
      </c>
      <c r="D4083" t="s">
        <v>39</v>
      </c>
      <c r="E4083" t="s">
        <v>27</v>
      </c>
      <c r="F4083" t="s">
        <v>20</v>
      </c>
      <c r="G4083" s="4">
        <v>7</v>
      </c>
      <c r="H4083" s="1">
        <v>8718</v>
      </c>
      <c r="I4083" s="3" t="s">
        <v>21</v>
      </c>
      <c r="J4083" s="4">
        <v>1</v>
      </c>
    </row>
    <row r="4084" spans="1:10" x14ac:dyDescent="0.35">
      <c r="A4084" s="2" t="s">
        <v>4120</v>
      </c>
      <c r="B4084" s="4">
        <v>70</v>
      </c>
      <c r="C4084" t="s">
        <v>17</v>
      </c>
      <c r="D4084" t="s">
        <v>36</v>
      </c>
      <c r="E4084" t="s">
        <v>13</v>
      </c>
      <c r="F4084" t="s">
        <v>30</v>
      </c>
      <c r="G4084" s="4">
        <v>10</v>
      </c>
      <c r="H4084" s="1">
        <v>72409</v>
      </c>
      <c r="I4084" s="3" t="s">
        <v>21</v>
      </c>
      <c r="J4084" s="4">
        <v>2</v>
      </c>
    </row>
    <row r="4085" spans="1:10" x14ac:dyDescent="0.35">
      <c r="A4085" s="2" t="s">
        <v>4121</v>
      </c>
      <c r="B4085" s="4">
        <v>7</v>
      </c>
      <c r="C4085" t="s">
        <v>11</v>
      </c>
      <c r="D4085" t="s">
        <v>33</v>
      </c>
      <c r="E4085" t="s">
        <v>37</v>
      </c>
      <c r="F4085" t="s">
        <v>20</v>
      </c>
      <c r="G4085" s="4">
        <v>12</v>
      </c>
      <c r="H4085" s="1">
        <v>63687</v>
      </c>
      <c r="I4085" s="3" t="s">
        <v>15</v>
      </c>
      <c r="J4085" s="4">
        <v>5</v>
      </c>
    </row>
    <row r="4086" spans="1:10" x14ac:dyDescent="0.35">
      <c r="A4086" s="2" t="s">
        <v>4122</v>
      </c>
      <c r="B4086" s="4">
        <v>89</v>
      </c>
      <c r="C4086" t="s">
        <v>11</v>
      </c>
      <c r="D4086" t="s">
        <v>39</v>
      </c>
      <c r="E4086" t="s">
        <v>34</v>
      </c>
      <c r="F4086" t="s">
        <v>30</v>
      </c>
      <c r="G4086" s="4">
        <v>3</v>
      </c>
      <c r="H4086" s="1">
        <v>84965</v>
      </c>
      <c r="I4086" s="3" t="s">
        <v>21</v>
      </c>
      <c r="J4086" s="4">
        <v>4</v>
      </c>
    </row>
    <row r="4087" spans="1:10" x14ac:dyDescent="0.35">
      <c r="A4087" s="2" t="s">
        <v>4123</v>
      </c>
      <c r="B4087" s="4">
        <v>48</v>
      </c>
      <c r="C4087" t="s">
        <v>17</v>
      </c>
      <c r="D4087" t="s">
        <v>36</v>
      </c>
      <c r="E4087" t="s">
        <v>19</v>
      </c>
      <c r="F4087" t="s">
        <v>14</v>
      </c>
      <c r="G4087" s="4">
        <v>6</v>
      </c>
      <c r="H4087" s="1">
        <v>14377</v>
      </c>
      <c r="I4087" s="3" t="s">
        <v>15</v>
      </c>
      <c r="J4087" s="4">
        <v>1</v>
      </c>
    </row>
    <row r="4088" spans="1:10" x14ac:dyDescent="0.35">
      <c r="A4088" s="2" t="s">
        <v>4124</v>
      </c>
      <c r="B4088" s="4">
        <v>78</v>
      </c>
      <c r="C4088" t="s">
        <v>11</v>
      </c>
      <c r="D4088" t="s">
        <v>39</v>
      </c>
      <c r="E4088" t="s">
        <v>13</v>
      </c>
      <c r="F4088" t="s">
        <v>14</v>
      </c>
      <c r="G4088" s="4">
        <v>3</v>
      </c>
      <c r="H4088" s="1">
        <v>92259</v>
      </c>
      <c r="I4088" s="3" t="s">
        <v>21</v>
      </c>
      <c r="J4088" s="4">
        <v>5</v>
      </c>
    </row>
    <row r="4089" spans="1:10" x14ac:dyDescent="0.35">
      <c r="A4089" s="2" t="s">
        <v>4125</v>
      </c>
      <c r="B4089" s="4">
        <v>7</v>
      </c>
      <c r="C4089" t="s">
        <v>17</v>
      </c>
      <c r="D4089" t="s">
        <v>33</v>
      </c>
      <c r="E4089" t="s">
        <v>42</v>
      </c>
      <c r="F4089" t="s">
        <v>14</v>
      </c>
      <c r="G4089" s="4">
        <v>14</v>
      </c>
      <c r="H4089" s="1">
        <v>53553</v>
      </c>
      <c r="I4089" s="3" t="s">
        <v>15</v>
      </c>
      <c r="J4089" s="4">
        <v>1</v>
      </c>
    </row>
    <row r="4090" spans="1:10" x14ac:dyDescent="0.35">
      <c r="A4090" s="2" t="s">
        <v>4126</v>
      </c>
      <c r="B4090" s="4">
        <v>71</v>
      </c>
      <c r="C4090" t="s">
        <v>11</v>
      </c>
      <c r="D4090" t="s">
        <v>33</v>
      </c>
      <c r="E4090" t="s">
        <v>53</v>
      </c>
      <c r="F4090" t="s">
        <v>20</v>
      </c>
      <c r="G4090" s="4">
        <v>14</v>
      </c>
      <c r="H4090" s="1">
        <v>90964</v>
      </c>
      <c r="I4090" s="3" t="s">
        <v>15</v>
      </c>
      <c r="J4090" s="4">
        <v>4</v>
      </c>
    </row>
    <row r="4091" spans="1:10" x14ac:dyDescent="0.35">
      <c r="A4091" s="2" t="s">
        <v>4127</v>
      </c>
      <c r="B4091" s="4">
        <v>8</v>
      </c>
      <c r="C4091" t="s">
        <v>11</v>
      </c>
      <c r="D4091" t="s">
        <v>36</v>
      </c>
      <c r="E4091" t="s">
        <v>65</v>
      </c>
      <c r="F4091" t="s">
        <v>20</v>
      </c>
      <c r="G4091" s="4">
        <v>8</v>
      </c>
      <c r="H4091" s="1">
        <v>55774</v>
      </c>
      <c r="I4091" s="3" t="s">
        <v>21</v>
      </c>
      <c r="J4091" s="4">
        <v>5</v>
      </c>
    </row>
    <row r="4092" spans="1:10" x14ac:dyDescent="0.35">
      <c r="A4092" s="2" t="s">
        <v>4128</v>
      </c>
      <c r="B4092" s="4">
        <v>51</v>
      </c>
      <c r="C4092" t="s">
        <v>11</v>
      </c>
      <c r="D4092" t="s">
        <v>23</v>
      </c>
      <c r="E4092" t="s">
        <v>27</v>
      </c>
      <c r="F4092" t="s">
        <v>20</v>
      </c>
      <c r="G4092" s="4">
        <v>6</v>
      </c>
      <c r="H4092" s="1">
        <v>82291</v>
      </c>
      <c r="I4092" s="3" t="s">
        <v>21</v>
      </c>
      <c r="J4092" s="4">
        <v>5</v>
      </c>
    </row>
    <row r="4093" spans="1:10" x14ac:dyDescent="0.35">
      <c r="A4093" s="2" t="s">
        <v>4129</v>
      </c>
      <c r="B4093" s="4">
        <v>85</v>
      </c>
      <c r="C4093" t="s">
        <v>17</v>
      </c>
      <c r="D4093" t="s">
        <v>39</v>
      </c>
      <c r="E4093" t="s">
        <v>34</v>
      </c>
      <c r="F4093" t="s">
        <v>20</v>
      </c>
      <c r="G4093" s="4">
        <v>15</v>
      </c>
      <c r="H4093" s="1">
        <v>98293</v>
      </c>
      <c r="I4093" s="3" t="s">
        <v>21</v>
      </c>
      <c r="J4093" s="4">
        <v>5</v>
      </c>
    </row>
    <row r="4094" spans="1:10" x14ac:dyDescent="0.35">
      <c r="A4094" s="2" t="s">
        <v>4130</v>
      </c>
      <c r="B4094" s="4">
        <v>3</v>
      </c>
      <c r="C4094" t="s">
        <v>17</v>
      </c>
      <c r="D4094" t="s">
        <v>26</v>
      </c>
      <c r="E4094" t="s">
        <v>53</v>
      </c>
      <c r="F4094" t="s">
        <v>20</v>
      </c>
      <c r="G4094" s="4">
        <v>7</v>
      </c>
      <c r="H4094" s="1">
        <v>74966</v>
      </c>
      <c r="I4094" s="3" t="s">
        <v>15</v>
      </c>
      <c r="J4094" s="4">
        <v>5</v>
      </c>
    </row>
    <row r="4095" spans="1:10" x14ac:dyDescent="0.35">
      <c r="A4095" s="2" t="s">
        <v>4131</v>
      </c>
      <c r="B4095" s="4">
        <v>28</v>
      </c>
      <c r="C4095" t="s">
        <v>11</v>
      </c>
      <c r="D4095" t="s">
        <v>39</v>
      </c>
      <c r="E4095" t="s">
        <v>34</v>
      </c>
      <c r="F4095" t="s">
        <v>14</v>
      </c>
      <c r="G4095" s="4">
        <v>9</v>
      </c>
      <c r="H4095" s="1">
        <v>20649</v>
      </c>
      <c r="I4095" s="3" t="s">
        <v>21</v>
      </c>
      <c r="J4095" s="4">
        <v>4</v>
      </c>
    </row>
    <row r="4096" spans="1:10" x14ac:dyDescent="0.35">
      <c r="A4096" s="2" t="s">
        <v>4132</v>
      </c>
      <c r="B4096" s="4">
        <v>32</v>
      </c>
      <c r="C4096" t="s">
        <v>11</v>
      </c>
      <c r="D4096" t="s">
        <v>39</v>
      </c>
      <c r="E4096" t="s">
        <v>42</v>
      </c>
      <c r="F4096" t="s">
        <v>14</v>
      </c>
      <c r="G4096" s="4">
        <v>8</v>
      </c>
      <c r="H4096" s="1">
        <v>46781</v>
      </c>
      <c r="I4096" s="3" t="s">
        <v>15</v>
      </c>
      <c r="J4096" s="4">
        <v>5</v>
      </c>
    </row>
    <row r="4097" spans="1:10" x14ac:dyDescent="0.35">
      <c r="A4097" s="2" t="s">
        <v>4133</v>
      </c>
      <c r="B4097" s="4">
        <v>38</v>
      </c>
      <c r="C4097" t="s">
        <v>17</v>
      </c>
      <c r="D4097" t="s">
        <v>36</v>
      </c>
      <c r="E4097" t="s">
        <v>27</v>
      </c>
      <c r="F4097" t="s">
        <v>14</v>
      </c>
      <c r="G4097" s="4">
        <v>13</v>
      </c>
      <c r="H4097" s="1">
        <v>13710</v>
      </c>
      <c r="I4097" s="3" t="s">
        <v>21</v>
      </c>
      <c r="J4097" s="4">
        <v>2</v>
      </c>
    </row>
    <row r="4098" spans="1:10" x14ac:dyDescent="0.35">
      <c r="A4098" s="2" t="s">
        <v>4134</v>
      </c>
      <c r="B4098" s="4">
        <v>23</v>
      </c>
      <c r="C4098" t="s">
        <v>17</v>
      </c>
      <c r="D4098" t="s">
        <v>41</v>
      </c>
      <c r="E4098" t="s">
        <v>29</v>
      </c>
      <c r="F4098" t="s">
        <v>20</v>
      </c>
      <c r="G4098" s="4">
        <v>5</v>
      </c>
      <c r="H4098" s="1">
        <v>92910</v>
      </c>
      <c r="I4098" s="3" t="s">
        <v>15</v>
      </c>
      <c r="J4098" s="4">
        <v>1</v>
      </c>
    </row>
    <row r="4099" spans="1:10" x14ac:dyDescent="0.35">
      <c r="A4099" s="2" t="s">
        <v>4135</v>
      </c>
      <c r="B4099" s="4">
        <v>60</v>
      </c>
      <c r="C4099" t="s">
        <v>17</v>
      </c>
      <c r="D4099" t="s">
        <v>18</v>
      </c>
      <c r="E4099" t="s">
        <v>37</v>
      </c>
      <c r="F4099" t="s">
        <v>14</v>
      </c>
      <c r="G4099" s="4">
        <v>6</v>
      </c>
      <c r="H4099" s="1">
        <v>45621</v>
      </c>
      <c r="I4099" s="3" t="s">
        <v>15</v>
      </c>
      <c r="J4099" s="4">
        <v>4</v>
      </c>
    </row>
    <row r="4100" spans="1:10" x14ac:dyDescent="0.35">
      <c r="A4100" s="2" t="s">
        <v>4136</v>
      </c>
      <c r="B4100" s="4">
        <v>66</v>
      </c>
      <c r="C4100" t="s">
        <v>17</v>
      </c>
      <c r="D4100" t="s">
        <v>18</v>
      </c>
      <c r="E4100" t="s">
        <v>24</v>
      </c>
      <c r="F4100" t="s">
        <v>30</v>
      </c>
      <c r="G4100" s="4">
        <v>7</v>
      </c>
      <c r="H4100" s="1">
        <v>12340</v>
      </c>
      <c r="I4100" s="3" t="s">
        <v>15</v>
      </c>
      <c r="J4100" s="4">
        <v>3</v>
      </c>
    </row>
    <row r="4101" spans="1:10" x14ac:dyDescent="0.35">
      <c r="A4101" s="2" t="s">
        <v>4137</v>
      </c>
      <c r="B4101" s="4">
        <v>81</v>
      </c>
      <c r="C4101" t="s">
        <v>17</v>
      </c>
      <c r="D4101" t="s">
        <v>18</v>
      </c>
      <c r="E4101" t="s">
        <v>42</v>
      </c>
      <c r="F4101" t="s">
        <v>30</v>
      </c>
      <c r="G4101" s="4">
        <v>6</v>
      </c>
      <c r="H4101" s="1">
        <v>8080</v>
      </c>
      <c r="I4101" s="3" t="s">
        <v>21</v>
      </c>
      <c r="J4101" s="4">
        <v>3</v>
      </c>
    </row>
    <row r="4102" spans="1:10" x14ac:dyDescent="0.35">
      <c r="A4102" s="2" t="s">
        <v>4138</v>
      </c>
      <c r="B4102" s="4">
        <v>50</v>
      </c>
      <c r="C4102" t="s">
        <v>17</v>
      </c>
      <c r="D4102" t="s">
        <v>36</v>
      </c>
      <c r="E4102" t="s">
        <v>29</v>
      </c>
      <c r="F4102" t="s">
        <v>20</v>
      </c>
      <c r="G4102" s="4">
        <v>9</v>
      </c>
      <c r="H4102" s="1">
        <v>77820</v>
      </c>
      <c r="I4102" s="3" t="s">
        <v>15</v>
      </c>
      <c r="J4102" s="4">
        <v>5</v>
      </c>
    </row>
    <row r="4103" spans="1:10" x14ac:dyDescent="0.35">
      <c r="A4103" s="2" t="s">
        <v>4139</v>
      </c>
      <c r="B4103" s="4">
        <v>76</v>
      </c>
      <c r="C4103" t="s">
        <v>17</v>
      </c>
      <c r="D4103" t="s">
        <v>18</v>
      </c>
      <c r="E4103" t="s">
        <v>19</v>
      </c>
      <c r="F4103" t="s">
        <v>30</v>
      </c>
      <c r="G4103" s="4">
        <v>12</v>
      </c>
      <c r="H4103" s="1">
        <v>27427</v>
      </c>
      <c r="I4103" s="3" t="s">
        <v>15</v>
      </c>
      <c r="J4103" s="4">
        <v>5</v>
      </c>
    </row>
    <row r="4104" spans="1:10" x14ac:dyDescent="0.35">
      <c r="A4104" s="2" t="s">
        <v>4140</v>
      </c>
      <c r="B4104" s="4">
        <v>57</v>
      </c>
      <c r="C4104" t="s">
        <v>17</v>
      </c>
      <c r="D4104" t="s">
        <v>12</v>
      </c>
      <c r="E4104" t="s">
        <v>37</v>
      </c>
      <c r="F4104" t="s">
        <v>14</v>
      </c>
      <c r="G4104" s="4">
        <v>14</v>
      </c>
      <c r="H4104" s="1">
        <v>41716</v>
      </c>
      <c r="I4104" s="3" t="s">
        <v>21</v>
      </c>
      <c r="J4104" s="4">
        <v>1</v>
      </c>
    </row>
    <row r="4105" spans="1:10" x14ac:dyDescent="0.35">
      <c r="A4105" s="2" t="s">
        <v>4141</v>
      </c>
      <c r="B4105" s="4">
        <v>65</v>
      </c>
      <c r="C4105" t="s">
        <v>17</v>
      </c>
      <c r="D4105" t="s">
        <v>49</v>
      </c>
      <c r="E4105" t="s">
        <v>29</v>
      </c>
      <c r="F4105" t="s">
        <v>14</v>
      </c>
      <c r="G4105" s="4">
        <v>2</v>
      </c>
      <c r="H4105" s="1">
        <v>90896</v>
      </c>
      <c r="I4105" s="3" t="s">
        <v>21</v>
      </c>
      <c r="J4105" s="4">
        <v>3</v>
      </c>
    </row>
    <row r="4106" spans="1:10" x14ac:dyDescent="0.35">
      <c r="A4106" s="2" t="s">
        <v>4142</v>
      </c>
      <c r="B4106" s="4">
        <v>57</v>
      </c>
      <c r="C4106" t="s">
        <v>11</v>
      </c>
      <c r="D4106" t="s">
        <v>49</v>
      </c>
      <c r="E4106" t="s">
        <v>24</v>
      </c>
      <c r="F4106" t="s">
        <v>20</v>
      </c>
      <c r="G4106" s="4">
        <v>4</v>
      </c>
      <c r="H4106" s="1">
        <v>85352</v>
      </c>
      <c r="I4106" s="3" t="s">
        <v>15</v>
      </c>
      <c r="J4106" s="4">
        <v>1</v>
      </c>
    </row>
    <row r="4107" spans="1:10" x14ac:dyDescent="0.35">
      <c r="A4107" s="2" t="s">
        <v>4143</v>
      </c>
      <c r="B4107" s="4">
        <v>8</v>
      </c>
      <c r="C4107" t="s">
        <v>17</v>
      </c>
      <c r="D4107" t="s">
        <v>12</v>
      </c>
      <c r="E4107" t="s">
        <v>42</v>
      </c>
      <c r="F4107" t="s">
        <v>14</v>
      </c>
      <c r="G4107" s="4">
        <v>6</v>
      </c>
      <c r="H4107" s="1">
        <v>34998</v>
      </c>
      <c r="I4107" s="3" t="s">
        <v>15</v>
      </c>
      <c r="J4107" s="4">
        <v>5</v>
      </c>
    </row>
    <row r="4108" spans="1:10" x14ac:dyDescent="0.35">
      <c r="A4108" s="2" t="s">
        <v>4144</v>
      </c>
      <c r="B4108" s="4">
        <v>56</v>
      </c>
      <c r="C4108" t="s">
        <v>17</v>
      </c>
      <c r="D4108" t="s">
        <v>41</v>
      </c>
      <c r="E4108" t="s">
        <v>19</v>
      </c>
      <c r="F4108" t="s">
        <v>30</v>
      </c>
      <c r="G4108" s="4">
        <v>3</v>
      </c>
      <c r="H4108" s="1">
        <v>65272</v>
      </c>
      <c r="I4108" s="3" t="s">
        <v>21</v>
      </c>
      <c r="J4108" s="4">
        <v>3</v>
      </c>
    </row>
    <row r="4109" spans="1:10" x14ac:dyDescent="0.35">
      <c r="A4109" s="2" t="s">
        <v>4145</v>
      </c>
      <c r="B4109" s="4">
        <v>60</v>
      </c>
      <c r="C4109" t="s">
        <v>17</v>
      </c>
      <c r="D4109" t="s">
        <v>23</v>
      </c>
      <c r="E4109" t="s">
        <v>13</v>
      </c>
      <c r="F4109" t="s">
        <v>20</v>
      </c>
      <c r="G4109" s="4">
        <v>15</v>
      </c>
      <c r="H4109" s="1">
        <v>8267</v>
      </c>
      <c r="I4109" s="3" t="s">
        <v>15</v>
      </c>
      <c r="J4109" s="4">
        <v>1</v>
      </c>
    </row>
    <row r="4110" spans="1:10" x14ac:dyDescent="0.35">
      <c r="A4110" s="2" t="s">
        <v>4146</v>
      </c>
      <c r="B4110" s="4">
        <v>64</v>
      </c>
      <c r="C4110" t="s">
        <v>11</v>
      </c>
      <c r="D4110" t="s">
        <v>26</v>
      </c>
      <c r="E4110" t="s">
        <v>29</v>
      </c>
      <c r="F4110" t="s">
        <v>30</v>
      </c>
      <c r="G4110" s="4">
        <v>9</v>
      </c>
      <c r="H4110" s="1">
        <v>17180</v>
      </c>
      <c r="I4110" s="3" t="s">
        <v>21</v>
      </c>
      <c r="J4110" s="4">
        <v>1</v>
      </c>
    </row>
    <row r="4111" spans="1:10" x14ac:dyDescent="0.35">
      <c r="A4111" s="2" t="s">
        <v>4147</v>
      </c>
      <c r="B4111" s="4">
        <v>40</v>
      </c>
      <c r="C4111" t="s">
        <v>11</v>
      </c>
      <c r="D4111" t="s">
        <v>26</v>
      </c>
      <c r="E4111" t="s">
        <v>65</v>
      </c>
      <c r="F4111" t="s">
        <v>30</v>
      </c>
      <c r="G4111" s="4">
        <v>3</v>
      </c>
      <c r="H4111" s="1">
        <v>31788</v>
      </c>
      <c r="I4111" s="3" t="s">
        <v>21</v>
      </c>
      <c r="J4111" s="4">
        <v>4</v>
      </c>
    </row>
    <row r="4112" spans="1:10" x14ac:dyDescent="0.35">
      <c r="A4112" s="2" t="s">
        <v>4148</v>
      </c>
      <c r="B4112" s="4">
        <v>79</v>
      </c>
      <c r="C4112" t="s">
        <v>17</v>
      </c>
      <c r="D4112" t="s">
        <v>36</v>
      </c>
      <c r="E4112" t="s">
        <v>34</v>
      </c>
      <c r="F4112" t="s">
        <v>30</v>
      </c>
      <c r="G4112" s="4">
        <v>13</v>
      </c>
      <c r="H4112" s="1">
        <v>28189</v>
      </c>
      <c r="I4112" s="3" t="s">
        <v>21</v>
      </c>
      <c r="J4112" s="4">
        <v>3</v>
      </c>
    </row>
    <row r="4113" spans="1:10" x14ac:dyDescent="0.35">
      <c r="A4113" s="2" t="s">
        <v>4149</v>
      </c>
      <c r="B4113" s="4">
        <v>5</v>
      </c>
      <c r="C4113" t="s">
        <v>11</v>
      </c>
      <c r="D4113" t="s">
        <v>41</v>
      </c>
      <c r="E4113" t="s">
        <v>53</v>
      </c>
      <c r="F4113" t="s">
        <v>30</v>
      </c>
      <c r="G4113" s="4">
        <v>10</v>
      </c>
      <c r="H4113" s="1">
        <v>41427</v>
      </c>
      <c r="I4113" s="3" t="s">
        <v>15</v>
      </c>
      <c r="J4113" s="4">
        <v>1</v>
      </c>
    </row>
    <row r="4114" spans="1:10" x14ac:dyDescent="0.35">
      <c r="A4114" s="2" t="s">
        <v>4150</v>
      </c>
      <c r="B4114" s="4">
        <v>28</v>
      </c>
      <c r="C4114" t="s">
        <v>11</v>
      </c>
      <c r="D4114" t="s">
        <v>18</v>
      </c>
      <c r="E4114" t="s">
        <v>19</v>
      </c>
      <c r="F4114" t="s">
        <v>14</v>
      </c>
      <c r="G4114" s="4">
        <v>4</v>
      </c>
      <c r="H4114" s="1">
        <v>31565</v>
      </c>
      <c r="I4114" s="3" t="s">
        <v>15</v>
      </c>
      <c r="J4114" s="4">
        <v>2</v>
      </c>
    </row>
    <row r="4115" spans="1:10" x14ac:dyDescent="0.35">
      <c r="A4115" s="2" t="s">
        <v>4151</v>
      </c>
      <c r="B4115" s="4">
        <v>16</v>
      </c>
      <c r="C4115" t="s">
        <v>17</v>
      </c>
      <c r="D4115" t="s">
        <v>36</v>
      </c>
      <c r="E4115" t="s">
        <v>34</v>
      </c>
      <c r="F4115" t="s">
        <v>30</v>
      </c>
      <c r="G4115" s="4">
        <v>7</v>
      </c>
      <c r="H4115" s="1">
        <v>45781</v>
      </c>
      <c r="I4115" s="3" t="s">
        <v>21</v>
      </c>
      <c r="J4115" s="4">
        <v>1</v>
      </c>
    </row>
    <row r="4116" spans="1:10" x14ac:dyDescent="0.35">
      <c r="A4116" s="2" t="s">
        <v>4152</v>
      </c>
      <c r="B4116" s="4">
        <v>60</v>
      </c>
      <c r="C4116" t="s">
        <v>17</v>
      </c>
      <c r="D4116" t="s">
        <v>41</v>
      </c>
      <c r="E4116" t="s">
        <v>42</v>
      </c>
      <c r="F4116" t="s">
        <v>20</v>
      </c>
      <c r="G4116" s="4">
        <v>13</v>
      </c>
      <c r="H4116" s="1">
        <v>66019</v>
      </c>
      <c r="I4116" s="3" t="s">
        <v>15</v>
      </c>
      <c r="J4116" s="4">
        <v>4</v>
      </c>
    </row>
    <row r="4117" spans="1:10" x14ac:dyDescent="0.35">
      <c r="A4117" s="2" t="s">
        <v>4153</v>
      </c>
      <c r="B4117" s="4">
        <v>84</v>
      </c>
      <c r="C4117" t="s">
        <v>11</v>
      </c>
      <c r="D4117" t="s">
        <v>18</v>
      </c>
      <c r="E4117" t="s">
        <v>34</v>
      </c>
      <c r="F4117" t="s">
        <v>30</v>
      </c>
      <c r="G4117" s="4">
        <v>7</v>
      </c>
      <c r="H4117" s="1">
        <v>92292</v>
      </c>
      <c r="I4117" s="3" t="s">
        <v>15</v>
      </c>
      <c r="J4117" s="4">
        <v>2</v>
      </c>
    </row>
    <row r="4118" spans="1:10" x14ac:dyDescent="0.35">
      <c r="A4118" s="2" t="s">
        <v>4154</v>
      </c>
      <c r="B4118" s="4">
        <v>14</v>
      </c>
      <c r="C4118" t="s">
        <v>11</v>
      </c>
      <c r="D4118" t="s">
        <v>18</v>
      </c>
      <c r="E4118" t="s">
        <v>13</v>
      </c>
      <c r="F4118" t="s">
        <v>14</v>
      </c>
      <c r="G4118" s="4">
        <v>8</v>
      </c>
      <c r="H4118" s="1">
        <v>97653</v>
      </c>
      <c r="I4118" s="3" t="s">
        <v>15</v>
      </c>
      <c r="J4118" s="4">
        <v>1</v>
      </c>
    </row>
    <row r="4119" spans="1:10" x14ac:dyDescent="0.35">
      <c r="A4119" s="2" t="s">
        <v>4155</v>
      </c>
      <c r="B4119" s="4">
        <v>86</v>
      </c>
      <c r="C4119" t="s">
        <v>11</v>
      </c>
      <c r="D4119" t="s">
        <v>18</v>
      </c>
      <c r="E4119" t="s">
        <v>42</v>
      </c>
      <c r="F4119" t="s">
        <v>30</v>
      </c>
      <c r="G4119" s="4">
        <v>8</v>
      </c>
      <c r="H4119" s="1">
        <v>53419</v>
      </c>
      <c r="I4119" s="3" t="s">
        <v>21</v>
      </c>
      <c r="J4119" s="4">
        <v>5</v>
      </c>
    </row>
    <row r="4120" spans="1:10" x14ac:dyDescent="0.35">
      <c r="A4120" s="2" t="s">
        <v>4156</v>
      </c>
      <c r="B4120" s="4">
        <v>89</v>
      </c>
      <c r="C4120" t="s">
        <v>11</v>
      </c>
      <c r="D4120" t="s">
        <v>28</v>
      </c>
      <c r="E4120" t="s">
        <v>27</v>
      </c>
      <c r="F4120" t="s">
        <v>20</v>
      </c>
      <c r="G4120" s="4">
        <v>7</v>
      </c>
      <c r="H4120" s="1">
        <v>92954</v>
      </c>
      <c r="I4120" s="3" t="s">
        <v>15</v>
      </c>
      <c r="J4120" s="4">
        <v>2</v>
      </c>
    </row>
    <row r="4121" spans="1:10" x14ac:dyDescent="0.35">
      <c r="A4121" s="2" t="s">
        <v>4157</v>
      </c>
      <c r="B4121" s="4">
        <v>60</v>
      </c>
      <c r="C4121" t="s">
        <v>17</v>
      </c>
      <c r="D4121" t="s">
        <v>12</v>
      </c>
      <c r="E4121" t="s">
        <v>24</v>
      </c>
      <c r="F4121" t="s">
        <v>20</v>
      </c>
      <c r="G4121" s="4">
        <v>4</v>
      </c>
      <c r="H4121" s="1">
        <v>37670</v>
      </c>
      <c r="I4121" s="3" t="s">
        <v>21</v>
      </c>
      <c r="J4121" s="4">
        <v>1</v>
      </c>
    </row>
    <row r="4122" spans="1:10" x14ac:dyDescent="0.35">
      <c r="A4122" s="2" t="s">
        <v>4158</v>
      </c>
      <c r="B4122" s="4">
        <v>74</v>
      </c>
      <c r="C4122" t="s">
        <v>11</v>
      </c>
      <c r="D4122" t="s">
        <v>26</v>
      </c>
      <c r="E4122" t="s">
        <v>65</v>
      </c>
      <c r="F4122" t="s">
        <v>20</v>
      </c>
      <c r="G4122" s="4">
        <v>8</v>
      </c>
      <c r="H4122" s="1">
        <v>33215</v>
      </c>
      <c r="I4122" s="3" t="s">
        <v>21</v>
      </c>
      <c r="J4122" s="4">
        <v>2</v>
      </c>
    </row>
    <row r="4123" spans="1:10" x14ac:dyDescent="0.35">
      <c r="A4123" s="2" t="s">
        <v>4159</v>
      </c>
      <c r="B4123" s="4">
        <v>40</v>
      </c>
      <c r="C4123" t="s">
        <v>11</v>
      </c>
      <c r="D4123" t="s">
        <v>18</v>
      </c>
      <c r="E4123" t="s">
        <v>42</v>
      </c>
      <c r="F4123" t="s">
        <v>14</v>
      </c>
      <c r="G4123" s="4">
        <v>4</v>
      </c>
      <c r="H4123" s="1">
        <v>97417</v>
      </c>
      <c r="I4123" s="3" t="s">
        <v>21</v>
      </c>
      <c r="J4123" s="4">
        <v>1</v>
      </c>
    </row>
    <row r="4124" spans="1:10" x14ac:dyDescent="0.35">
      <c r="A4124" s="2" t="s">
        <v>4160</v>
      </c>
      <c r="B4124" s="4">
        <v>17</v>
      </c>
      <c r="C4124" t="s">
        <v>11</v>
      </c>
      <c r="D4124" t="s">
        <v>23</v>
      </c>
      <c r="E4124" t="s">
        <v>29</v>
      </c>
      <c r="F4124" t="s">
        <v>14</v>
      </c>
      <c r="G4124" s="4">
        <v>15</v>
      </c>
      <c r="H4124" s="1">
        <v>99399</v>
      </c>
      <c r="I4124" s="3" t="s">
        <v>15</v>
      </c>
      <c r="J4124" s="4">
        <v>4</v>
      </c>
    </row>
    <row r="4125" spans="1:10" x14ac:dyDescent="0.35">
      <c r="A4125" s="2" t="s">
        <v>4161</v>
      </c>
      <c r="B4125" s="4">
        <v>49</v>
      </c>
      <c r="C4125" t="s">
        <v>17</v>
      </c>
      <c r="D4125" t="s">
        <v>36</v>
      </c>
      <c r="E4125" t="s">
        <v>24</v>
      </c>
      <c r="F4125" t="s">
        <v>30</v>
      </c>
      <c r="G4125" s="4">
        <v>4</v>
      </c>
      <c r="H4125" s="1">
        <v>28041</v>
      </c>
      <c r="I4125" s="3" t="s">
        <v>15</v>
      </c>
      <c r="J4125" s="4">
        <v>1</v>
      </c>
    </row>
    <row r="4126" spans="1:10" x14ac:dyDescent="0.35">
      <c r="A4126" s="2" t="s">
        <v>4162</v>
      </c>
      <c r="B4126" s="4">
        <v>90</v>
      </c>
      <c r="C4126" t="s">
        <v>17</v>
      </c>
      <c r="D4126" t="s">
        <v>49</v>
      </c>
      <c r="E4126" t="s">
        <v>27</v>
      </c>
      <c r="F4126" t="s">
        <v>20</v>
      </c>
      <c r="G4126" s="4">
        <v>3</v>
      </c>
      <c r="H4126" s="1">
        <v>73211</v>
      </c>
      <c r="I4126" s="3" t="s">
        <v>21</v>
      </c>
      <c r="J4126" s="4">
        <v>2</v>
      </c>
    </row>
    <row r="4127" spans="1:10" x14ac:dyDescent="0.35">
      <c r="A4127" s="2" t="s">
        <v>4163</v>
      </c>
      <c r="B4127" s="4">
        <v>75</v>
      </c>
      <c r="C4127" t="s">
        <v>17</v>
      </c>
      <c r="D4127" t="s">
        <v>23</v>
      </c>
      <c r="E4127" t="s">
        <v>24</v>
      </c>
      <c r="F4127" t="s">
        <v>20</v>
      </c>
      <c r="G4127" s="4">
        <v>6</v>
      </c>
      <c r="H4127" s="1">
        <v>22650</v>
      </c>
      <c r="I4127" s="3" t="s">
        <v>15</v>
      </c>
      <c r="J4127" s="4">
        <v>4</v>
      </c>
    </row>
    <row r="4128" spans="1:10" x14ac:dyDescent="0.35">
      <c r="A4128" s="2" t="s">
        <v>4164</v>
      </c>
      <c r="B4128" s="4">
        <v>40</v>
      </c>
      <c r="C4128" t="s">
        <v>11</v>
      </c>
      <c r="D4128" t="s">
        <v>26</v>
      </c>
      <c r="E4128" t="s">
        <v>65</v>
      </c>
      <c r="F4128" t="s">
        <v>20</v>
      </c>
      <c r="G4128" s="4">
        <v>14</v>
      </c>
      <c r="H4128" s="1">
        <v>55023</v>
      </c>
      <c r="I4128" s="3" t="s">
        <v>15</v>
      </c>
      <c r="J4128" s="4">
        <v>2</v>
      </c>
    </row>
    <row r="4129" spans="1:10" x14ac:dyDescent="0.35">
      <c r="A4129" s="2" t="s">
        <v>4165</v>
      </c>
      <c r="B4129" s="4">
        <v>56</v>
      </c>
      <c r="C4129" t="s">
        <v>17</v>
      </c>
      <c r="D4129" t="s">
        <v>39</v>
      </c>
      <c r="E4129" t="s">
        <v>27</v>
      </c>
      <c r="F4129" t="s">
        <v>20</v>
      </c>
      <c r="G4129" s="4">
        <v>8</v>
      </c>
      <c r="H4129" s="1">
        <v>38567</v>
      </c>
      <c r="I4129" s="3" t="s">
        <v>15</v>
      </c>
      <c r="J4129" s="4">
        <v>4</v>
      </c>
    </row>
    <row r="4130" spans="1:10" x14ac:dyDescent="0.35">
      <c r="A4130" s="2" t="s">
        <v>4166</v>
      </c>
      <c r="B4130" s="4">
        <v>19</v>
      </c>
      <c r="C4130" t="s">
        <v>17</v>
      </c>
      <c r="D4130" t="s">
        <v>12</v>
      </c>
      <c r="E4130" t="s">
        <v>27</v>
      </c>
      <c r="F4130" t="s">
        <v>20</v>
      </c>
      <c r="G4130" s="4">
        <v>4</v>
      </c>
      <c r="H4130" s="1">
        <v>90961</v>
      </c>
      <c r="I4130" s="3" t="s">
        <v>21</v>
      </c>
      <c r="J4130" s="4">
        <v>3</v>
      </c>
    </row>
    <row r="4131" spans="1:10" x14ac:dyDescent="0.35">
      <c r="A4131" s="2" t="s">
        <v>4167</v>
      </c>
      <c r="B4131" s="4">
        <v>78</v>
      </c>
      <c r="C4131" t="s">
        <v>17</v>
      </c>
      <c r="D4131" t="s">
        <v>39</v>
      </c>
      <c r="E4131" t="s">
        <v>42</v>
      </c>
      <c r="F4131" t="s">
        <v>20</v>
      </c>
      <c r="G4131" s="4">
        <v>8</v>
      </c>
      <c r="H4131" s="1">
        <v>86785</v>
      </c>
      <c r="I4131" s="3" t="s">
        <v>21</v>
      </c>
      <c r="J4131" s="4">
        <v>3</v>
      </c>
    </row>
    <row r="4132" spans="1:10" x14ac:dyDescent="0.35">
      <c r="A4132" s="2" t="s">
        <v>4168</v>
      </c>
      <c r="B4132" s="4">
        <v>89</v>
      </c>
      <c r="C4132" t="s">
        <v>11</v>
      </c>
      <c r="D4132" t="s">
        <v>12</v>
      </c>
      <c r="E4132" t="s">
        <v>29</v>
      </c>
      <c r="F4132" t="s">
        <v>14</v>
      </c>
      <c r="G4132" s="4">
        <v>12</v>
      </c>
      <c r="H4132" s="1">
        <v>57276</v>
      </c>
      <c r="I4132" s="3" t="s">
        <v>21</v>
      </c>
      <c r="J4132" s="4">
        <v>4</v>
      </c>
    </row>
    <row r="4133" spans="1:10" x14ac:dyDescent="0.35">
      <c r="A4133" s="2" t="s">
        <v>4169</v>
      </c>
      <c r="B4133" s="4">
        <v>60</v>
      </c>
      <c r="C4133" t="s">
        <v>11</v>
      </c>
      <c r="D4133" t="s">
        <v>39</v>
      </c>
      <c r="E4133" t="s">
        <v>19</v>
      </c>
      <c r="F4133" t="s">
        <v>30</v>
      </c>
      <c r="G4133" s="4">
        <v>7</v>
      </c>
      <c r="H4133" s="1">
        <v>47655</v>
      </c>
      <c r="I4133" s="3" t="s">
        <v>21</v>
      </c>
      <c r="J4133" s="4">
        <v>3</v>
      </c>
    </row>
    <row r="4134" spans="1:10" x14ac:dyDescent="0.35">
      <c r="A4134" s="2" t="s">
        <v>4170</v>
      </c>
      <c r="B4134" s="4">
        <v>1</v>
      </c>
      <c r="C4134" t="s">
        <v>11</v>
      </c>
      <c r="D4134" t="s">
        <v>28</v>
      </c>
      <c r="E4134" t="s">
        <v>37</v>
      </c>
      <c r="F4134" t="s">
        <v>30</v>
      </c>
      <c r="G4134" s="4">
        <v>6</v>
      </c>
      <c r="H4134" s="1">
        <v>34185</v>
      </c>
      <c r="I4134" s="3" t="s">
        <v>21</v>
      </c>
      <c r="J4134" s="4">
        <v>3</v>
      </c>
    </row>
    <row r="4135" spans="1:10" x14ac:dyDescent="0.35">
      <c r="A4135" s="2" t="s">
        <v>4171</v>
      </c>
      <c r="B4135" s="4">
        <v>61</v>
      </c>
      <c r="C4135" t="s">
        <v>17</v>
      </c>
      <c r="D4135" t="s">
        <v>33</v>
      </c>
      <c r="E4135" t="s">
        <v>37</v>
      </c>
      <c r="F4135" t="s">
        <v>20</v>
      </c>
      <c r="G4135" s="4">
        <v>1</v>
      </c>
      <c r="H4135" s="1">
        <v>72968</v>
      </c>
      <c r="I4135" s="3" t="s">
        <v>15</v>
      </c>
      <c r="J4135" s="4">
        <v>5</v>
      </c>
    </row>
    <row r="4136" spans="1:10" x14ac:dyDescent="0.35">
      <c r="A4136" s="2" t="s">
        <v>4172</v>
      </c>
      <c r="B4136" s="4">
        <v>26</v>
      </c>
      <c r="C4136" t="s">
        <v>11</v>
      </c>
      <c r="D4136" t="s">
        <v>28</v>
      </c>
      <c r="E4136" t="s">
        <v>37</v>
      </c>
      <c r="F4136" t="s">
        <v>20</v>
      </c>
      <c r="G4136" s="4">
        <v>4</v>
      </c>
      <c r="H4136" s="1">
        <v>22693</v>
      </c>
      <c r="I4136" s="3" t="s">
        <v>15</v>
      </c>
      <c r="J4136" s="4">
        <v>3</v>
      </c>
    </row>
    <row r="4137" spans="1:10" x14ac:dyDescent="0.35">
      <c r="A4137" s="2" t="s">
        <v>4173</v>
      </c>
      <c r="B4137" s="4">
        <v>5</v>
      </c>
      <c r="C4137" t="s">
        <v>17</v>
      </c>
      <c r="D4137" t="s">
        <v>23</v>
      </c>
      <c r="E4137" t="s">
        <v>53</v>
      </c>
      <c r="F4137" t="s">
        <v>14</v>
      </c>
      <c r="G4137" s="4">
        <v>9</v>
      </c>
      <c r="H4137" s="1">
        <v>33465</v>
      </c>
      <c r="I4137" s="3" t="s">
        <v>21</v>
      </c>
      <c r="J4137" s="4">
        <v>1</v>
      </c>
    </row>
    <row r="4138" spans="1:10" x14ac:dyDescent="0.35">
      <c r="A4138" s="2" t="s">
        <v>4174</v>
      </c>
      <c r="B4138" s="4">
        <v>15</v>
      </c>
      <c r="C4138" t="s">
        <v>17</v>
      </c>
      <c r="D4138" t="s">
        <v>33</v>
      </c>
      <c r="E4138" t="s">
        <v>19</v>
      </c>
      <c r="F4138" t="s">
        <v>30</v>
      </c>
      <c r="G4138" s="4">
        <v>12</v>
      </c>
      <c r="H4138" s="1">
        <v>96334</v>
      </c>
      <c r="I4138" s="3" t="s">
        <v>21</v>
      </c>
      <c r="J4138" s="4">
        <v>1</v>
      </c>
    </row>
    <row r="4139" spans="1:10" x14ac:dyDescent="0.35">
      <c r="A4139" s="2" t="s">
        <v>4175</v>
      </c>
      <c r="B4139" s="4">
        <v>79</v>
      </c>
      <c r="C4139" t="s">
        <v>11</v>
      </c>
      <c r="D4139" t="s">
        <v>41</v>
      </c>
      <c r="E4139" t="s">
        <v>24</v>
      </c>
      <c r="F4139" t="s">
        <v>30</v>
      </c>
      <c r="G4139" s="4">
        <v>1</v>
      </c>
      <c r="H4139" s="1">
        <v>83752</v>
      </c>
      <c r="I4139" s="3" t="s">
        <v>15</v>
      </c>
      <c r="J4139" s="4">
        <v>2</v>
      </c>
    </row>
    <row r="4140" spans="1:10" x14ac:dyDescent="0.35">
      <c r="A4140" s="2" t="s">
        <v>4176</v>
      </c>
      <c r="B4140" s="4">
        <v>33</v>
      </c>
      <c r="C4140" t="s">
        <v>11</v>
      </c>
      <c r="D4140" t="s">
        <v>26</v>
      </c>
      <c r="E4140" t="s">
        <v>42</v>
      </c>
      <c r="F4140" t="s">
        <v>20</v>
      </c>
      <c r="G4140" s="4">
        <v>7</v>
      </c>
      <c r="H4140" s="1">
        <v>19913</v>
      </c>
      <c r="I4140" s="3" t="s">
        <v>15</v>
      </c>
      <c r="J4140" s="4">
        <v>1</v>
      </c>
    </row>
    <row r="4141" spans="1:10" x14ac:dyDescent="0.35">
      <c r="A4141" s="2" t="s">
        <v>4177</v>
      </c>
      <c r="B4141" s="4">
        <v>18</v>
      </c>
      <c r="C4141" t="s">
        <v>17</v>
      </c>
      <c r="D4141" t="s">
        <v>28</v>
      </c>
      <c r="E4141" t="s">
        <v>24</v>
      </c>
      <c r="F4141" t="s">
        <v>20</v>
      </c>
      <c r="G4141" s="4">
        <v>12</v>
      </c>
      <c r="H4141" s="1">
        <v>12811</v>
      </c>
      <c r="I4141" s="3" t="s">
        <v>15</v>
      </c>
      <c r="J4141" s="4">
        <v>5</v>
      </c>
    </row>
    <row r="4142" spans="1:10" x14ac:dyDescent="0.35">
      <c r="A4142" s="2" t="s">
        <v>4178</v>
      </c>
      <c r="B4142" s="4">
        <v>10</v>
      </c>
      <c r="C4142" t="s">
        <v>17</v>
      </c>
      <c r="D4142" t="s">
        <v>41</v>
      </c>
      <c r="E4142" t="s">
        <v>65</v>
      </c>
      <c r="F4142" t="s">
        <v>30</v>
      </c>
      <c r="G4142" s="4">
        <v>10</v>
      </c>
      <c r="H4142" s="1">
        <v>72401</v>
      </c>
      <c r="I4142" s="3" t="s">
        <v>21</v>
      </c>
      <c r="J4142" s="4">
        <v>4</v>
      </c>
    </row>
    <row r="4143" spans="1:10" x14ac:dyDescent="0.35">
      <c r="A4143" s="2" t="s">
        <v>4179</v>
      </c>
      <c r="B4143" s="4">
        <v>20</v>
      </c>
      <c r="C4143" t="s">
        <v>11</v>
      </c>
      <c r="D4143" t="s">
        <v>26</v>
      </c>
      <c r="E4143" t="s">
        <v>34</v>
      </c>
      <c r="F4143" t="s">
        <v>30</v>
      </c>
      <c r="G4143" s="4">
        <v>4</v>
      </c>
      <c r="H4143" s="1">
        <v>95161</v>
      </c>
      <c r="I4143" s="3" t="s">
        <v>15</v>
      </c>
      <c r="J4143" s="4">
        <v>1</v>
      </c>
    </row>
    <row r="4144" spans="1:10" x14ac:dyDescent="0.35">
      <c r="A4144" s="2" t="s">
        <v>4180</v>
      </c>
      <c r="B4144" s="4">
        <v>56</v>
      </c>
      <c r="C4144" t="s">
        <v>17</v>
      </c>
      <c r="D4144" t="s">
        <v>39</v>
      </c>
      <c r="E4144" t="s">
        <v>34</v>
      </c>
      <c r="F4144" t="s">
        <v>30</v>
      </c>
      <c r="G4144" s="4">
        <v>13</v>
      </c>
      <c r="H4144" s="1">
        <v>42138</v>
      </c>
      <c r="I4144" s="3" t="s">
        <v>21</v>
      </c>
      <c r="J4144" s="4">
        <v>1</v>
      </c>
    </row>
    <row r="4145" spans="1:10" x14ac:dyDescent="0.35">
      <c r="A4145" s="2" t="s">
        <v>4181</v>
      </c>
      <c r="B4145" s="4">
        <v>24</v>
      </c>
      <c r="C4145" t="s">
        <v>11</v>
      </c>
      <c r="D4145" t="s">
        <v>39</v>
      </c>
      <c r="E4145" t="s">
        <v>65</v>
      </c>
      <c r="F4145" t="s">
        <v>30</v>
      </c>
      <c r="G4145" s="4">
        <v>11</v>
      </c>
      <c r="H4145" s="1">
        <v>73634</v>
      </c>
      <c r="I4145" s="3" t="s">
        <v>21</v>
      </c>
      <c r="J4145" s="4">
        <v>5</v>
      </c>
    </row>
    <row r="4146" spans="1:10" x14ac:dyDescent="0.35">
      <c r="A4146" s="2" t="s">
        <v>4182</v>
      </c>
      <c r="B4146" s="4">
        <v>34</v>
      </c>
      <c r="C4146" t="s">
        <v>11</v>
      </c>
      <c r="D4146" t="s">
        <v>41</v>
      </c>
      <c r="E4146" t="s">
        <v>24</v>
      </c>
      <c r="F4146" t="s">
        <v>30</v>
      </c>
      <c r="G4146" s="4">
        <v>5</v>
      </c>
      <c r="H4146" s="1">
        <v>40592</v>
      </c>
      <c r="I4146" s="3" t="s">
        <v>15</v>
      </c>
      <c r="J4146" s="4">
        <v>5</v>
      </c>
    </row>
    <row r="4147" spans="1:10" x14ac:dyDescent="0.35">
      <c r="A4147" s="2" t="s">
        <v>4183</v>
      </c>
      <c r="B4147" s="4">
        <v>87</v>
      </c>
      <c r="C4147" t="s">
        <v>11</v>
      </c>
      <c r="D4147" t="s">
        <v>28</v>
      </c>
      <c r="E4147" t="s">
        <v>27</v>
      </c>
      <c r="F4147" t="s">
        <v>30</v>
      </c>
      <c r="G4147" s="4">
        <v>14</v>
      </c>
      <c r="H4147" s="1">
        <v>91201</v>
      </c>
      <c r="I4147" s="3" t="s">
        <v>21</v>
      </c>
      <c r="J4147" s="4">
        <v>4</v>
      </c>
    </row>
    <row r="4148" spans="1:10" x14ac:dyDescent="0.35">
      <c r="A4148" s="2" t="s">
        <v>4184</v>
      </c>
      <c r="B4148" s="4">
        <v>16</v>
      </c>
      <c r="C4148" t="s">
        <v>11</v>
      </c>
      <c r="D4148" t="s">
        <v>33</v>
      </c>
      <c r="E4148" t="s">
        <v>65</v>
      </c>
      <c r="F4148" t="s">
        <v>14</v>
      </c>
      <c r="G4148" s="4">
        <v>13</v>
      </c>
      <c r="H4148" s="1">
        <v>5847</v>
      </c>
      <c r="I4148" s="3" t="s">
        <v>15</v>
      </c>
      <c r="J4148" s="4">
        <v>5</v>
      </c>
    </row>
    <row r="4149" spans="1:10" x14ac:dyDescent="0.35">
      <c r="A4149" s="2" t="s">
        <v>4185</v>
      </c>
      <c r="B4149" s="4">
        <v>34</v>
      </c>
      <c r="C4149" t="s">
        <v>11</v>
      </c>
      <c r="D4149" t="s">
        <v>26</v>
      </c>
      <c r="E4149" t="s">
        <v>37</v>
      </c>
      <c r="F4149" t="s">
        <v>30</v>
      </c>
      <c r="G4149" s="4">
        <v>10</v>
      </c>
      <c r="H4149" s="1">
        <v>99312</v>
      </c>
      <c r="I4149" s="3" t="s">
        <v>15</v>
      </c>
      <c r="J4149" s="4">
        <v>5</v>
      </c>
    </row>
    <row r="4150" spans="1:10" x14ac:dyDescent="0.35">
      <c r="A4150" s="2" t="s">
        <v>4186</v>
      </c>
      <c r="B4150" s="4">
        <v>75</v>
      </c>
      <c r="C4150" t="s">
        <v>17</v>
      </c>
      <c r="D4150" t="s">
        <v>39</v>
      </c>
      <c r="E4150" t="s">
        <v>34</v>
      </c>
      <c r="F4150" t="s">
        <v>30</v>
      </c>
      <c r="G4150" s="4">
        <v>6</v>
      </c>
      <c r="H4150" s="1">
        <v>97357</v>
      </c>
      <c r="I4150" s="3" t="s">
        <v>21</v>
      </c>
      <c r="J4150" s="4">
        <v>4</v>
      </c>
    </row>
    <row r="4151" spans="1:10" x14ac:dyDescent="0.35">
      <c r="A4151" s="2" t="s">
        <v>4187</v>
      </c>
      <c r="B4151" s="4">
        <v>33</v>
      </c>
      <c r="C4151" t="s">
        <v>17</v>
      </c>
      <c r="D4151" t="s">
        <v>18</v>
      </c>
      <c r="E4151" t="s">
        <v>34</v>
      </c>
      <c r="F4151" t="s">
        <v>30</v>
      </c>
      <c r="G4151" s="4">
        <v>15</v>
      </c>
      <c r="H4151" s="1">
        <v>23980</v>
      </c>
      <c r="I4151" s="3" t="s">
        <v>15</v>
      </c>
      <c r="J4151" s="4">
        <v>3</v>
      </c>
    </row>
    <row r="4152" spans="1:10" x14ac:dyDescent="0.35">
      <c r="A4152" s="2" t="s">
        <v>4188</v>
      </c>
      <c r="B4152" s="4">
        <v>1</v>
      </c>
      <c r="C4152" t="s">
        <v>11</v>
      </c>
      <c r="D4152" t="s">
        <v>26</v>
      </c>
      <c r="E4152" t="s">
        <v>13</v>
      </c>
      <c r="F4152" t="s">
        <v>30</v>
      </c>
      <c r="G4152" s="4">
        <v>1</v>
      </c>
      <c r="H4152" s="1">
        <v>10710</v>
      </c>
      <c r="I4152" s="3" t="s">
        <v>15</v>
      </c>
      <c r="J4152" s="4">
        <v>5</v>
      </c>
    </row>
    <row r="4153" spans="1:10" x14ac:dyDescent="0.35">
      <c r="A4153" s="2" t="s">
        <v>4189</v>
      </c>
      <c r="B4153" s="4">
        <v>49</v>
      </c>
      <c r="C4153" t="s">
        <v>17</v>
      </c>
      <c r="D4153" t="s">
        <v>28</v>
      </c>
      <c r="E4153" t="s">
        <v>19</v>
      </c>
      <c r="F4153" t="s">
        <v>30</v>
      </c>
      <c r="G4153" s="4">
        <v>15</v>
      </c>
      <c r="H4153" s="1">
        <v>5253</v>
      </c>
      <c r="I4153" s="3" t="s">
        <v>15</v>
      </c>
      <c r="J4153" s="4">
        <v>2</v>
      </c>
    </row>
    <row r="4154" spans="1:10" x14ac:dyDescent="0.35">
      <c r="A4154" s="2" t="s">
        <v>4190</v>
      </c>
      <c r="B4154" s="4">
        <v>90</v>
      </c>
      <c r="C4154" t="s">
        <v>11</v>
      </c>
      <c r="D4154" t="s">
        <v>41</v>
      </c>
      <c r="E4154" t="s">
        <v>42</v>
      </c>
      <c r="F4154" t="s">
        <v>14</v>
      </c>
      <c r="G4154" s="4">
        <v>3</v>
      </c>
      <c r="H4154" s="1">
        <v>83548</v>
      </c>
      <c r="I4154" s="3" t="s">
        <v>15</v>
      </c>
      <c r="J4154" s="4">
        <v>1</v>
      </c>
    </row>
    <row r="4155" spans="1:10" x14ac:dyDescent="0.35">
      <c r="A4155" s="2" t="s">
        <v>4191</v>
      </c>
      <c r="B4155" s="4">
        <v>1</v>
      </c>
      <c r="C4155" t="s">
        <v>17</v>
      </c>
      <c r="D4155" t="s">
        <v>33</v>
      </c>
      <c r="E4155" t="s">
        <v>29</v>
      </c>
      <c r="F4155" t="s">
        <v>20</v>
      </c>
      <c r="G4155" s="4">
        <v>5</v>
      </c>
      <c r="H4155" s="1">
        <v>77583</v>
      </c>
      <c r="I4155" s="3" t="s">
        <v>21</v>
      </c>
      <c r="J4155" s="4">
        <v>1</v>
      </c>
    </row>
    <row r="4156" spans="1:10" x14ac:dyDescent="0.35">
      <c r="A4156" s="2" t="s">
        <v>4192</v>
      </c>
      <c r="B4156" s="4">
        <v>18</v>
      </c>
      <c r="C4156" t="s">
        <v>17</v>
      </c>
      <c r="D4156" t="s">
        <v>23</v>
      </c>
      <c r="E4156" t="s">
        <v>53</v>
      </c>
      <c r="F4156" t="s">
        <v>30</v>
      </c>
      <c r="G4156" s="4">
        <v>3</v>
      </c>
      <c r="H4156" s="1">
        <v>9330</v>
      </c>
      <c r="I4156" s="3" t="s">
        <v>21</v>
      </c>
      <c r="J4156" s="4">
        <v>3</v>
      </c>
    </row>
    <row r="4157" spans="1:10" x14ac:dyDescent="0.35">
      <c r="A4157" s="2" t="s">
        <v>4193</v>
      </c>
      <c r="B4157" s="4">
        <v>38</v>
      </c>
      <c r="C4157" t="s">
        <v>11</v>
      </c>
      <c r="D4157" t="s">
        <v>23</v>
      </c>
      <c r="E4157" t="s">
        <v>27</v>
      </c>
      <c r="F4157" t="s">
        <v>14</v>
      </c>
      <c r="G4157" s="4">
        <v>12</v>
      </c>
      <c r="H4157" s="1">
        <v>80216</v>
      </c>
      <c r="I4157" s="3" t="s">
        <v>15</v>
      </c>
      <c r="J4157" s="4">
        <v>5</v>
      </c>
    </row>
    <row r="4158" spans="1:10" x14ac:dyDescent="0.35">
      <c r="A4158" s="2" t="s">
        <v>4194</v>
      </c>
      <c r="B4158" s="4">
        <v>27</v>
      </c>
      <c r="C4158" t="s">
        <v>11</v>
      </c>
      <c r="D4158" t="s">
        <v>41</v>
      </c>
      <c r="E4158" t="s">
        <v>19</v>
      </c>
      <c r="F4158" t="s">
        <v>30</v>
      </c>
      <c r="G4158" s="4">
        <v>9</v>
      </c>
      <c r="H4158" s="1">
        <v>15867</v>
      </c>
      <c r="I4158" s="3" t="s">
        <v>15</v>
      </c>
      <c r="J4158" s="4">
        <v>2</v>
      </c>
    </row>
    <row r="4159" spans="1:10" x14ac:dyDescent="0.35">
      <c r="A4159" s="2" t="s">
        <v>4195</v>
      </c>
      <c r="B4159" s="4">
        <v>29</v>
      </c>
      <c r="C4159" t="s">
        <v>11</v>
      </c>
      <c r="D4159" t="s">
        <v>23</v>
      </c>
      <c r="E4159" t="s">
        <v>37</v>
      </c>
      <c r="F4159" t="s">
        <v>14</v>
      </c>
      <c r="G4159" s="4">
        <v>1</v>
      </c>
      <c r="H4159" s="1">
        <v>32533</v>
      </c>
      <c r="I4159" s="3" t="s">
        <v>21</v>
      </c>
      <c r="J4159" s="4">
        <v>4</v>
      </c>
    </row>
    <row r="4160" spans="1:10" x14ac:dyDescent="0.35">
      <c r="A4160" s="2" t="s">
        <v>4196</v>
      </c>
      <c r="B4160" s="4">
        <v>67</v>
      </c>
      <c r="C4160" t="s">
        <v>17</v>
      </c>
      <c r="D4160" t="s">
        <v>33</v>
      </c>
      <c r="E4160" t="s">
        <v>29</v>
      </c>
      <c r="F4160" t="s">
        <v>30</v>
      </c>
      <c r="G4160" s="4">
        <v>8</v>
      </c>
      <c r="H4160" s="1">
        <v>99693</v>
      </c>
      <c r="I4160" s="3" t="s">
        <v>15</v>
      </c>
      <c r="J4160" s="4">
        <v>4</v>
      </c>
    </row>
    <row r="4161" spans="1:10" x14ac:dyDescent="0.35">
      <c r="A4161" s="2" t="s">
        <v>4197</v>
      </c>
      <c r="B4161" s="4">
        <v>45</v>
      </c>
      <c r="C4161" t="s">
        <v>17</v>
      </c>
      <c r="D4161" t="s">
        <v>41</v>
      </c>
      <c r="E4161" t="s">
        <v>65</v>
      </c>
      <c r="F4161" t="s">
        <v>30</v>
      </c>
      <c r="G4161" s="4">
        <v>10</v>
      </c>
      <c r="H4161" s="1">
        <v>66527</v>
      </c>
      <c r="I4161" s="3" t="s">
        <v>21</v>
      </c>
      <c r="J4161" s="4">
        <v>4</v>
      </c>
    </row>
    <row r="4162" spans="1:10" x14ac:dyDescent="0.35">
      <c r="A4162" s="2" t="s">
        <v>4198</v>
      </c>
      <c r="B4162" s="4">
        <v>75</v>
      </c>
      <c r="C4162" t="s">
        <v>11</v>
      </c>
      <c r="D4162" t="s">
        <v>49</v>
      </c>
      <c r="E4162" t="s">
        <v>29</v>
      </c>
      <c r="F4162" t="s">
        <v>30</v>
      </c>
      <c r="G4162" s="4">
        <v>10</v>
      </c>
      <c r="H4162" s="1">
        <v>53968</v>
      </c>
      <c r="I4162" s="3" t="s">
        <v>21</v>
      </c>
      <c r="J4162" s="4">
        <v>3</v>
      </c>
    </row>
    <row r="4163" spans="1:10" x14ac:dyDescent="0.35">
      <c r="A4163" s="2" t="s">
        <v>4199</v>
      </c>
      <c r="B4163" s="4">
        <v>29</v>
      </c>
      <c r="C4163" t="s">
        <v>11</v>
      </c>
      <c r="D4163" t="s">
        <v>33</v>
      </c>
      <c r="E4163" t="s">
        <v>24</v>
      </c>
      <c r="F4163" t="s">
        <v>30</v>
      </c>
      <c r="G4163" s="4">
        <v>9</v>
      </c>
      <c r="H4163" s="1">
        <v>88069</v>
      </c>
      <c r="I4163" s="3" t="s">
        <v>15</v>
      </c>
      <c r="J4163" s="4">
        <v>3</v>
      </c>
    </row>
    <row r="4164" spans="1:10" x14ac:dyDescent="0.35">
      <c r="A4164" s="2" t="s">
        <v>4200</v>
      </c>
      <c r="B4164" s="4">
        <v>38</v>
      </c>
      <c r="C4164" t="s">
        <v>11</v>
      </c>
      <c r="D4164" t="s">
        <v>36</v>
      </c>
      <c r="E4164" t="s">
        <v>42</v>
      </c>
      <c r="F4164" t="s">
        <v>14</v>
      </c>
      <c r="G4164" s="4">
        <v>12</v>
      </c>
      <c r="H4164" s="1">
        <v>46892</v>
      </c>
      <c r="I4164" s="3" t="s">
        <v>21</v>
      </c>
      <c r="J4164" s="4">
        <v>1</v>
      </c>
    </row>
    <row r="4165" spans="1:10" x14ac:dyDescent="0.35">
      <c r="A4165" s="2" t="s">
        <v>4201</v>
      </c>
      <c r="B4165" s="4">
        <v>41</v>
      </c>
      <c r="C4165" t="s">
        <v>17</v>
      </c>
      <c r="D4165" t="s">
        <v>39</v>
      </c>
      <c r="E4165" t="s">
        <v>29</v>
      </c>
      <c r="F4165" t="s">
        <v>30</v>
      </c>
      <c r="G4165" s="4">
        <v>15</v>
      </c>
      <c r="H4165" s="1">
        <v>29393</v>
      </c>
      <c r="I4165" s="3" t="s">
        <v>15</v>
      </c>
      <c r="J4165" s="4">
        <v>3</v>
      </c>
    </row>
    <row r="4166" spans="1:10" x14ac:dyDescent="0.35">
      <c r="A4166" s="2" t="s">
        <v>4202</v>
      </c>
      <c r="B4166" s="4">
        <v>76</v>
      </c>
      <c r="C4166" t="s">
        <v>17</v>
      </c>
      <c r="D4166" t="s">
        <v>39</v>
      </c>
      <c r="E4166" t="s">
        <v>13</v>
      </c>
      <c r="F4166" t="s">
        <v>14</v>
      </c>
      <c r="G4166" s="4">
        <v>10</v>
      </c>
      <c r="H4166" s="1">
        <v>79732</v>
      </c>
      <c r="I4166" s="3" t="s">
        <v>15</v>
      </c>
      <c r="J4166" s="4">
        <v>3</v>
      </c>
    </row>
    <row r="4167" spans="1:10" x14ac:dyDescent="0.35">
      <c r="A4167" s="2" t="s">
        <v>4203</v>
      </c>
      <c r="B4167" s="4">
        <v>39</v>
      </c>
      <c r="C4167" t="s">
        <v>17</v>
      </c>
      <c r="D4167" t="s">
        <v>28</v>
      </c>
      <c r="E4167" t="s">
        <v>24</v>
      </c>
      <c r="F4167" t="s">
        <v>30</v>
      </c>
      <c r="G4167" s="4">
        <v>6</v>
      </c>
      <c r="H4167" s="1">
        <v>51020</v>
      </c>
      <c r="I4167" s="3" t="s">
        <v>15</v>
      </c>
      <c r="J4167" s="4">
        <v>2</v>
      </c>
    </row>
    <row r="4168" spans="1:10" x14ac:dyDescent="0.35">
      <c r="A4168" s="2" t="s">
        <v>4204</v>
      </c>
      <c r="B4168" s="4">
        <v>86</v>
      </c>
      <c r="C4168" t="s">
        <v>17</v>
      </c>
      <c r="D4168" t="s">
        <v>28</v>
      </c>
      <c r="E4168" t="s">
        <v>24</v>
      </c>
      <c r="F4168" t="s">
        <v>20</v>
      </c>
      <c r="G4168" s="4">
        <v>6</v>
      </c>
      <c r="H4168" s="1">
        <v>5457</v>
      </c>
      <c r="I4168" s="3" t="s">
        <v>21</v>
      </c>
      <c r="J4168" s="4">
        <v>4</v>
      </c>
    </row>
    <row r="4169" spans="1:10" x14ac:dyDescent="0.35">
      <c r="A4169" s="2" t="s">
        <v>4205</v>
      </c>
      <c r="B4169" s="4">
        <v>52</v>
      </c>
      <c r="C4169" t="s">
        <v>17</v>
      </c>
      <c r="D4169" t="s">
        <v>36</v>
      </c>
      <c r="E4169" t="s">
        <v>29</v>
      </c>
      <c r="F4169" t="s">
        <v>20</v>
      </c>
      <c r="G4169" s="4">
        <v>5</v>
      </c>
      <c r="H4169" s="1">
        <v>22456</v>
      </c>
      <c r="I4169" s="3" t="s">
        <v>15</v>
      </c>
      <c r="J4169" s="4">
        <v>2</v>
      </c>
    </row>
    <row r="4170" spans="1:10" x14ac:dyDescent="0.35">
      <c r="A4170" s="2" t="s">
        <v>4206</v>
      </c>
      <c r="B4170" s="4">
        <v>16</v>
      </c>
      <c r="C4170" t="s">
        <v>11</v>
      </c>
      <c r="D4170" t="s">
        <v>36</v>
      </c>
      <c r="E4170" t="s">
        <v>65</v>
      </c>
      <c r="F4170" t="s">
        <v>20</v>
      </c>
      <c r="G4170" s="4">
        <v>1</v>
      </c>
      <c r="H4170" s="1">
        <v>53027</v>
      </c>
      <c r="I4170" s="3" t="s">
        <v>21</v>
      </c>
      <c r="J4170" s="4">
        <v>5</v>
      </c>
    </row>
    <row r="4171" spans="1:10" x14ac:dyDescent="0.35">
      <c r="A4171" s="2" t="s">
        <v>4207</v>
      </c>
      <c r="B4171" s="4">
        <v>72</v>
      </c>
      <c r="C4171" t="s">
        <v>11</v>
      </c>
      <c r="D4171" t="s">
        <v>41</v>
      </c>
      <c r="E4171" t="s">
        <v>29</v>
      </c>
      <c r="F4171" t="s">
        <v>20</v>
      </c>
      <c r="G4171" s="4">
        <v>2</v>
      </c>
      <c r="H4171" s="1">
        <v>60642</v>
      </c>
      <c r="I4171" s="3" t="s">
        <v>15</v>
      </c>
      <c r="J4171" s="4">
        <v>1</v>
      </c>
    </row>
    <row r="4172" spans="1:10" x14ac:dyDescent="0.35">
      <c r="A4172" s="2" t="s">
        <v>4208</v>
      </c>
      <c r="B4172" s="4">
        <v>77</v>
      </c>
      <c r="C4172" t="s">
        <v>11</v>
      </c>
      <c r="D4172" t="s">
        <v>41</v>
      </c>
      <c r="E4172" t="s">
        <v>42</v>
      </c>
      <c r="F4172" t="s">
        <v>20</v>
      </c>
      <c r="G4172" s="4">
        <v>11</v>
      </c>
      <c r="H4172" s="1">
        <v>48295</v>
      </c>
      <c r="I4172" s="3" t="s">
        <v>15</v>
      </c>
      <c r="J4172" s="4">
        <v>3</v>
      </c>
    </row>
    <row r="4173" spans="1:10" x14ac:dyDescent="0.35">
      <c r="A4173" s="2" t="s">
        <v>4209</v>
      </c>
      <c r="B4173" s="4">
        <v>3</v>
      </c>
      <c r="C4173" t="s">
        <v>17</v>
      </c>
      <c r="D4173" t="s">
        <v>49</v>
      </c>
      <c r="E4173" t="s">
        <v>27</v>
      </c>
      <c r="F4173" t="s">
        <v>20</v>
      </c>
      <c r="G4173" s="4">
        <v>15</v>
      </c>
      <c r="H4173" s="1">
        <v>55618</v>
      </c>
      <c r="I4173" s="3" t="s">
        <v>21</v>
      </c>
      <c r="J4173" s="4">
        <v>5</v>
      </c>
    </row>
    <row r="4174" spans="1:10" x14ac:dyDescent="0.35">
      <c r="A4174" s="2" t="s">
        <v>4210</v>
      </c>
      <c r="B4174" s="4">
        <v>62</v>
      </c>
      <c r="C4174" t="s">
        <v>11</v>
      </c>
      <c r="D4174" t="s">
        <v>33</v>
      </c>
      <c r="E4174" t="s">
        <v>65</v>
      </c>
      <c r="F4174" t="s">
        <v>30</v>
      </c>
      <c r="G4174" s="4">
        <v>1</v>
      </c>
      <c r="H4174" s="1">
        <v>45710</v>
      </c>
      <c r="I4174" s="3" t="s">
        <v>21</v>
      </c>
      <c r="J4174" s="4">
        <v>2</v>
      </c>
    </row>
    <row r="4175" spans="1:10" x14ac:dyDescent="0.35">
      <c r="A4175" s="2" t="s">
        <v>4211</v>
      </c>
      <c r="B4175" s="4">
        <v>41</v>
      </c>
      <c r="C4175" t="s">
        <v>17</v>
      </c>
      <c r="D4175" t="s">
        <v>33</v>
      </c>
      <c r="E4175" t="s">
        <v>34</v>
      </c>
      <c r="F4175" t="s">
        <v>30</v>
      </c>
      <c r="G4175" s="4">
        <v>7</v>
      </c>
      <c r="H4175" s="1">
        <v>18711</v>
      </c>
      <c r="I4175" s="3" t="s">
        <v>15</v>
      </c>
      <c r="J4175" s="4">
        <v>1</v>
      </c>
    </row>
    <row r="4176" spans="1:10" x14ac:dyDescent="0.35">
      <c r="A4176" s="2" t="s">
        <v>4212</v>
      </c>
      <c r="B4176" s="4">
        <v>2</v>
      </c>
      <c r="C4176" t="s">
        <v>11</v>
      </c>
      <c r="D4176" t="s">
        <v>28</v>
      </c>
      <c r="E4176" t="s">
        <v>13</v>
      </c>
      <c r="F4176" t="s">
        <v>20</v>
      </c>
      <c r="G4176" s="4">
        <v>6</v>
      </c>
      <c r="H4176" s="1">
        <v>48129</v>
      </c>
      <c r="I4176" s="3" t="s">
        <v>15</v>
      </c>
      <c r="J4176" s="4">
        <v>5</v>
      </c>
    </row>
    <row r="4177" spans="1:10" x14ac:dyDescent="0.35">
      <c r="A4177" s="2" t="s">
        <v>4213</v>
      </c>
      <c r="B4177" s="4">
        <v>30</v>
      </c>
      <c r="C4177" t="s">
        <v>11</v>
      </c>
      <c r="D4177" t="s">
        <v>23</v>
      </c>
      <c r="E4177" t="s">
        <v>27</v>
      </c>
      <c r="F4177" t="s">
        <v>20</v>
      </c>
      <c r="G4177" s="4">
        <v>2</v>
      </c>
      <c r="H4177" s="1">
        <v>70418</v>
      </c>
      <c r="I4177" s="3" t="s">
        <v>21</v>
      </c>
      <c r="J4177" s="4">
        <v>3</v>
      </c>
    </row>
    <row r="4178" spans="1:10" x14ac:dyDescent="0.35">
      <c r="A4178" s="2" t="s">
        <v>4214</v>
      </c>
      <c r="B4178" s="4">
        <v>34</v>
      </c>
      <c r="C4178" t="s">
        <v>11</v>
      </c>
      <c r="D4178" t="s">
        <v>49</v>
      </c>
      <c r="E4178" t="s">
        <v>13</v>
      </c>
      <c r="F4178" t="s">
        <v>14</v>
      </c>
      <c r="G4178" s="4">
        <v>1</v>
      </c>
      <c r="H4178" s="1">
        <v>93148</v>
      </c>
      <c r="I4178" s="3" t="s">
        <v>21</v>
      </c>
      <c r="J4178" s="4">
        <v>1</v>
      </c>
    </row>
    <row r="4179" spans="1:10" x14ac:dyDescent="0.35">
      <c r="A4179" s="2" t="s">
        <v>4215</v>
      </c>
      <c r="B4179" s="4">
        <v>62</v>
      </c>
      <c r="C4179" t="s">
        <v>11</v>
      </c>
      <c r="D4179" t="s">
        <v>36</v>
      </c>
      <c r="E4179" t="s">
        <v>19</v>
      </c>
      <c r="F4179" t="s">
        <v>20</v>
      </c>
      <c r="G4179" s="4">
        <v>3</v>
      </c>
      <c r="H4179" s="1">
        <v>63832</v>
      </c>
      <c r="I4179" s="3" t="s">
        <v>21</v>
      </c>
      <c r="J4179" s="4">
        <v>4</v>
      </c>
    </row>
    <row r="4180" spans="1:10" x14ac:dyDescent="0.35">
      <c r="A4180" s="2" t="s">
        <v>4216</v>
      </c>
      <c r="B4180" s="4">
        <v>46</v>
      </c>
      <c r="C4180" t="s">
        <v>17</v>
      </c>
      <c r="D4180" t="s">
        <v>28</v>
      </c>
      <c r="E4180" t="s">
        <v>27</v>
      </c>
      <c r="F4180" t="s">
        <v>30</v>
      </c>
      <c r="G4180" s="4">
        <v>8</v>
      </c>
      <c r="H4180" s="1">
        <v>11781</v>
      </c>
      <c r="I4180" s="3" t="s">
        <v>21</v>
      </c>
      <c r="J4180" s="4">
        <v>4</v>
      </c>
    </row>
    <row r="4181" spans="1:10" x14ac:dyDescent="0.35">
      <c r="A4181" s="2" t="s">
        <v>4217</v>
      </c>
      <c r="B4181" s="4">
        <v>61</v>
      </c>
      <c r="C4181" t="s">
        <v>17</v>
      </c>
      <c r="D4181" t="s">
        <v>41</v>
      </c>
      <c r="E4181" t="s">
        <v>27</v>
      </c>
      <c r="F4181" t="s">
        <v>30</v>
      </c>
      <c r="G4181" s="4">
        <v>7</v>
      </c>
      <c r="H4181" s="1">
        <v>78967</v>
      </c>
      <c r="I4181" s="3" t="s">
        <v>15</v>
      </c>
      <c r="J4181" s="4">
        <v>1</v>
      </c>
    </row>
    <row r="4182" spans="1:10" x14ac:dyDescent="0.35">
      <c r="A4182" s="2" t="s">
        <v>4218</v>
      </c>
      <c r="B4182" s="4">
        <v>78</v>
      </c>
      <c r="C4182" t="s">
        <v>17</v>
      </c>
      <c r="D4182" t="s">
        <v>36</v>
      </c>
      <c r="E4182" t="s">
        <v>65</v>
      </c>
      <c r="F4182" t="s">
        <v>20</v>
      </c>
      <c r="G4182" s="4">
        <v>12</v>
      </c>
      <c r="H4182" s="1">
        <v>35892</v>
      </c>
      <c r="I4182" s="3" t="s">
        <v>21</v>
      </c>
      <c r="J4182" s="4">
        <v>3</v>
      </c>
    </row>
    <row r="4183" spans="1:10" x14ac:dyDescent="0.35">
      <c r="A4183" s="2" t="s">
        <v>4219</v>
      </c>
      <c r="B4183" s="4">
        <v>75</v>
      </c>
      <c r="C4183" t="s">
        <v>17</v>
      </c>
      <c r="D4183" t="s">
        <v>28</v>
      </c>
      <c r="E4183" t="s">
        <v>24</v>
      </c>
      <c r="F4183" t="s">
        <v>30</v>
      </c>
      <c r="G4183" s="4">
        <v>9</v>
      </c>
      <c r="H4183" s="1">
        <v>55132</v>
      </c>
      <c r="I4183" s="3" t="s">
        <v>15</v>
      </c>
      <c r="J4183" s="4">
        <v>5</v>
      </c>
    </row>
    <row r="4184" spans="1:10" x14ac:dyDescent="0.35">
      <c r="A4184" s="2" t="s">
        <v>4220</v>
      </c>
      <c r="B4184" s="4">
        <v>76</v>
      </c>
      <c r="C4184" t="s">
        <v>11</v>
      </c>
      <c r="D4184" t="s">
        <v>49</v>
      </c>
      <c r="E4184" t="s">
        <v>13</v>
      </c>
      <c r="F4184" t="s">
        <v>30</v>
      </c>
      <c r="G4184" s="4">
        <v>6</v>
      </c>
      <c r="H4184" s="1">
        <v>17254</v>
      </c>
      <c r="I4184" s="3" t="s">
        <v>15</v>
      </c>
      <c r="J4184" s="4">
        <v>4</v>
      </c>
    </row>
    <row r="4185" spans="1:10" x14ac:dyDescent="0.35">
      <c r="A4185" s="2" t="s">
        <v>4221</v>
      </c>
      <c r="B4185" s="4">
        <v>44</v>
      </c>
      <c r="C4185" t="s">
        <v>17</v>
      </c>
      <c r="D4185" t="s">
        <v>23</v>
      </c>
      <c r="E4185" t="s">
        <v>34</v>
      </c>
      <c r="F4185" t="s">
        <v>30</v>
      </c>
      <c r="G4185" s="4">
        <v>1</v>
      </c>
      <c r="H4185" s="1">
        <v>45717</v>
      </c>
      <c r="I4185" s="3" t="s">
        <v>21</v>
      </c>
      <c r="J4185" s="4">
        <v>5</v>
      </c>
    </row>
    <row r="4186" spans="1:10" x14ac:dyDescent="0.35">
      <c r="A4186" s="2" t="s">
        <v>4222</v>
      </c>
      <c r="B4186" s="4">
        <v>7</v>
      </c>
      <c r="C4186" t="s">
        <v>11</v>
      </c>
      <c r="D4186" t="s">
        <v>36</v>
      </c>
      <c r="E4186" t="s">
        <v>37</v>
      </c>
      <c r="F4186" t="s">
        <v>20</v>
      </c>
      <c r="G4186" s="4">
        <v>13</v>
      </c>
      <c r="H4186" s="1">
        <v>85096</v>
      </c>
      <c r="I4186" s="3" t="s">
        <v>15</v>
      </c>
      <c r="J4186" s="4">
        <v>1</v>
      </c>
    </row>
    <row r="4187" spans="1:10" x14ac:dyDescent="0.35">
      <c r="A4187" s="2" t="s">
        <v>4223</v>
      </c>
      <c r="B4187" s="4">
        <v>81</v>
      </c>
      <c r="C4187" t="s">
        <v>11</v>
      </c>
      <c r="D4187" t="s">
        <v>26</v>
      </c>
      <c r="E4187" t="s">
        <v>53</v>
      </c>
      <c r="F4187" t="s">
        <v>30</v>
      </c>
      <c r="G4187" s="4">
        <v>4</v>
      </c>
      <c r="H4187" s="1">
        <v>66780</v>
      </c>
      <c r="I4187" s="3" t="s">
        <v>15</v>
      </c>
      <c r="J4187" s="4">
        <v>5</v>
      </c>
    </row>
    <row r="4188" spans="1:10" x14ac:dyDescent="0.35">
      <c r="A4188" s="2" t="s">
        <v>4224</v>
      </c>
      <c r="B4188" s="4">
        <v>81</v>
      </c>
      <c r="C4188" t="s">
        <v>11</v>
      </c>
      <c r="D4188" t="s">
        <v>36</v>
      </c>
      <c r="E4188" t="s">
        <v>34</v>
      </c>
      <c r="F4188" t="s">
        <v>20</v>
      </c>
      <c r="G4188" s="4">
        <v>3</v>
      </c>
      <c r="H4188" s="1">
        <v>35812</v>
      </c>
      <c r="I4188" s="3" t="s">
        <v>15</v>
      </c>
      <c r="J4188" s="4">
        <v>3</v>
      </c>
    </row>
    <row r="4189" spans="1:10" x14ac:dyDescent="0.35">
      <c r="A4189" s="2" t="s">
        <v>4225</v>
      </c>
      <c r="B4189" s="4">
        <v>71</v>
      </c>
      <c r="C4189" t="s">
        <v>17</v>
      </c>
      <c r="D4189" t="s">
        <v>33</v>
      </c>
      <c r="E4189" t="s">
        <v>53</v>
      </c>
      <c r="F4189" t="s">
        <v>14</v>
      </c>
      <c r="G4189" s="4">
        <v>6</v>
      </c>
      <c r="H4189" s="1">
        <v>55421</v>
      </c>
      <c r="I4189" s="3" t="s">
        <v>15</v>
      </c>
      <c r="J4189" s="4">
        <v>2</v>
      </c>
    </row>
    <row r="4190" spans="1:10" x14ac:dyDescent="0.35">
      <c r="A4190" s="2" t="s">
        <v>4226</v>
      </c>
      <c r="B4190" s="4">
        <v>90</v>
      </c>
      <c r="C4190" t="s">
        <v>11</v>
      </c>
      <c r="D4190" t="s">
        <v>36</v>
      </c>
      <c r="E4190" t="s">
        <v>34</v>
      </c>
      <c r="F4190" t="s">
        <v>14</v>
      </c>
      <c r="G4190" s="4">
        <v>1</v>
      </c>
      <c r="H4190" s="1">
        <v>48433</v>
      </c>
      <c r="I4190" s="3" t="s">
        <v>15</v>
      </c>
      <c r="J4190" s="4">
        <v>5</v>
      </c>
    </row>
    <row r="4191" spans="1:10" x14ac:dyDescent="0.35">
      <c r="A4191" s="2" t="s">
        <v>4227</v>
      </c>
      <c r="B4191" s="4">
        <v>64</v>
      </c>
      <c r="C4191" t="s">
        <v>17</v>
      </c>
      <c r="D4191" t="s">
        <v>23</v>
      </c>
      <c r="E4191" t="s">
        <v>37</v>
      </c>
      <c r="F4191" t="s">
        <v>30</v>
      </c>
      <c r="G4191" s="4">
        <v>1</v>
      </c>
      <c r="H4191" s="1">
        <v>93129</v>
      </c>
      <c r="I4191" s="3" t="s">
        <v>15</v>
      </c>
      <c r="J4191" s="4">
        <v>4</v>
      </c>
    </row>
    <row r="4192" spans="1:10" x14ac:dyDescent="0.35">
      <c r="A4192" s="2" t="s">
        <v>4228</v>
      </c>
      <c r="B4192" s="4">
        <v>20</v>
      </c>
      <c r="C4192" t="s">
        <v>11</v>
      </c>
      <c r="D4192" t="s">
        <v>18</v>
      </c>
      <c r="E4192" t="s">
        <v>24</v>
      </c>
      <c r="F4192" t="s">
        <v>14</v>
      </c>
      <c r="G4192" s="4">
        <v>10</v>
      </c>
      <c r="H4192" s="1">
        <v>69116</v>
      </c>
      <c r="I4192" s="3" t="s">
        <v>21</v>
      </c>
      <c r="J4192" s="4">
        <v>4</v>
      </c>
    </row>
    <row r="4193" spans="1:10" x14ac:dyDescent="0.35">
      <c r="A4193" s="2" t="s">
        <v>4229</v>
      </c>
      <c r="B4193" s="4">
        <v>84</v>
      </c>
      <c r="C4193" t="s">
        <v>17</v>
      </c>
      <c r="D4193" t="s">
        <v>28</v>
      </c>
      <c r="E4193" t="s">
        <v>34</v>
      </c>
      <c r="F4193" t="s">
        <v>14</v>
      </c>
      <c r="G4193" s="4">
        <v>14</v>
      </c>
      <c r="H4193" s="1">
        <v>82673</v>
      </c>
      <c r="I4193" s="3" t="s">
        <v>15</v>
      </c>
      <c r="J4193" s="4">
        <v>2</v>
      </c>
    </row>
    <row r="4194" spans="1:10" x14ac:dyDescent="0.35">
      <c r="A4194" s="2" t="s">
        <v>4230</v>
      </c>
      <c r="B4194" s="4">
        <v>20</v>
      </c>
      <c r="C4194" t="s">
        <v>17</v>
      </c>
      <c r="D4194" t="s">
        <v>26</v>
      </c>
      <c r="E4194" t="s">
        <v>53</v>
      </c>
      <c r="F4194" t="s">
        <v>20</v>
      </c>
      <c r="G4194" s="4">
        <v>2</v>
      </c>
      <c r="H4194" s="1">
        <v>28997</v>
      </c>
      <c r="I4194" s="3" t="s">
        <v>15</v>
      </c>
      <c r="J4194" s="4">
        <v>3</v>
      </c>
    </row>
    <row r="4195" spans="1:10" x14ac:dyDescent="0.35">
      <c r="A4195" s="2" t="s">
        <v>4231</v>
      </c>
      <c r="B4195" s="4">
        <v>35</v>
      </c>
      <c r="C4195" t="s">
        <v>11</v>
      </c>
      <c r="D4195" t="s">
        <v>39</v>
      </c>
      <c r="E4195" t="s">
        <v>65</v>
      </c>
      <c r="F4195" t="s">
        <v>30</v>
      </c>
      <c r="G4195" s="4">
        <v>3</v>
      </c>
      <c r="H4195" s="1">
        <v>80440</v>
      </c>
      <c r="I4195" s="3" t="s">
        <v>15</v>
      </c>
      <c r="J4195" s="4">
        <v>5</v>
      </c>
    </row>
    <row r="4196" spans="1:10" x14ac:dyDescent="0.35">
      <c r="A4196" s="2" t="s">
        <v>4232</v>
      </c>
      <c r="B4196" s="4">
        <v>42</v>
      </c>
      <c r="C4196" t="s">
        <v>11</v>
      </c>
      <c r="D4196" t="s">
        <v>18</v>
      </c>
      <c r="E4196" t="s">
        <v>13</v>
      </c>
      <c r="F4196" t="s">
        <v>20</v>
      </c>
      <c r="G4196" s="4">
        <v>2</v>
      </c>
      <c r="H4196" s="1">
        <v>41476</v>
      </c>
      <c r="I4196" s="3" t="s">
        <v>15</v>
      </c>
      <c r="J4196" s="4">
        <v>2</v>
      </c>
    </row>
    <row r="4197" spans="1:10" x14ac:dyDescent="0.35">
      <c r="A4197" s="2" t="s">
        <v>4233</v>
      </c>
      <c r="B4197" s="4">
        <v>32</v>
      </c>
      <c r="C4197" t="s">
        <v>11</v>
      </c>
      <c r="D4197" t="s">
        <v>26</v>
      </c>
      <c r="E4197" t="s">
        <v>19</v>
      </c>
      <c r="F4197" t="s">
        <v>20</v>
      </c>
      <c r="G4197" s="4">
        <v>1</v>
      </c>
      <c r="H4197" s="1">
        <v>62935</v>
      </c>
      <c r="I4197" s="3" t="s">
        <v>15</v>
      </c>
      <c r="J4197" s="4">
        <v>2</v>
      </c>
    </row>
    <row r="4198" spans="1:10" x14ac:dyDescent="0.35">
      <c r="A4198" s="2" t="s">
        <v>4234</v>
      </c>
      <c r="B4198" s="4">
        <v>22</v>
      </c>
      <c r="C4198" t="s">
        <v>17</v>
      </c>
      <c r="D4198" t="s">
        <v>26</v>
      </c>
      <c r="E4198" t="s">
        <v>65</v>
      </c>
      <c r="F4198" t="s">
        <v>20</v>
      </c>
      <c r="G4198" s="4">
        <v>4</v>
      </c>
      <c r="H4198" s="1">
        <v>16243</v>
      </c>
      <c r="I4198" s="3" t="s">
        <v>15</v>
      </c>
      <c r="J4198" s="4">
        <v>3</v>
      </c>
    </row>
    <row r="4199" spans="1:10" x14ac:dyDescent="0.35">
      <c r="A4199" s="2" t="s">
        <v>4235</v>
      </c>
      <c r="B4199" s="4">
        <v>4</v>
      </c>
      <c r="C4199" t="s">
        <v>17</v>
      </c>
      <c r="D4199" t="s">
        <v>28</v>
      </c>
      <c r="E4199" t="s">
        <v>27</v>
      </c>
      <c r="F4199" t="s">
        <v>30</v>
      </c>
      <c r="G4199" s="4">
        <v>8</v>
      </c>
      <c r="H4199" s="1">
        <v>5587</v>
      </c>
      <c r="I4199" s="3" t="s">
        <v>21</v>
      </c>
      <c r="J4199" s="4">
        <v>5</v>
      </c>
    </row>
    <row r="4200" spans="1:10" x14ac:dyDescent="0.35">
      <c r="A4200" s="2" t="s">
        <v>4236</v>
      </c>
      <c r="B4200" s="4">
        <v>6</v>
      </c>
      <c r="C4200" t="s">
        <v>17</v>
      </c>
      <c r="D4200" t="s">
        <v>49</v>
      </c>
      <c r="E4200" t="s">
        <v>53</v>
      </c>
      <c r="F4200" t="s">
        <v>30</v>
      </c>
      <c r="G4200" s="4">
        <v>11</v>
      </c>
      <c r="H4200" s="1">
        <v>81220</v>
      </c>
      <c r="I4200" s="3" t="s">
        <v>21</v>
      </c>
      <c r="J4200" s="4">
        <v>1</v>
      </c>
    </row>
    <row r="4201" spans="1:10" x14ac:dyDescent="0.35">
      <c r="A4201" s="2" t="s">
        <v>4237</v>
      </c>
      <c r="B4201" s="4">
        <v>18</v>
      </c>
      <c r="C4201" t="s">
        <v>11</v>
      </c>
      <c r="D4201" t="s">
        <v>49</v>
      </c>
      <c r="E4201" t="s">
        <v>24</v>
      </c>
      <c r="F4201" t="s">
        <v>14</v>
      </c>
      <c r="G4201" s="4">
        <v>13</v>
      </c>
      <c r="H4201" s="1">
        <v>41109</v>
      </c>
      <c r="I4201" s="3" t="s">
        <v>21</v>
      </c>
      <c r="J4201" s="4">
        <v>5</v>
      </c>
    </row>
    <row r="4202" spans="1:10" x14ac:dyDescent="0.35">
      <c r="A4202" s="2" t="s">
        <v>4238</v>
      </c>
      <c r="B4202" s="4">
        <v>30</v>
      </c>
      <c r="C4202" t="s">
        <v>17</v>
      </c>
      <c r="D4202" t="s">
        <v>39</v>
      </c>
      <c r="E4202" t="s">
        <v>53</v>
      </c>
      <c r="F4202" t="s">
        <v>14</v>
      </c>
      <c r="G4202" s="4">
        <v>8</v>
      </c>
      <c r="H4202" s="1">
        <v>15509</v>
      </c>
      <c r="I4202" s="3" t="s">
        <v>21</v>
      </c>
      <c r="J4202" s="4">
        <v>1</v>
      </c>
    </row>
    <row r="4203" spans="1:10" x14ac:dyDescent="0.35">
      <c r="A4203" s="2" t="s">
        <v>4239</v>
      </c>
      <c r="B4203" s="4">
        <v>48</v>
      </c>
      <c r="C4203" t="s">
        <v>17</v>
      </c>
      <c r="D4203" t="s">
        <v>28</v>
      </c>
      <c r="E4203" t="s">
        <v>65</v>
      </c>
      <c r="F4203" t="s">
        <v>20</v>
      </c>
      <c r="G4203" s="4">
        <v>8</v>
      </c>
      <c r="H4203" s="1">
        <v>33167</v>
      </c>
      <c r="I4203" s="3" t="s">
        <v>15</v>
      </c>
      <c r="J4203" s="4">
        <v>4</v>
      </c>
    </row>
    <row r="4204" spans="1:10" x14ac:dyDescent="0.35">
      <c r="A4204" s="2" t="s">
        <v>4240</v>
      </c>
      <c r="B4204" s="4">
        <v>43</v>
      </c>
      <c r="C4204" t="s">
        <v>17</v>
      </c>
      <c r="D4204" t="s">
        <v>28</v>
      </c>
      <c r="E4204" t="s">
        <v>34</v>
      </c>
      <c r="F4204" t="s">
        <v>14</v>
      </c>
      <c r="G4204" s="4">
        <v>8</v>
      </c>
      <c r="H4204" s="1">
        <v>94149</v>
      </c>
      <c r="I4204" s="3" t="s">
        <v>15</v>
      </c>
      <c r="J4204" s="4">
        <v>5</v>
      </c>
    </row>
    <row r="4205" spans="1:10" x14ac:dyDescent="0.35">
      <c r="A4205" s="2" t="s">
        <v>4241</v>
      </c>
      <c r="B4205" s="4">
        <v>88</v>
      </c>
      <c r="C4205" t="s">
        <v>17</v>
      </c>
      <c r="D4205" t="s">
        <v>12</v>
      </c>
      <c r="E4205" t="s">
        <v>53</v>
      </c>
      <c r="F4205" t="s">
        <v>14</v>
      </c>
      <c r="G4205" s="4">
        <v>3</v>
      </c>
      <c r="H4205" s="1">
        <v>66207</v>
      </c>
      <c r="I4205" s="3" t="s">
        <v>15</v>
      </c>
      <c r="J4205" s="4">
        <v>5</v>
      </c>
    </row>
    <row r="4206" spans="1:10" x14ac:dyDescent="0.35">
      <c r="A4206" s="2" t="s">
        <v>4242</v>
      </c>
      <c r="B4206" s="4">
        <v>14</v>
      </c>
      <c r="C4206" t="s">
        <v>17</v>
      </c>
      <c r="D4206" t="s">
        <v>26</v>
      </c>
      <c r="E4206" t="s">
        <v>24</v>
      </c>
      <c r="F4206" t="s">
        <v>20</v>
      </c>
      <c r="G4206" s="4">
        <v>15</v>
      </c>
      <c r="H4206" s="1">
        <v>18923</v>
      </c>
      <c r="I4206" s="3" t="s">
        <v>15</v>
      </c>
      <c r="J4206" s="4">
        <v>2</v>
      </c>
    </row>
    <row r="4207" spans="1:10" x14ac:dyDescent="0.35">
      <c r="A4207" s="2" t="s">
        <v>4243</v>
      </c>
      <c r="B4207" s="4">
        <v>41</v>
      </c>
      <c r="C4207" t="s">
        <v>11</v>
      </c>
      <c r="D4207" t="s">
        <v>12</v>
      </c>
      <c r="E4207" t="s">
        <v>37</v>
      </c>
      <c r="F4207" t="s">
        <v>30</v>
      </c>
      <c r="G4207" s="4">
        <v>11</v>
      </c>
      <c r="H4207" s="1">
        <v>52980</v>
      </c>
      <c r="I4207" s="3" t="s">
        <v>15</v>
      </c>
      <c r="J4207" s="4">
        <v>2</v>
      </c>
    </row>
    <row r="4208" spans="1:10" x14ac:dyDescent="0.35">
      <c r="A4208" s="2" t="s">
        <v>4244</v>
      </c>
      <c r="B4208" s="4">
        <v>46</v>
      </c>
      <c r="C4208" t="s">
        <v>17</v>
      </c>
      <c r="D4208" t="s">
        <v>49</v>
      </c>
      <c r="E4208" t="s">
        <v>27</v>
      </c>
      <c r="F4208" t="s">
        <v>20</v>
      </c>
      <c r="G4208" s="4">
        <v>2</v>
      </c>
      <c r="H4208" s="1">
        <v>61465</v>
      </c>
      <c r="I4208" s="3" t="s">
        <v>21</v>
      </c>
      <c r="J4208" s="4">
        <v>2</v>
      </c>
    </row>
    <row r="4209" spans="1:10" x14ac:dyDescent="0.35">
      <c r="A4209" s="2" t="s">
        <v>4245</v>
      </c>
      <c r="B4209" s="4">
        <v>38</v>
      </c>
      <c r="C4209" t="s">
        <v>17</v>
      </c>
      <c r="D4209" t="s">
        <v>26</v>
      </c>
      <c r="E4209" t="s">
        <v>42</v>
      </c>
      <c r="F4209" t="s">
        <v>14</v>
      </c>
      <c r="G4209" s="4">
        <v>8</v>
      </c>
      <c r="H4209" s="1">
        <v>64952</v>
      </c>
      <c r="I4209" s="3" t="s">
        <v>21</v>
      </c>
      <c r="J4209" s="4">
        <v>1</v>
      </c>
    </row>
    <row r="4210" spans="1:10" x14ac:dyDescent="0.35">
      <c r="A4210" s="2" t="s">
        <v>4246</v>
      </c>
      <c r="B4210" s="4">
        <v>25</v>
      </c>
      <c r="C4210" t="s">
        <v>11</v>
      </c>
      <c r="D4210" t="s">
        <v>36</v>
      </c>
      <c r="E4210" t="s">
        <v>42</v>
      </c>
      <c r="F4210" t="s">
        <v>20</v>
      </c>
      <c r="G4210" s="4">
        <v>12</v>
      </c>
      <c r="H4210" s="1">
        <v>99709</v>
      </c>
      <c r="I4210" s="3" t="s">
        <v>21</v>
      </c>
      <c r="J4210" s="4">
        <v>3</v>
      </c>
    </row>
    <row r="4211" spans="1:10" x14ac:dyDescent="0.35">
      <c r="A4211" s="2" t="s">
        <v>4247</v>
      </c>
      <c r="B4211" s="4">
        <v>26</v>
      </c>
      <c r="C4211" t="s">
        <v>11</v>
      </c>
      <c r="D4211" t="s">
        <v>12</v>
      </c>
      <c r="E4211" t="s">
        <v>19</v>
      </c>
      <c r="F4211" t="s">
        <v>30</v>
      </c>
      <c r="G4211" s="4">
        <v>12</v>
      </c>
      <c r="H4211" s="1">
        <v>62963</v>
      </c>
      <c r="I4211" s="3" t="s">
        <v>21</v>
      </c>
      <c r="J4211" s="4">
        <v>1</v>
      </c>
    </row>
    <row r="4212" spans="1:10" x14ac:dyDescent="0.35">
      <c r="A4212" s="2" t="s">
        <v>4248</v>
      </c>
      <c r="B4212" s="4">
        <v>79</v>
      </c>
      <c r="C4212" t="s">
        <v>17</v>
      </c>
      <c r="D4212" t="s">
        <v>18</v>
      </c>
      <c r="E4212" t="s">
        <v>37</v>
      </c>
      <c r="F4212" t="s">
        <v>20</v>
      </c>
      <c r="G4212" s="4">
        <v>10</v>
      </c>
      <c r="H4212" s="1">
        <v>53692</v>
      </c>
      <c r="I4212" s="3" t="s">
        <v>15</v>
      </c>
      <c r="J4212" s="4">
        <v>3</v>
      </c>
    </row>
    <row r="4213" spans="1:10" x14ac:dyDescent="0.35">
      <c r="A4213" s="2" t="s">
        <v>4249</v>
      </c>
      <c r="B4213" s="4">
        <v>82</v>
      </c>
      <c r="C4213" t="s">
        <v>11</v>
      </c>
      <c r="D4213" t="s">
        <v>12</v>
      </c>
      <c r="E4213" t="s">
        <v>27</v>
      </c>
      <c r="F4213" t="s">
        <v>14</v>
      </c>
      <c r="G4213" s="4">
        <v>1</v>
      </c>
      <c r="H4213" s="1">
        <v>15242</v>
      </c>
      <c r="I4213" s="3" t="s">
        <v>21</v>
      </c>
      <c r="J4213" s="4">
        <v>5</v>
      </c>
    </row>
    <row r="4214" spans="1:10" x14ac:dyDescent="0.35">
      <c r="A4214" s="2" t="s">
        <v>4250</v>
      </c>
      <c r="B4214" s="4">
        <v>70</v>
      </c>
      <c r="C4214" t="s">
        <v>17</v>
      </c>
      <c r="D4214" t="s">
        <v>26</v>
      </c>
      <c r="E4214" t="s">
        <v>27</v>
      </c>
      <c r="F4214" t="s">
        <v>20</v>
      </c>
      <c r="G4214" s="4">
        <v>15</v>
      </c>
      <c r="H4214" s="1">
        <v>28437</v>
      </c>
      <c r="I4214" s="3" t="s">
        <v>21</v>
      </c>
      <c r="J4214" s="4">
        <v>1</v>
      </c>
    </row>
    <row r="4215" spans="1:10" x14ac:dyDescent="0.35">
      <c r="A4215" s="2" t="s">
        <v>4251</v>
      </c>
      <c r="B4215" s="4">
        <v>69</v>
      </c>
      <c r="C4215" t="s">
        <v>17</v>
      </c>
      <c r="D4215" t="s">
        <v>12</v>
      </c>
      <c r="E4215" t="s">
        <v>53</v>
      </c>
      <c r="F4215" t="s">
        <v>20</v>
      </c>
      <c r="G4215" s="4">
        <v>10</v>
      </c>
      <c r="H4215" s="1">
        <v>40762</v>
      </c>
      <c r="I4215" s="3" t="s">
        <v>21</v>
      </c>
      <c r="J4215" s="4">
        <v>1</v>
      </c>
    </row>
    <row r="4216" spans="1:10" x14ac:dyDescent="0.35">
      <c r="A4216" s="2" t="s">
        <v>4252</v>
      </c>
      <c r="B4216" s="4">
        <v>49</v>
      </c>
      <c r="C4216" t="s">
        <v>11</v>
      </c>
      <c r="D4216" t="s">
        <v>41</v>
      </c>
      <c r="E4216" t="s">
        <v>27</v>
      </c>
      <c r="F4216" t="s">
        <v>14</v>
      </c>
      <c r="G4216" s="4">
        <v>8</v>
      </c>
      <c r="H4216" s="1">
        <v>61164</v>
      </c>
      <c r="I4216" s="3" t="s">
        <v>21</v>
      </c>
      <c r="J4216" s="4">
        <v>1</v>
      </c>
    </row>
    <row r="4217" spans="1:10" x14ac:dyDescent="0.35">
      <c r="A4217" s="2" t="s">
        <v>4253</v>
      </c>
      <c r="B4217" s="4">
        <v>48</v>
      </c>
      <c r="C4217" t="s">
        <v>11</v>
      </c>
      <c r="D4217" t="s">
        <v>41</v>
      </c>
      <c r="E4217" t="s">
        <v>19</v>
      </c>
      <c r="F4217" t="s">
        <v>14</v>
      </c>
      <c r="G4217" s="4">
        <v>2</v>
      </c>
      <c r="H4217" s="1">
        <v>11691</v>
      </c>
      <c r="I4217" s="3" t="s">
        <v>15</v>
      </c>
      <c r="J4217" s="4">
        <v>5</v>
      </c>
    </row>
    <row r="4218" spans="1:10" x14ac:dyDescent="0.35">
      <c r="A4218" s="2" t="s">
        <v>4254</v>
      </c>
      <c r="B4218" s="4">
        <v>82</v>
      </c>
      <c r="C4218" t="s">
        <v>11</v>
      </c>
      <c r="D4218" t="s">
        <v>49</v>
      </c>
      <c r="E4218" t="s">
        <v>34</v>
      </c>
      <c r="F4218" t="s">
        <v>14</v>
      </c>
      <c r="G4218" s="4">
        <v>7</v>
      </c>
      <c r="H4218" s="1">
        <v>5210</v>
      </c>
      <c r="I4218" s="3" t="s">
        <v>15</v>
      </c>
      <c r="J4218" s="4">
        <v>1</v>
      </c>
    </row>
    <row r="4219" spans="1:10" x14ac:dyDescent="0.35">
      <c r="A4219" s="2" t="s">
        <v>4255</v>
      </c>
      <c r="B4219" s="4">
        <v>52</v>
      </c>
      <c r="C4219" t="s">
        <v>17</v>
      </c>
      <c r="D4219" t="s">
        <v>12</v>
      </c>
      <c r="E4219" t="s">
        <v>53</v>
      </c>
      <c r="F4219" t="s">
        <v>30</v>
      </c>
      <c r="G4219" s="4">
        <v>13</v>
      </c>
      <c r="H4219" s="1">
        <v>30227</v>
      </c>
      <c r="I4219" s="3" t="s">
        <v>15</v>
      </c>
      <c r="J4219" s="4">
        <v>5</v>
      </c>
    </row>
    <row r="4220" spans="1:10" x14ac:dyDescent="0.35">
      <c r="A4220" s="2" t="s">
        <v>4256</v>
      </c>
      <c r="B4220" s="4">
        <v>24</v>
      </c>
      <c r="C4220" t="s">
        <v>11</v>
      </c>
      <c r="D4220" t="s">
        <v>49</v>
      </c>
      <c r="E4220" t="s">
        <v>53</v>
      </c>
      <c r="F4220" t="s">
        <v>20</v>
      </c>
      <c r="G4220" s="4">
        <v>4</v>
      </c>
      <c r="H4220" s="1">
        <v>58077</v>
      </c>
      <c r="I4220" s="3" t="s">
        <v>15</v>
      </c>
      <c r="J4220" s="4">
        <v>3</v>
      </c>
    </row>
    <row r="4221" spans="1:10" x14ac:dyDescent="0.35">
      <c r="A4221" s="2" t="s">
        <v>4257</v>
      </c>
      <c r="B4221" s="4">
        <v>26</v>
      </c>
      <c r="C4221" t="s">
        <v>17</v>
      </c>
      <c r="D4221" t="s">
        <v>12</v>
      </c>
      <c r="E4221" t="s">
        <v>34</v>
      </c>
      <c r="F4221" t="s">
        <v>30</v>
      </c>
      <c r="G4221" s="4">
        <v>8</v>
      </c>
      <c r="H4221" s="1">
        <v>64733</v>
      </c>
      <c r="I4221" s="3" t="s">
        <v>21</v>
      </c>
      <c r="J4221" s="4">
        <v>1</v>
      </c>
    </row>
    <row r="4222" spans="1:10" x14ac:dyDescent="0.35">
      <c r="A4222" s="2" t="s">
        <v>4258</v>
      </c>
      <c r="B4222" s="4">
        <v>4</v>
      </c>
      <c r="C4222" t="s">
        <v>11</v>
      </c>
      <c r="D4222" t="s">
        <v>33</v>
      </c>
      <c r="E4222" t="s">
        <v>34</v>
      </c>
      <c r="F4222" t="s">
        <v>14</v>
      </c>
      <c r="G4222" s="4">
        <v>14</v>
      </c>
      <c r="H4222" s="1">
        <v>43200</v>
      </c>
      <c r="I4222" s="3" t="s">
        <v>21</v>
      </c>
      <c r="J4222" s="4">
        <v>3</v>
      </c>
    </row>
    <row r="4223" spans="1:10" x14ac:dyDescent="0.35">
      <c r="A4223" s="2" t="s">
        <v>4259</v>
      </c>
      <c r="B4223" s="4">
        <v>76</v>
      </c>
      <c r="C4223" t="s">
        <v>11</v>
      </c>
      <c r="D4223" t="s">
        <v>18</v>
      </c>
      <c r="E4223" t="s">
        <v>53</v>
      </c>
      <c r="F4223" t="s">
        <v>14</v>
      </c>
      <c r="G4223" s="4">
        <v>2</v>
      </c>
      <c r="H4223" s="1">
        <v>84464</v>
      </c>
      <c r="I4223" s="3" t="s">
        <v>21</v>
      </c>
      <c r="J4223" s="4">
        <v>1</v>
      </c>
    </row>
    <row r="4224" spans="1:10" x14ac:dyDescent="0.35">
      <c r="A4224" s="2" t="s">
        <v>4260</v>
      </c>
      <c r="B4224" s="4">
        <v>66</v>
      </c>
      <c r="C4224" t="s">
        <v>17</v>
      </c>
      <c r="D4224" t="s">
        <v>49</v>
      </c>
      <c r="E4224" t="s">
        <v>29</v>
      </c>
      <c r="F4224" t="s">
        <v>14</v>
      </c>
      <c r="G4224" s="4">
        <v>3</v>
      </c>
      <c r="H4224" s="1">
        <v>44155</v>
      </c>
      <c r="I4224" s="3" t="s">
        <v>21</v>
      </c>
      <c r="J4224" s="4">
        <v>1</v>
      </c>
    </row>
    <row r="4225" spans="1:10" x14ac:dyDescent="0.35">
      <c r="A4225" s="2" t="s">
        <v>4261</v>
      </c>
      <c r="B4225" s="4">
        <v>70</v>
      </c>
      <c r="C4225" t="s">
        <v>17</v>
      </c>
      <c r="D4225" t="s">
        <v>23</v>
      </c>
      <c r="E4225" t="s">
        <v>34</v>
      </c>
      <c r="F4225" t="s">
        <v>14</v>
      </c>
      <c r="G4225" s="4">
        <v>7</v>
      </c>
      <c r="H4225" s="1">
        <v>18219</v>
      </c>
      <c r="I4225" s="3" t="s">
        <v>15</v>
      </c>
      <c r="J4225" s="4">
        <v>4</v>
      </c>
    </row>
    <row r="4226" spans="1:10" x14ac:dyDescent="0.35">
      <c r="A4226" s="2" t="s">
        <v>4262</v>
      </c>
      <c r="B4226" s="4">
        <v>9</v>
      </c>
      <c r="C4226" t="s">
        <v>11</v>
      </c>
      <c r="D4226" t="s">
        <v>23</v>
      </c>
      <c r="E4226" t="s">
        <v>37</v>
      </c>
      <c r="F4226" t="s">
        <v>14</v>
      </c>
      <c r="G4226" s="4">
        <v>1</v>
      </c>
      <c r="H4226" s="1">
        <v>17024</v>
      </c>
      <c r="I4226" s="3" t="s">
        <v>21</v>
      </c>
      <c r="J4226" s="4">
        <v>3</v>
      </c>
    </row>
    <row r="4227" spans="1:10" x14ac:dyDescent="0.35">
      <c r="A4227" s="2" t="s">
        <v>4263</v>
      </c>
      <c r="B4227" s="4">
        <v>24</v>
      </c>
      <c r="C4227" t="s">
        <v>17</v>
      </c>
      <c r="D4227" t="s">
        <v>18</v>
      </c>
      <c r="E4227" t="s">
        <v>29</v>
      </c>
      <c r="F4227" t="s">
        <v>14</v>
      </c>
      <c r="G4227" s="4">
        <v>1</v>
      </c>
      <c r="H4227" s="1">
        <v>87892</v>
      </c>
      <c r="I4227" s="3" t="s">
        <v>15</v>
      </c>
      <c r="J4227" s="4">
        <v>2</v>
      </c>
    </row>
    <row r="4228" spans="1:10" x14ac:dyDescent="0.35">
      <c r="A4228" s="2" t="s">
        <v>4264</v>
      </c>
      <c r="B4228" s="4">
        <v>89</v>
      </c>
      <c r="C4228" t="s">
        <v>11</v>
      </c>
      <c r="D4228" t="s">
        <v>39</v>
      </c>
      <c r="E4228" t="s">
        <v>19</v>
      </c>
      <c r="F4228" t="s">
        <v>20</v>
      </c>
      <c r="G4228" s="4">
        <v>7</v>
      </c>
      <c r="H4228" s="1">
        <v>14757</v>
      </c>
      <c r="I4228" s="3" t="s">
        <v>15</v>
      </c>
      <c r="J4228" s="4">
        <v>5</v>
      </c>
    </row>
    <row r="4229" spans="1:10" x14ac:dyDescent="0.35">
      <c r="A4229" s="2" t="s">
        <v>4265</v>
      </c>
      <c r="B4229" s="4">
        <v>54</v>
      </c>
      <c r="C4229" t="s">
        <v>11</v>
      </c>
      <c r="D4229" t="s">
        <v>23</v>
      </c>
      <c r="E4229" t="s">
        <v>13</v>
      </c>
      <c r="F4229" t="s">
        <v>14</v>
      </c>
      <c r="G4229" s="4">
        <v>9</v>
      </c>
      <c r="H4229" s="1">
        <v>35276</v>
      </c>
      <c r="I4229" s="3" t="s">
        <v>15</v>
      </c>
      <c r="J4229" s="4">
        <v>3</v>
      </c>
    </row>
    <row r="4230" spans="1:10" x14ac:dyDescent="0.35">
      <c r="A4230" s="2" t="s">
        <v>4266</v>
      </c>
      <c r="B4230" s="4">
        <v>1</v>
      </c>
      <c r="C4230" t="s">
        <v>11</v>
      </c>
      <c r="D4230" t="s">
        <v>23</v>
      </c>
      <c r="E4230" t="s">
        <v>34</v>
      </c>
      <c r="F4230" t="s">
        <v>30</v>
      </c>
      <c r="G4230" s="4">
        <v>13</v>
      </c>
      <c r="H4230" s="1">
        <v>77591</v>
      </c>
      <c r="I4230" s="3" t="s">
        <v>21</v>
      </c>
      <c r="J4230" s="4">
        <v>4</v>
      </c>
    </row>
    <row r="4231" spans="1:10" x14ac:dyDescent="0.35">
      <c r="A4231" s="2" t="s">
        <v>4267</v>
      </c>
      <c r="B4231" s="4">
        <v>79</v>
      </c>
      <c r="C4231" t="s">
        <v>11</v>
      </c>
      <c r="D4231" t="s">
        <v>23</v>
      </c>
      <c r="E4231" t="s">
        <v>24</v>
      </c>
      <c r="F4231" t="s">
        <v>30</v>
      </c>
      <c r="G4231" s="4">
        <v>10</v>
      </c>
      <c r="H4231" s="1">
        <v>75655</v>
      </c>
      <c r="I4231" s="3" t="s">
        <v>21</v>
      </c>
      <c r="J4231" s="4">
        <v>3</v>
      </c>
    </row>
    <row r="4232" spans="1:10" x14ac:dyDescent="0.35">
      <c r="A4232" s="2" t="s">
        <v>4268</v>
      </c>
      <c r="B4232" s="4">
        <v>74</v>
      </c>
      <c r="C4232" t="s">
        <v>11</v>
      </c>
      <c r="D4232" t="s">
        <v>33</v>
      </c>
      <c r="E4232" t="s">
        <v>34</v>
      </c>
      <c r="F4232" t="s">
        <v>14</v>
      </c>
      <c r="G4232" s="4">
        <v>3</v>
      </c>
      <c r="H4232" s="1">
        <v>8754</v>
      </c>
      <c r="I4232" s="3" t="s">
        <v>21</v>
      </c>
      <c r="J4232" s="4">
        <v>4</v>
      </c>
    </row>
    <row r="4233" spans="1:10" x14ac:dyDescent="0.35">
      <c r="A4233" s="2" t="s">
        <v>4269</v>
      </c>
      <c r="B4233" s="4">
        <v>80</v>
      </c>
      <c r="C4233" t="s">
        <v>11</v>
      </c>
      <c r="D4233" t="s">
        <v>26</v>
      </c>
      <c r="E4233" t="s">
        <v>19</v>
      </c>
      <c r="F4233" t="s">
        <v>20</v>
      </c>
      <c r="G4233" s="4">
        <v>5</v>
      </c>
      <c r="H4233" s="1">
        <v>62266</v>
      </c>
      <c r="I4233" s="3" t="s">
        <v>15</v>
      </c>
      <c r="J4233" s="4">
        <v>2</v>
      </c>
    </row>
    <row r="4234" spans="1:10" x14ac:dyDescent="0.35">
      <c r="A4234" s="2" t="s">
        <v>4270</v>
      </c>
      <c r="B4234" s="4">
        <v>77</v>
      </c>
      <c r="C4234" t="s">
        <v>11</v>
      </c>
      <c r="D4234" t="s">
        <v>26</v>
      </c>
      <c r="E4234" t="s">
        <v>19</v>
      </c>
      <c r="F4234" t="s">
        <v>30</v>
      </c>
      <c r="G4234" s="4">
        <v>9</v>
      </c>
      <c r="H4234" s="1">
        <v>38084</v>
      </c>
      <c r="I4234" s="3" t="s">
        <v>21</v>
      </c>
      <c r="J4234" s="4">
        <v>3</v>
      </c>
    </row>
    <row r="4235" spans="1:10" x14ac:dyDescent="0.35">
      <c r="A4235" s="2" t="s">
        <v>4271</v>
      </c>
      <c r="B4235" s="4">
        <v>54</v>
      </c>
      <c r="C4235" t="s">
        <v>17</v>
      </c>
      <c r="D4235" t="s">
        <v>36</v>
      </c>
      <c r="E4235" t="s">
        <v>27</v>
      </c>
      <c r="F4235" t="s">
        <v>30</v>
      </c>
      <c r="G4235" s="4">
        <v>9</v>
      </c>
      <c r="H4235" s="1">
        <v>12915</v>
      </c>
      <c r="I4235" s="3" t="s">
        <v>15</v>
      </c>
      <c r="J4235" s="4">
        <v>2</v>
      </c>
    </row>
    <row r="4236" spans="1:10" x14ac:dyDescent="0.35">
      <c r="A4236" s="2" t="s">
        <v>4272</v>
      </c>
      <c r="B4236" s="4">
        <v>17</v>
      </c>
      <c r="C4236" t="s">
        <v>17</v>
      </c>
      <c r="D4236" t="s">
        <v>12</v>
      </c>
      <c r="E4236" t="s">
        <v>24</v>
      </c>
      <c r="F4236" t="s">
        <v>20</v>
      </c>
      <c r="G4236" s="4">
        <v>7</v>
      </c>
      <c r="H4236" s="1">
        <v>29106</v>
      </c>
      <c r="I4236" s="3" t="s">
        <v>21</v>
      </c>
      <c r="J4236" s="4">
        <v>4</v>
      </c>
    </row>
    <row r="4237" spans="1:10" x14ac:dyDescent="0.35">
      <c r="A4237" s="2" t="s">
        <v>4273</v>
      </c>
      <c r="B4237" s="4">
        <v>44</v>
      </c>
      <c r="C4237" t="s">
        <v>17</v>
      </c>
      <c r="D4237" t="s">
        <v>28</v>
      </c>
      <c r="E4237" t="s">
        <v>42</v>
      </c>
      <c r="F4237" t="s">
        <v>30</v>
      </c>
      <c r="G4237" s="4">
        <v>11</v>
      </c>
      <c r="H4237" s="1">
        <v>46226</v>
      </c>
      <c r="I4237" s="3" t="s">
        <v>21</v>
      </c>
      <c r="J4237" s="4">
        <v>2</v>
      </c>
    </row>
    <row r="4238" spans="1:10" x14ac:dyDescent="0.35">
      <c r="A4238" s="2" t="s">
        <v>4274</v>
      </c>
      <c r="B4238" s="4">
        <v>7</v>
      </c>
      <c r="C4238" t="s">
        <v>17</v>
      </c>
      <c r="D4238" t="s">
        <v>39</v>
      </c>
      <c r="E4238" t="s">
        <v>27</v>
      </c>
      <c r="F4238" t="s">
        <v>14</v>
      </c>
      <c r="G4238" s="4">
        <v>9</v>
      </c>
      <c r="H4238" s="1">
        <v>45338</v>
      </c>
      <c r="I4238" s="3" t="s">
        <v>21</v>
      </c>
      <c r="J4238" s="4">
        <v>4</v>
      </c>
    </row>
    <row r="4239" spans="1:10" x14ac:dyDescent="0.35">
      <c r="A4239" s="2" t="s">
        <v>4275</v>
      </c>
      <c r="B4239" s="4">
        <v>16</v>
      </c>
      <c r="C4239" t="s">
        <v>17</v>
      </c>
      <c r="D4239" t="s">
        <v>33</v>
      </c>
      <c r="E4239" t="s">
        <v>29</v>
      </c>
      <c r="F4239" t="s">
        <v>30</v>
      </c>
      <c r="G4239" s="4">
        <v>1</v>
      </c>
      <c r="H4239" s="1">
        <v>39540</v>
      </c>
      <c r="I4239" s="3" t="s">
        <v>15</v>
      </c>
      <c r="J4239" s="4">
        <v>2</v>
      </c>
    </row>
    <row r="4240" spans="1:10" x14ac:dyDescent="0.35">
      <c r="A4240" s="2" t="s">
        <v>4276</v>
      </c>
      <c r="B4240" s="4">
        <v>62</v>
      </c>
      <c r="C4240" t="s">
        <v>17</v>
      </c>
      <c r="D4240" t="s">
        <v>49</v>
      </c>
      <c r="E4240" t="s">
        <v>24</v>
      </c>
      <c r="F4240" t="s">
        <v>30</v>
      </c>
      <c r="G4240" s="4">
        <v>6</v>
      </c>
      <c r="H4240" s="1">
        <v>93751</v>
      </c>
      <c r="I4240" s="3" t="s">
        <v>21</v>
      </c>
      <c r="J4240" s="4">
        <v>3</v>
      </c>
    </row>
    <row r="4241" spans="1:10" x14ac:dyDescent="0.35">
      <c r="A4241" s="2" t="s">
        <v>4277</v>
      </c>
      <c r="B4241" s="4">
        <v>89</v>
      </c>
      <c r="C4241" t="s">
        <v>11</v>
      </c>
      <c r="D4241" t="s">
        <v>26</v>
      </c>
      <c r="E4241" t="s">
        <v>19</v>
      </c>
      <c r="F4241" t="s">
        <v>30</v>
      </c>
      <c r="G4241" s="4">
        <v>6</v>
      </c>
      <c r="H4241" s="1">
        <v>33111</v>
      </c>
      <c r="I4241" s="3" t="s">
        <v>15</v>
      </c>
      <c r="J4241" s="4">
        <v>4</v>
      </c>
    </row>
    <row r="4242" spans="1:10" x14ac:dyDescent="0.35">
      <c r="A4242" s="2" t="s">
        <v>4278</v>
      </c>
      <c r="B4242" s="4">
        <v>57</v>
      </c>
      <c r="C4242" t="s">
        <v>17</v>
      </c>
      <c r="D4242" t="s">
        <v>18</v>
      </c>
      <c r="E4242" t="s">
        <v>13</v>
      </c>
      <c r="F4242" t="s">
        <v>30</v>
      </c>
      <c r="G4242" s="4">
        <v>1</v>
      </c>
      <c r="H4242" s="1">
        <v>94345</v>
      </c>
      <c r="I4242" s="3" t="s">
        <v>15</v>
      </c>
      <c r="J4242" s="4">
        <v>2</v>
      </c>
    </row>
    <row r="4243" spans="1:10" x14ac:dyDescent="0.35">
      <c r="A4243" s="2" t="s">
        <v>4279</v>
      </c>
      <c r="B4243" s="4">
        <v>23</v>
      </c>
      <c r="C4243" t="s">
        <v>11</v>
      </c>
      <c r="D4243" t="s">
        <v>28</v>
      </c>
      <c r="E4243" t="s">
        <v>13</v>
      </c>
      <c r="F4243" t="s">
        <v>30</v>
      </c>
      <c r="G4243" s="4">
        <v>8</v>
      </c>
      <c r="H4243" s="1">
        <v>80414</v>
      </c>
      <c r="I4243" s="3" t="s">
        <v>15</v>
      </c>
      <c r="J4243" s="4">
        <v>2</v>
      </c>
    </row>
    <row r="4244" spans="1:10" x14ac:dyDescent="0.35">
      <c r="A4244" s="2" t="s">
        <v>4280</v>
      </c>
      <c r="B4244" s="4">
        <v>46</v>
      </c>
      <c r="C4244" t="s">
        <v>17</v>
      </c>
      <c r="D4244" t="s">
        <v>18</v>
      </c>
      <c r="E4244" t="s">
        <v>19</v>
      </c>
      <c r="F4244" t="s">
        <v>30</v>
      </c>
      <c r="G4244" s="4">
        <v>3</v>
      </c>
      <c r="H4244" s="1">
        <v>85316</v>
      </c>
      <c r="I4244" s="3" t="s">
        <v>15</v>
      </c>
      <c r="J4244" s="4">
        <v>2</v>
      </c>
    </row>
    <row r="4245" spans="1:10" x14ac:dyDescent="0.35">
      <c r="A4245" s="2" t="s">
        <v>4281</v>
      </c>
      <c r="B4245" s="4">
        <v>29</v>
      </c>
      <c r="C4245" t="s">
        <v>11</v>
      </c>
      <c r="D4245" t="s">
        <v>49</v>
      </c>
      <c r="E4245" t="s">
        <v>24</v>
      </c>
      <c r="F4245" t="s">
        <v>30</v>
      </c>
      <c r="G4245" s="4">
        <v>3</v>
      </c>
      <c r="H4245" s="1">
        <v>65446</v>
      </c>
      <c r="I4245" s="3" t="s">
        <v>21</v>
      </c>
      <c r="J4245" s="4">
        <v>4</v>
      </c>
    </row>
    <row r="4246" spans="1:10" x14ac:dyDescent="0.35">
      <c r="A4246" s="2" t="s">
        <v>4282</v>
      </c>
      <c r="B4246" s="4">
        <v>21</v>
      </c>
      <c r="C4246" t="s">
        <v>11</v>
      </c>
      <c r="D4246" t="s">
        <v>26</v>
      </c>
      <c r="E4246" t="s">
        <v>27</v>
      </c>
      <c r="F4246" t="s">
        <v>30</v>
      </c>
      <c r="G4246" s="4">
        <v>3</v>
      </c>
      <c r="H4246" s="1">
        <v>98460</v>
      </c>
      <c r="I4246" s="3" t="s">
        <v>21</v>
      </c>
      <c r="J4246" s="4">
        <v>3</v>
      </c>
    </row>
    <row r="4247" spans="1:10" x14ac:dyDescent="0.35">
      <c r="A4247" s="2" t="s">
        <v>4283</v>
      </c>
      <c r="B4247" s="4">
        <v>42</v>
      </c>
      <c r="C4247" t="s">
        <v>17</v>
      </c>
      <c r="D4247" t="s">
        <v>49</v>
      </c>
      <c r="E4247" t="s">
        <v>24</v>
      </c>
      <c r="F4247" t="s">
        <v>20</v>
      </c>
      <c r="G4247" s="4">
        <v>1</v>
      </c>
      <c r="H4247" s="1">
        <v>58973</v>
      </c>
      <c r="I4247" s="3" t="s">
        <v>15</v>
      </c>
      <c r="J4247" s="4">
        <v>3</v>
      </c>
    </row>
    <row r="4248" spans="1:10" x14ac:dyDescent="0.35">
      <c r="A4248" s="2" t="s">
        <v>4284</v>
      </c>
      <c r="B4248" s="4">
        <v>47</v>
      </c>
      <c r="C4248" t="s">
        <v>17</v>
      </c>
      <c r="D4248" t="s">
        <v>49</v>
      </c>
      <c r="E4248" t="s">
        <v>53</v>
      </c>
      <c r="F4248" t="s">
        <v>30</v>
      </c>
      <c r="G4248" s="4">
        <v>7</v>
      </c>
      <c r="H4248" s="1">
        <v>29839</v>
      </c>
      <c r="I4248" s="3" t="s">
        <v>21</v>
      </c>
      <c r="J4248" s="4">
        <v>4</v>
      </c>
    </row>
    <row r="4249" spans="1:10" x14ac:dyDescent="0.35">
      <c r="A4249" s="2" t="s">
        <v>4285</v>
      </c>
      <c r="B4249" s="4">
        <v>20</v>
      </c>
      <c r="C4249" t="s">
        <v>17</v>
      </c>
      <c r="D4249" t="s">
        <v>26</v>
      </c>
      <c r="E4249" t="s">
        <v>24</v>
      </c>
      <c r="F4249" t="s">
        <v>14</v>
      </c>
      <c r="G4249" s="4">
        <v>15</v>
      </c>
      <c r="H4249" s="1">
        <v>17679</v>
      </c>
      <c r="I4249" s="3" t="s">
        <v>21</v>
      </c>
      <c r="J4249" s="4">
        <v>1</v>
      </c>
    </row>
    <row r="4250" spans="1:10" x14ac:dyDescent="0.35">
      <c r="A4250" s="2" t="s">
        <v>4286</v>
      </c>
      <c r="B4250" s="4">
        <v>64</v>
      </c>
      <c r="C4250" t="s">
        <v>17</v>
      </c>
      <c r="D4250" t="s">
        <v>36</v>
      </c>
      <c r="E4250" t="s">
        <v>53</v>
      </c>
      <c r="F4250" t="s">
        <v>30</v>
      </c>
      <c r="G4250" s="4">
        <v>8</v>
      </c>
      <c r="H4250" s="1">
        <v>24710</v>
      </c>
      <c r="I4250" s="3" t="s">
        <v>21</v>
      </c>
      <c r="J4250" s="4">
        <v>2</v>
      </c>
    </row>
    <row r="4251" spans="1:10" x14ac:dyDescent="0.35">
      <c r="A4251" s="2" t="s">
        <v>4287</v>
      </c>
      <c r="B4251" s="4">
        <v>29</v>
      </c>
      <c r="C4251" t="s">
        <v>17</v>
      </c>
      <c r="D4251" t="s">
        <v>49</v>
      </c>
      <c r="E4251" t="s">
        <v>27</v>
      </c>
      <c r="F4251" t="s">
        <v>20</v>
      </c>
      <c r="G4251" s="4">
        <v>7</v>
      </c>
      <c r="H4251" s="1">
        <v>24112</v>
      </c>
      <c r="I4251" s="3" t="s">
        <v>21</v>
      </c>
      <c r="J4251" s="4">
        <v>3</v>
      </c>
    </row>
    <row r="4252" spans="1:10" x14ac:dyDescent="0.35">
      <c r="A4252" s="2" t="s">
        <v>4288</v>
      </c>
      <c r="B4252" s="4">
        <v>43</v>
      </c>
      <c r="C4252" t="s">
        <v>17</v>
      </c>
      <c r="D4252" t="s">
        <v>28</v>
      </c>
      <c r="E4252" t="s">
        <v>27</v>
      </c>
      <c r="F4252" t="s">
        <v>30</v>
      </c>
      <c r="G4252" s="4">
        <v>15</v>
      </c>
      <c r="H4252" s="1">
        <v>63543</v>
      </c>
      <c r="I4252" s="3" t="s">
        <v>15</v>
      </c>
      <c r="J4252" s="4">
        <v>1</v>
      </c>
    </row>
    <row r="4253" spans="1:10" x14ac:dyDescent="0.35">
      <c r="A4253" s="2" t="s">
        <v>4289</v>
      </c>
      <c r="B4253" s="4">
        <v>48</v>
      </c>
      <c r="C4253" t="s">
        <v>11</v>
      </c>
      <c r="D4253" t="s">
        <v>39</v>
      </c>
      <c r="E4253" t="s">
        <v>37</v>
      </c>
      <c r="F4253" t="s">
        <v>30</v>
      </c>
      <c r="G4253" s="4">
        <v>3</v>
      </c>
      <c r="H4253" s="1">
        <v>44696</v>
      </c>
      <c r="I4253" s="3" t="s">
        <v>21</v>
      </c>
      <c r="J4253" s="4">
        <v>4</v>
      </c>
    </row>
    <row r="4254" spans="1:10" x14ac:dyDescent="0.35">
      <c r="A4254" s="2" t="s">
        <v>4290</v>
      </c>
      <c r="B4254" s="4">
        <v>29</v>
      </c>
      <c r="C4254" t="s">
        <v>17</v>
      </c>
      <c r="D4254" t="s">
        <v>33</v>
      </c>
      <c r="E4254" t="s">
        <v>65</v>
      </c>
      <c r="F4254" t="s">
        <v>20</v>
      </c>
      <c r="G4254" s="4">
        <v>15</v>
      </c>
      <c r="H4254" s="1">
        <v>55384</v>
      </c>
      <c r="I4254" s="3" t="s">
        <v>21</v>
      </c>
      <c r="J4254" s="4">
        <v>1</v>
      </c>
    </row>
    <row r="4255" spans="1:10" x14ac:dyDescent="0.35">
      <c r="A4255" s="2" t="s">
        <v>4291</v>
      </c>
      <c r="B4255" s="4">
        <v>20</v>
      </c>
      <c r="C4255" t="s">
        <v>11</v>
      </c>
      <c r="D4255" t="s">
        <v>12</v>
      </c>
      <c r="E4255" t="s">
        <v>65</v>
      </c>
      <c r="F4255" t="s">
        <v>30</v>
      </c>
      <c r="G4255" s="4">
        <v>5</v>
      </c>
      <c r="H4255" s="1">
        <v>42111</v>
      </c>
      <c r="I4255" s="3" t="s">
        <v>21</v>
      </c>
      <c r="J4255" s="4">
        <v>1</v>
      </c>
    </row>
    <row r="4256" spans="1:10" x14ac:dyDescent="0.35">
      <c r="A4256" s="2" t="s">
        <v>4292</v>
      </c>
      <c r="B4256" s="4">
        <v>50</v>
      </c>
      <c r="C4256" t="s">
        <v>11</v>
      </c>
      <c r="D4256" t="s">
        <v>23</v>
      </c>
      <c r="E4256" t="s">
        <v>13</v>
      </c>
      <c r="F4256" t="s">
        <v>14</v>
      </c>
      <c r="G4256" s="4">
        <v>8</v>
      </c>
      <c r="H4256" s="1">
        <v>93231</v>
      </c>
      <c r="I4256" s="3" t="s">
        <v>15</v>
      </c>
      <c r="J4256" s="4">
        <v>2</v>
      </c>
    </row>
    <row r="4257" spans="1:10" x14ac:dyDescent="0.35">
      <c r="A4257" s="2" t="s">
        <v>4293</v>
      </c>
      <c r="B4257" s="4">
        <v>33</v>
      </c>
      <c r="C4257" t="s">
        <v>11</v>
      </c>
      <c r="D4257" t="s">
        <v>49</v>
      </c>
      <c r="E4257" t="s">
        <v>42</v>
      </c>
      <c r="F4257" t="s">
        <v>20</v>
      </c>
      <c r="G4257" s="4">
        <v>8</v>
      </c>
      <c r="H4257" s="1">
        <v>19634</v>
      </c>
      <c r="I4257" s="3" t="s">
        <v>21</v>
      </c>
      <c r="J4257" s="4">
        <v>2</v>
      </c>
    </row>
    <row r="4258" spans="1:10" x14ac:dyDescent="0.35">
      <c r="A4258" s="2" t="s">
        <v>4294</v>
      </c>
      <c r="B4258" s="4">
        <v>88</v>
      </c>
      <c r="C4258" t="s">
        <v>17</v>
      </c>
      <c r="D4258" t="s">
        <v>26</v>
      </c>
      <c r="E4258" t="s">
        <v>24</v>
      </c>
      <c r="F4258" t="s">
        <v>30</v>
      </c>
      <c r="G4258" s="4">
        <v>7</v>
      </c>
      <c r="H4258" s="1">
        <v>73218</v>
      </c>
      <c r="I4258" s="3" t="s">
        <v>15</v>
      </c>
      <c r="J4258" s="4">
        <v>1</v>
      </c>
    </row>
    <row r="4259" spans="1:10" x14ac:dyDescent="0.35">
      <c r="A4259" s="2" t="s">
        <v>4295</v>
      </c>
      <c r="B4259" s="4">
        <v>3</v>
      </c>
      <c r="C4259" t="s">
        <v>11</v>
      </c>
      <c r="D4259" t="s">
        <v>36</v>
      </c>
      <c r="E4259" t="s">
        <v>34</v>
      </c>
      <c r="F4259" t="s">
        <v>14</v>
      </c>
      <c r="G4259" s="4">
        <v>7</v>
      </c>
      <c r="H4259" s="1">
        <v>14013</v>
      </c>
      <c r="I4259" s="3" t="s">
        <v>15</v>
      </c>
      <c r="J4259" s="4">
        <v>3</v>
      </c>
    </row>
    <row r="4260" spans="1:10" x14ac:dyDescent="0.35">
      <c r="A4260" s="2" t="s">
        <v>4296</v>
      </c>
      <c r="B4260" s="4">
        <v>49</v>
      </c>
      <c r="C4260" t="s">
        <v>17</v>
      </c>
      <c r="D4260" t="s">
        <v>36</v>
      </c>
      <c r="E4260" t="s">
        <v>65</v>
      </c>
      <c r="F4260" t="s">
        <v>30</v>
      </c>
      <c r="G4260" s="4">
        <v>2</v>
      </c>
      <c r="H4260" s="1">
        <v>88022</v>
      </c>
      <c r="I4260" s="3" t="s">
        <v>15</v>
      </c>
      <c r="J4260" s="4">
        <v>1</v>
      </c>
    </row>
    <row r="4261" spans="1:10" x14ac:dyDescent="0.35">
      <c r="A4261" s="2" t="s">
        <v>4297</v>
      </c>
      <c r="B4261" s="4">
        <v>56</v>
      </c>
      <c r="C4261" t="s">
        <v>17</v>
      </c>
      <c r="D4261" t="s">
        <v>12</v>
      </c>
      <c r="E4261" t="s">
        <v>24</v>
      </c>
      <c r="F4261" t="s">
        <v>30</v>
      </c>
      <c r="G4261" s="4">
        <v>3</v>
      </c>
      <c r="H4261" s="1">
        <v>91750</v>
      </c>
      <c r="I4261" s="3" t="s">
        <v>15</v>
      </c>
      <c r="J4261" s="4">
        <v>1</v>
      </c>
    </row>
    <row r="4262" spans="1:10" x14ac:dyDescent="0.35">
      <c r="A4262" s="2" t="s">
        <v>4298</v>
      </c>
      <c r="B4262" s="4">
        <v>41</v>
      </c>
      <c r="C4262" t="s">
        <v>11</v>
      </c>
      <c r="D4262" t="s">
        <v>39</v>
      </c>
      <c r="E4262" t="s">
        <v>19</v>
      </c>
      <c r="F4262" t="s">
        <v>14</v>
      </c>
      <c r="G4262" s="4">
        <v>11</v>
      </c>
      <c r="H4262" s="1">
        <v>43726</v>
      </c>
      <c r="I4262" s="3" t="s">
        <v>15</v>
      </c>
      <c r="J4262" s="4">
        <v>2</v>
      </c>
    </row>
    <row r="4263" spans="1:10" x14ac:dyDescent="0.35">
      <c r="A4263" s="2" t="s">
        <v>4299</v>
      </c>
      <c r="B4263" s="4">
        <v>20</v>
      </c>
      <c r="C4263" t="s">
        <v>11</v>
      </c>
      <c r="D4263" t="s">
        <v>49</v>
      </c>
      <c r="E4263" t="s">
        <v>65</v>
      </c>
      <c r="F4263" t="s">
        <v>14</v>
      </c>
      <c r="G4263" s="4">
        <v>1</v>
      </c>
      <c r="H4263" s="1">
        <v>97449</v>
      </c>
      <c r="I4263" s="3" t="s">
        <v>21</v>
      </c>
      <c r="J4263" s="4">
        <v>2</v>
      </c>
    </row>
    <row r="4264" spans="1:10" x14ac:dyDescent="0.35">
      <c r="A4264" s="2" t="s">
        <v>4300</v>
      </c>
      <c r="B4264" s="4">
        <v>49</v>
      </c>
      <c r="C4264" t="s">
        <v>17</v>
      </c>
      <c r="D4264" t="s">
        <v>36</v>
      </c>
      <c r="E4264" t="s">
        <v>42</v>
      </c>
      <c r="F4264" t="s">
        <v>20</v>
      </c>
      <c r="G4264" s="4">
        <v>2</v>
      </c>
      <c r="H4264" s="1">
        <v>99212</v>
      </c>
      <c r="I4264" s="3" t="s">
        <v>21</v>
      </c>
      <c r="J4264" s="4">
        <v>2</v>
      </c>
    </row>
    <row r="4265" spans="1:10" x14ac:dyDescent="0.35">
      <c r="A4265" s="2" t="s">
        <v>4301</v>
      </c>
      <c r="B4265" s="4">
        <v>49</v>
      </c>
      <c r="C4265" t="s">
        <v>11</v>
      </c>
      <c r="D4265" t="s">
        <v>39</v>
      </c>
      <c r="E4265" t="s">
        <v>13</v>
      </c>
      <c r="F4265" t="s">
        <v>14</v>
      </c>
      <c r="G4265" s="4">
        <v>13</v>
      </c>
      <c r="H4265" s="1">
        <v>96574</v>
      </c>
      <c r="I4265" s="3" t="s">
        <v>21</v>
      </c>
      <c r="J4265" s="4">
        <v>3</v>
      </c>
    </row>
    <row r="4266" spans="1:10" x14ac:dyDescent="0.35">
      <c r="A4266" s="2" t="s">
        <v>4302</v>
      </c>
      <c r="B4266" s="4">
        <v>62</v>
      </c>
      <c r="C4266" t="s">
        <v>17</v>
      </c>
      <c r="D4266" t="s">
        <v>23</v>
      </c>
      <c r="E4266" t="s">
        <v>27</v>
      </c>
      <c r="F4266" t="s">
        <v>30</v>
      </c>
      <c r="G4266" s="4">
        <v>4</v>
      </c>
      <c r="H4266" s="1">
        <v>88313</v>
      </c>
      <c r="I4266" s="3" t="s">
        <v>21</v>
      </c>
      <c r="J4266" s="4">
        <v>2</v>
      </c>
    </row>
    <row r="4267" spans="1:10" x14ac:dyDescent="0.35">
      <c r="A4267" s="2" t="s">
        <v>4303</v>
      </c>
      <c r="B4267" s="4">
        <v>2</v>
      </c>
      <c r="C4267" t="s">
        <v>17</v>
      </c>
      <c r="D4267" t="s">
        <v>12</v>
      </c>
      <c r="E4267" t="s">
        <v>37</v>
      </c>
      <c r="F4267" t="s">
        <v>20</v>
      </c>
      <c r="G4267" s="4">
        <v>8</v>
      </c>
      <c r="H4267" s="1">
        <v>42805</v>
      </c>
      <c r="I4267" s="3" t="s">
        <v>15</v>
      </c>
      <c r="J4267" s="4">
        <v>1</v>
      </c>
    </row>
    <row r="4268" spans="1:10" x14ac:dyDescent="0.35">
      <c r="A4268" s="2" t="s">
        <v>4304</v>
      </c>
      <c r="B4268" s="4">
        <v>53</v>
      </c>
      <c r="C4268" t="s">
        <v>17</v>
      </c>
      <c r="D4268" t="s">
        <v>49</v>
      </c>
      <c r="E4268" t="s">
        <v>65</v>
      </c>
      <c r="F4268" t="s">
        <v>20</v>
      </c>
      <c r="G4268" s="4">
        <v>11</v>
      </c>
      <c r="H4268" s="1">
        <v>28672</v>
      </c>
      <c r="I4268" s="3" t="s">
        <v>21</v>
      </c>
      <c r="J4268" s="4">
        <v>2</v>
      </c>
    </row>
    <row r="4269" spans="1:10" x14ac:dyDescent="0.35">
      <c r="A4269" s="2" t="s">
        <v>4305</v>
      </c>
      <c r="B4269" s="4">
        <v>36</v>
      </c>
      <c r="C4269" t="s">
        <v>17</v>
      </c>
      <c r="D4269" t="s">
        <v>49</v>
      </c>
      <c r="E4269" t="s">
        <v>37</v>
      </c>
      <c r="F4269" t="s">
        <v>30</v>
      </c>
      <c r="G4269" s="4">
        <v>11</v>
      </c>
      <c r="H4269" s="1">
        <v>48048</v>
      </c>
      <c r="I4269" s="3" t="s">
        <v>21</v>
      </c>
      <c r="J4269" s="4">
        <v>4</v>
      </c>
    </row>
    <row r="4270" spans="1:10" x14ac:dyDescent="0.35">
      <c r="A4270" s="2" t="s">
        <v>4306</v>
      </c>
      <c r="B4270" s="4">
        <v>44</v>
      </c>
      <c r="C4270" t="s">
        <v>11</v>
      </c>
      <c r="D4270" t="s">
        <v>12</v>
      </c>
      <c r="E4270" t="s">
        <v>42</v>
      </c>
      <c r="F4270" t="s">
        <v>30</v>
      </c>
      <c r="G4270" s="4">
        <v>8</v>
      </c>
      <c r="H4270" s="1">
        <v>12960</v>
      </c>
      <c r="I4270" s="3" t="s">
        <v>15</v>
      </c>
      <c r="J4270" s="4">
        <v>3</v>
      </c>
    </row>
    <row r="4271" spans="1:10" x14ac:dyDescent="0.35">
      <c r="A4271" s="2" t="s">
        <v>4307</v>
      </c>
      <c r="B4271" s="4">
        <v>16</v>
      </c>
      <c r="C4271" t="s">
        <v>17</v>
      </c>
      <c r="D4271" t="s">
        <v>41</v>
      </c>
      <c r="E4271" t="s">
        <v>24</v>
      </c>
      <c r="F4271" t="s">
        <v>30</v>
      </c>
      <c r="G4271" s="4">
        <v>6</v>
      </c>
      <c r="H4271" s="1">
        <v>79012</v>
      </c>
      <c r="I4271" s="3" t="s">
        <v>15</v>
      </c>
      <c r="J4271" s="4">
        <v>1</v>
      </c>
    </row>
    <row r="4272" spans="1:10" x14ac:dyDescent="0.35">
      <c r="A4272" s="2" t="s">
        <v>4308</v>
      </c>
      <c r="B4272" s="4">
        <v>24</v>
      </c>
      <c r="C4272" t="s">
        <v>17</v>
      </c>
      <c r="D4272" t="s">
        <v>39</v>
      </c>
      <c r="E4272" t="s">
        <v>29</v>
      </c>
      <c r="F4272" t="s">
        <v>30</v>
      </c>
      <c r="G4272" s="4">
        <v>7</v>
      </c>
      <c r="H4272" s="1">
        <v>15932</v>
      </c>
      <c r="I4272" s="3" t="s">
        <v>15</v>
      </c>
      <c r="J4272" s="4">
        <v>2</v>
      </c>
    </row>
    <row r="4273" spans="1:10" x14ac:dyDescent="0.35">
      <c r="A4273" s="2" t="s">
        <v>4309</v>
      </c>
      <c r="B4273" s="4">
        <v>87</v>
      </c>
      <c r="C4273" t="s">
        <v>17</v>
      </c>
      <c r="D4273" t="s">
        <v>12</v>
      </c>
      <c r="E4273" t="s">
        <v>34</v>
      </c>
      <c r="F4273" t="s">
        <v>20</v>
      </c>
      <c r="G4273" s="4">
        <v>10</v>
      </c>
      <c r="H4273" s="1">
        <v>20429</v>
      </c>
      <c r="I4273" s="3" t="s">
        <v>21</v>
      </c>
      <c r="J4273" s="4">
        <v>5</v>
      </c>
    </row>
    <row r="4274" spans="1:10" x14ac:dyDescent="0.35">
      <c r="A4274" s="2" t="s">
        <v>4310</v>
      </c>
      <c r="B4274" s="4">
        <v>33</v>
      </c>
      <c r="C4274" t="s">
        <v>11</v>
      </c>
      <c r="D4274" t="s">
        <v>33</v>
      </c>
      <c r="E4274" t="s">
        <v>34</v>
      </c>
      <c r="F4274" t="s">
        <v>30</v>
      </c>
      <c r="G4274" s="4">
        <v>14</v>
      </c>
      <c r="H4274" s="1">
        <v>21935</v>
      </c>
      <c r="I4274" s="3" t="s">
        <v>21</v>
      </c>
      <c r="J4274" s="4">
        <v>3</v>
      </c>
    </row>
    <row r="4275" spans="1:10" x14ac:dyDescent="0.35">
      <c r="A4275" s="2" t="s">
        <v>4311</v>
      </c>
      <c r="B4275" s="4">
        <v>14</v>
      </c>
      <c r="C4275" t="s">
        <v>11</v>
      </c>
      <c r="D4275" t="s">
        <v>33</v>
      </c>
      <c r="E4275" t="s">
        <v>65</v>
      </c>
      <c r="F4275" t="s">
        <v>20</v>
      </c>
      <c r="G4275" s="4">
        <v>3</v>
      </c>
      <c r="H4275" s="1">
        <v>89902</v>
      </c>
      <c r="I4275" s="3" t="s">
        <v>21</v>
      </c>
      <c r="J4275" s="4">
        <v>3</v>
      </c>
    </row>
    <row r="4276" spans="1:10" x14ac:dyDescent="0.35">
      <c r="A4276" s="2" t="s">
        <v>4312</v>
      </c>
      <c r="B4276" s="4">
        <v>10</v>
      </c>
      <c r="C4276" t="s">
        <v>17</v>
      </c>
      <c r="D4276" t="s">
        <v>28</v>
      </c>
      <c r="E4276" t="s">
        <v>34</v>
      </c>
      <c r="F4276" t="s">
        <v>14</v>
      </c>
      <c r="G4276" s="4">
        <v>8</v>
      </c>
      <c r="H4276" s="1">
        <v>88489</v>
      </c>
      <c r="I4276" s="3" t="s">
        <v>15</v>
      </c>
      <c r="J4276" s="4">
        <v>2</v>
      </c>
    </row>
    <row r="4277" spans="1:10" x14ac:dyDescent="0.35">
      <c r="A4277" s="2" t="s">
        <v>4313</v>
      </c>
      <c r="B4277" s="4">
        <v>78</v>
      </c>
      <c r="C4277" t="s">
        <v>11</v>
      </c>
      <c r="D4277" t="s">
        <v>41</v>
      </c>
      <c r="E4277" t="s">
        <v>27</v>
      </c>
      <c r="F4277" t="s">
        <v>20</v>
      </c>
      <c r="G4277" s="4">
        <v>6</v>
      </c>
      <c r="H4277" s="1">
        <v>18082</v>
      </c>
      <c r="I4277" s="3" t="s">
        <v>21</v>
      </c>
      <c r="J4277" s="4">
        <v>4</v>
      </c>
    </row>
    <row r="4278" spans="1:10" x14ac:dyDescent="0.35">
      <c r="A4278" s="2" t="s">
        <v>4314</v>
      </c>
      <c r="B4278" s="4">
        <v>35</v>
      </c>
      <c r="C4278" t="s">
        <v>17</v>
      </c>
      <c r="D4278" t="s">
        <v>41</v>
      </c>
      <c r="E4278" t="s">
        <v>37</v>
      </c>
      <c r="F4278" t="s">
        <v>30</v>
      </c>
      <c r="G4278" s="4">
        <v>14</v>
      </c>
      <c r="H4278" s="1">
        <v>16170</v>
      </c>
      <c r="I4278" s="3" t="s">
        <v>15</v>
      </c>
      <c r="J4278" s="4">
        <v>5</v>
      </c>
    </row>
    <row r="4279" spans="1:10" x14ac:dyDescent="0.35">
      <c r="A4279" s="2" t="s">
        <v>4315</v>
      </c>
      <c r="B4279" s="4">
        <v>15</v>
      </c>
      <c r="C4279" t="s">
        <v>17</v>
      </c>
      <c r="D4279" t="s">
        <v>39</v>
      </c>
      <c r="E4279" t="s">
        <v>13</v>
      </c>
      <c r="F4279" t="s">
        <v>14</v>
      </c>
      <c r="G4279" s="4">
        <v>12</v>
      </c>
      <c r="H4279" s="1">
        <v>75384</v>
      </c>
      <c r="I4279" s="3" t="s">
        <v>15</v>
      </c>
      <c r="J4279" s="4">
        <v>3</v>
      </c>
    </row>
    <row r="4280" spans="1:10" x14ac:dyDescent="0.35">
      <c r="A4280" s="2" t="s">
        <v>4316</v>
      </c>
      <c r="B4280" s="4">
        <v>69</v>
      </c>
      <c r="C4280" t="s">
        <v>11</v>
      </c>
      <c r="D4280" t="s">
        <v>18</v>
      </c>
      <c r="E4280" t="s">
        <v>24</v>
      </c>
      <c r="F4280" t="s">
        <v>30</v>
      </c>
      <c r="G4280" s="4">
        <v>13</v>
      </c>
      <c r="H4280" s="1">
        <v>81179</v>
      </c>
      <c r="I4280" s="3" t="s">
        <v>21</v>
      </c>
      <c r="J4280" s="4">
        <v>5</v>
      </c>
    </row>
    <row r="4281" spans="1:10" x14ac:dyDescent="0.35">
      <c r="A4281" s="2" t="s">
        <v>4317</v>
      </c>
      <c r="B4281" s="4">
        <v>27</v>
      </c>
      <c r="C4281" t="s">
        <v>17</v>
      </c>
      <c r="D4281" t="s">
        <v>28</v>
      </c>
      <c r="E4281" t="s">
        <v>34</v>
      </c>
      <c r="F4281" t="s">
        <v>30</v>
      </c>
      <c r="G4281" s="4">
        <v>7</v>
      </c>
      <c r="H4281" s="1">
        <v>30983</v>
      </c>
      <c r="I4281" s="3" t="s">
        <v>21</v>
      </c>
      <c r="J4281" s="4">
        <v>4</v>
      </c>
    </row>
    <row r="4282" spans="1:10" x14ac:dyDescent="0.35">
      <c r="A4282" s="2" t="s">
        <v>4318</v>
      </c>
      <c r="B4282" s="4">
        <v>61</v>
      </c>
      <c r="C4282" t="s">
        <v>11</v>
      </c>
      <c r="D4282" t="s">
        <v>26</v>
      </c>
      <c r="E4282" t="s">
        <v>42</v>
      </c>
      <c r="F4282" t="s">
        <v>14</v>
      </c>
      <c r="G4282" s="4">
        <v>2</v>
      </c>
      <c r="H4282" s="1">
        <v>86043</v>
      </c>
      <c r="I4282" s="3" t="s">
        <v>15</v>
      </c>
      <c r="J4282" s="4">
        <v>5</v>
      </c>
    </row>
    <row r="4283" spans="1:10" x14ac:dyDescent="0.35">
      <c r="A4283" s="2" t="s">
        <v>4319</v>
      </c>
      <c r="B4283" s="4">
        <v>29</v>
      </c>
      <c r="C4283" t="s">
        <v>17</v>
      </c>
      <c r="D4283" t="s">
        <v>23</v>
      </c>
      <c r="E4283" t="s">
        <v>29</v>
      </c>
      <c r="F4283" t="s">
        <v>30</v>
      </c>
      <c r="G4283" s="4">
        <v>4</v>
      </c>
      <c r="H4283" s="1">
        <v>19802</v>
      </c>
      <c r="I4283" s="3" t="s">
        <v>21</v>
      </c>
      <c r="J4283" s="4">
        <v>1</v>
      </c>
    </row>
    <row r="4284" spans="1:10" x14ac:dyDescent="0.35">
      <c r="A4284" s="2" t="s">
        <v>4320</v>
      </c>
      <c r="B4284" s="4">
        <v>78</v>
      </c>
      <c r="C4284" t="s">
        <v>17</v>
      </c>
      <c r="D4284" t="s">
        <v>12</v>
      </c>
      <c r="E4284" t="s">
        <v>42</v>
      </c>
      <c r="F4284" t="s">
        <v>20</v>
      </c>
      <c r="G4284" s="4">
        <v>10</v>
      </c>
      <c r="H4284" s="1">
        <v>72805</v>
      </c>
      <c r="I4284" s="3" t="s">
        <v>15</v>
      </c>
      <c r="J4284" s="4">
        <v>4</v>
      </c>
    </row>
    <row r="4285" spans="1:10" x14ac:dyDescent="0.35">
      <c r="A4285" s="2" t="s">
        <v>4321</v>
      </c>
      <c r="B4285" s="4">
        <v>74</v>
      </c>
      <c r="C4285" t="s">
        <v>17</v>
      </c>
      <c r="D4285" t="s">
        <v>18</v>
      </c>
      <c r="E4285" t="s">
        <v>24</v>
      </c>
      <c r="F4285" t="s">
        <v>14</v>
      </c>
      <c r="G4285" s="4">
        <v>8</v>
      </c>
      <c r="H4285" s="1">
        <v>77067</v>
      </c>
      <c r="I4285" s="3" t="s">
        <v>15</v>
      </c>
      <c r="J4285" s="4">
        <v>2</v>
      </c>
    </row>
    <row r="4286" spans="1:10" x14ac:dyDescent="0.35">
      <c r="A4286" s="2" t="s">
        <v>4322</v>
      </c>
      <c r="B4286" s="4">
        <v>58</v>
      </c>
      <c r="C4286" t="s">
        <v>17</v>
      </c>
      <c r="D4286" t="s">
        <v>26</v>
      </c>
      <c r="E4286" t="s">
        <v>42</v>
      </c>
      <c r="F4286" t="s">
        <v>20</v>
      </c>
      <c r="G4286" s="4">
        <v>8</v>
      </c>
      <c r="H4286" s="1">
        <v>75726</v>
      </c>
      <c r="I4286" s="3" t="s">
        <v>15</v>
      </c>
      <c r="J4286" s="4">
        <v>3</v>
      </c>
    </row>
    <row r="4287" spans="1:10" x14ac:dyDescent="0.35">
      <c r="A4287" s="2" t="s">
        <v>4323</v>
      </c>
      <c r="B4287" s="4">
        <v>29</v>
      </c>
      <c r="C4287" t="s">
        <v>11</v>
      </c>
      <c r="D4287" t="s">
        <v>12</v>
      </c>
      <c r="E4287" t="s">
        <v>65</v>
      </c>
      <c r="F4287" t="s">
        <v>14</v>
      </c>
      <c r="G4287" s="4">
        <v>7</v>
      </c>
      <c r="H4287" s="1">
        <v>29733</v>
      </c>
      <c r="I4287" s="3" t="s">
        <v>21</v>
      </c>
      <c r="J4287" s="4">
        <v>3</v>
      </c>
    </row>
    <row r="4288" spans="1:10" x14ac:dyDescent="0.35">
      <c r="A4288" s="2" t="s">
        <v>4324</v>
      </c>
      <c r="B4288" s="4">
        <v>1</v>
      </c>
      <c r="C4288" t="s">
        <v>11</v>
      </c>
      <c r="D4288" t="s">
        <v>18</v>
      </c>
      <c r="E4288" t="s">
        <v>65</v>
      </c>
      <c r="F4288" t="s">
        <v>30</v>
      </c>
      <c r="G4288" s="4">
        <v>4</v>
      </c>
      <c r="H4288" s="1">
        <v>44828</v>
      </c>
      <c r="I4288" s="3" t="s">
        <v>21</v>
      </c>
      <c r="J4288" s="4">
        <v>2</v>
      </c>
    </row>
    <row r="4289" spans="1:10" x14ac:dyDescent="0.35">
      <c r="A4289" s="2" t="s">
        <v>4325</v>
      </c>
      <c r="B4289" s="4">
        <v>56</v>
      </c>
      <c r="C4289" t="s">
        <v>11</v>
      </c>
      <c r="D4289" t="s">
        <v>28</v>
      </c>
      <c r="E4289" t="s">
        <v>53</v>
      </c>
      <c r="F4289" t="s">
        <v>30</v>
      </c>
      <c r="G4289" s="4">
        <v>2</v>
      </c>
      <c r="H4289" s="1">
        <v>60918</v>
      </c>
      <c r="I4289" s="3" t="s">
        <v>21</v>
      </c>
      <c r="J4289" s="4">
        <v>2</v>
      </c>
    </row>
    <row r="4290" spans="1:10" x14ac:dyDescent="0.35">
      <c r="A4290" s="2" t="s">
        <v>4326</v>
      </c>
      <c r="B4290" s="4">
        <v>40</v>
      </c>
      <c r="C4290" t="s">
        <v>11</v>
      </c>
      <c r="D4290" t="s">
        <v>23</v>
      </c>
      <c r="E4290" t="s">
        <v>53</v>
      </c>
      <c r="F4290" t="s">
        <v>30</v>
      </c>
      <c r="G4290" s="4">
        <v>5</v>
      </c>
      <c r="H4290" s="1">
        <v>95535</v>
      </c>
      <c r="I4290" s="3" t="s">
        <v>15</v>
      </c>
      <c r="J4290" s="4">
        <v>2</v>
      </c>
    </row>
    <row r="4291" spans="1:10" x14ac:dyDescent="0.35">
      <c r="A4291" s="2" t="s">
        <v>4327</v>
      </c>
      <c r="B4291" s="4">
        <v>40</v>
      </c>
      <c r="C4291" t="s">
        <v>11</v>
      </c>
      <c r="D4291" t="s">
        <v>26</v>
      </c>
      <c r="E4291" t="s">
        <v>37</v>
      </c>
      <c r="F4291" t="s">
        <v>20</v>
      </c>
      <c r="G4291" s="4">
        <v>3</v>
      </c>
      <c r="H4291" s="1">
        <v>40409</v>
      </c>
      <c r="I4291" s="3" t="s">
        <v>21</v>
      </c>
      <c r="J4291" s="4">
        <v>4</v>
      </c>
    </row>
    <row r="4292" spans="1:10" x14ac:dyDescent="0.35">
      <c r="A4292" s="2" t="s">
        <v>4328</v>
      </c>
      <c r="B4292" s="4">
        <v>80</v>
      </c>
      <c r="C4292" t="s">
        <v>11</v>
      </c>
      <c r="D4292" t="s">
        <v>28</v>
      </c>
      <c r="E4292" t="s">
        <v>24</v>
      </c>
      <c r="F4292" t="s">
        <v>30</v>
      </c>
      <c r="G4292" s="4">
        <v>5</v>
      </c>
      <c r="H4292" s="1">
        <v>21868</v>
      </c>
      <c r="I4292" s="3" t="s">
        <v>15</v>
      </c>
      <c r="J4292" s="4">
        <v>3</v>
      </c>
    </row>
    <row r="4293" spans="1:10" x14ac:dyDescent="0.35">
      <c r="A4293" s="2" t="s">
        <v>4329</v>
      </c>
      <c r="B4293" s="4">
        <v>39</v>
      </c>
      <c r="C4293" t="s">
        <v>17</v>
      </c>
      <c r="D4293" t="s">
        <v>26</v>
      </c>
      <c r="E4293" t="s">
        <v>27</v>
      </c>
      <c r="F4293" t="s">
        <v>20</v>
      </c>
      <c r="G4293" s="4">
        <v>9</v>
      </c>
      <c r="H4293" s="1">
        <v>67826</v>
      </c>
      <c r="I4293" s="3" t="s">
        <v>15</v>
      </c>
      <c r="J4293" s="4">
        <v>1</v>
      </c>
    </row>
    <row r="4294" spans="1:10" x14ac:dyDescent="0.35">
      <c r="A4294" s="2" t="s">
        <v>4330</v>
      </c>
      <c r="B4294" s="4">
        <v>17</v>
      </c>
      <c r="C4294" t="s">
        <v>11</v>
      </c>
      <c r="D4294" t="s">
        <v>23</v>
      </c>
      <c r="E4294" t="s">
        <v>65</v>
      </c>
      <c r="F4294" t="s">
        <v>14</v>
      </c>
      <c r="G4294" s="4">
        <v>7</v>
      </c>
      <c r="H4294" s="1">
        <v>96126</v>
      </c>
      <c r="I4294" s="3" t="s">
        <v>21</v>
      </c>
      <c r="J4294" s="4">
        <v>3</v>
      </c>
    </row>
    <row r="4295" spans="1:10" x14ac:dyDescent="0.35">
      <c r="A4295" s="2" t="s">
        <v>4331</v>
      </c>
      <c r="B4295" s="4">
        <v>40</v>
      </c>
      <c r="C4295" t="s">
        <v>17</v>
      </c>
      <c r="D4295" t="s">
        <v>33</v>
      </c>
      <c r="E4295" t="s">
        <v>13</v>
      </c>
      <c r="F4295" t="s">
        <v>14</v>
      </c>
      <c r="G4295" s="4">
        <v>2</v>
      </c>
      <c r="H4295" s="1">
        <v>9089</v>
      </c>
      <c r="I4295" s="3" t="s">
        <v>21</v>
      </c>
      <c r="J4295" s="4">
        <v>5</v>
      </c>
    </row>
    <row r="4296" spans="1:10" x14ac:dyDescent="0.35">
      <c r="A4296" s="2" t="s">
        <v>4332</v>
      </c>
      <c r="B4296" s="4">
        <v>9</v>
      </c>
      <c r="C4296" t="s">
        <v>17</v>
      </c>
      <c r="D4296" t="s">
        <v>36</v>
      </c>
      <c r="E4296" t="s">
        <v>27</v>
      </c>
      <c r="F4296" t="s">
        <v>14</v>
      </c>
      <c r="G4296" s="4">
        <v>4</v>
      </c>
      <c r="H4296" s="1">
        <v>9703</v>
      </c>
      <c r="I4296" s="3" t="s">
        <v>21</v>
      </c>
      <c r="J4296" s="4">
        <v>2</v>
      </c>
    </row>
    <row r="4297" spans="1:10" x14ac:dyDescent="0.35">
      <c r="A4297" s="2" t="s">
        <v>4333</v>
      </c>
      <c r="B4297" s="4">
        <v>63</v>
      </c>
      <c r="C4297" t="s">
        <v>17</v>
      </c>
      <c r="D4297" t="s">
        <v>36</v>
      </c>
      <c r="E4297" t="s">
        <v>29</v>
      </c>
      <c r="F4297" t="s">
        <v>14</v>
      </c>
      <c r="G4297" s="4">
        <v>10</v>
      </c>
      <c r="H4297" s="1">
        <v>68025</v>
      </c>
      <c r="I4297" s="3" t="s">
        <v>15</v>
      </c>
      <c r="J4297" s="4">
        <v>2</v>
      </c>
    </row>
    <row r="4298" spans="1:10" x14ac:dyDescent="0.35">
      <c r="A4298" s="2" t="s">
        <v>4334</v>
      </c>
      <c r="B4298" s="4">
        <v>83</v>
      </c>
      <c r="C4298" t="s">
        <v>11</v>
      </c>
      <c r="D4298" t="s">
        <v>28</v>
      </c>
      <c r="E4298" t="s">
        <v>53</v>
      </c>
      <c r="F4298" t="s">
        <v>14</v>
      </c>
      <c r="G4298" s="4">
        <v>10</v>
      </c>
      <c r="H4298" s="1">
        <v>91788</v>
      </c>
      <c r="I4298" s="3" t="s">
        <v>21</v>
      </c>
      <c r="J4298" s="4">
        <v>3</v>
      </c>
    </row>
    <row r="4299" spans="1:10" x14ac:dyDescent="0.35">
      <c r="A4299" s="2" t="s">
        <v>4335</v>
      </c>
      <c r="B4299" s="4">
        <v>66</v>
      </c>
      <c r="C4299" t="s">
        <v>17</v>
      </c>
      <c r="D4299" t="s">
        <v>23</v>
      </c>
      <c r="E4299" t="s">
        <v>24</v>
      </c>
      <c r="F4299" t="s">
        <v>14</v>
      </c>
      <c r="G4299" s="4">
        <v>2</v>
      </c>
      <c r="H4299" s="1">
        <v>79649</v>
      </c>
      <c r="I4299" s="3" t="s">
        <v>21</v>
      </c>
      <c r="J4299" s="4">
        <v>5</v>
      </c>
    </row>
    <row r="4300" spans="1:10" x14ac:dyDescent="0.35">
      <c r="A4300" s="2" t="s">
        <v>4336</v>
      </c>
      <c r="B4300" s="4">
        <v>71</v>
      </c>
      <c r="C4300" t="s">
        <v>17</v>
      </c>
      <c r="D4300" t="s">
        <v>28</v>
      </c>
      <c r="E4300" t="s">
        <v>65</v>
      </c>
      <c r="F4300" t="s">
        <v>20</v>
      </c>
      <c r="G4300" s="4">
        <v>10</v>
      </c>
      <c r="H4300" s="1">
        <v>18633</v>
      </c>
      <c r="I4300" s="3" t="s">
        <v>15</v>
      </c>
      <c r="J4300" s="4">
        <v>4</v>
      </c>
    </row>
    <row r="4301" spans="1:10" x14ac:dyDescent="0.35">
      <c r="A4301" s="2" t="s">
        <v>4337</v>
      </c>
      <c r="B4301" s="4">
        <v>12</v>
      </c>
      <c r="C4301" t="s">
        <v>17</v>
      </c>
      <c r="D4301" t="s">
        <v>26</v>
      </c>
      <c r="E4301" t="s">
        <v>13</v>
      </c>
      <c r="F4301" t="s">
        <v>14</v>
      </c>
      <c r="G4301" s="4">
        <v>13</v>
      </c>
      <c r="H4301" s="1">
        <v>58700</v>
      </c>
      <c r="I4301" s="3" t="s">
        <v>15</v>
      </c>
      <c r="J4301" s="4">
        <v>5</v>
      </c>
    </row>
    <row r="4302" spans="1:10" x14ac:dyDescent="0.35">
      <c r="A4302" s="2" t="s">
        <v>4338</v>
      </c>
      <c r="B4302" s="4">
        <v>9</v>
      </c>
      <c r="C4302" t="s">
        <v>17</v>
      </c>
      <c r="D4302" t="s">
        <v>23</v>
      </c>
      <c r="E4302" t="s">
        <v>27</v>
      </c>
      <c r="F4302" t="s">
        <v>30</v>
      </c>
      <c r="G4302" s="4">
        <v>4</v>
      </c>
      <c r="H4302" s="1">
        <v>32700</v>
      </c>
      <c r="I4302" s="3" t="s">
        <v>21</v>
      </c>
      <c r="J4302" s="4">
        <v>4</v>
      </c>
    </row>
    <row r="4303" spans="1:10" x14ac:dyDescent="0.35">
      <c r="A4303" s="2" t="s">
        <v>4339</v>
      </c>
      <c r="B4303" s="4">
        <v>32</v>
      </c>
      <c r="C4303" t="s">
        <v>11</v>
      </c>
      <c r="D4303" t="s">
        <v>36</v>
      </c>
      <c r="E4303" t="s">
        <v>24</v>
      </c>
      <c r="F4303" t="s">
        <v>20</v>
      </c>
      <c r="G4303" s="4">
        <v>7</v>
      </c>
      <c r="H4303" s="1">
        <v>30654</v>
      </c>
      <c r="I4303" s="3" t="s">
        <v>15</v>
      </c>
      <c r="J4303" s="4">
        <v>4</v>
      </c>
    </row>
    <row r="4304" spans="1:10" x14ac:dyDescent="0.35">
      <c r="A4304" s="2" t="s">
        <v>4340</v>
      </c>
      <c r="B4304" s="4">
        <v>85</v>
      </c>
      <c r="C4304" t="s">
        <v>17</v>
      </c>
      <c r="D4304" t="s">
        <v>23</v>
      </c>
      <c r="E4304" t="s">
        <v>29</v>
      </c>
      <c r="F4304" t="s">
        <v>14</v>
      </c>
      <c r="G4304" s="4">
        <v>6</v>
      </c>
      <c r="H4304" s="1">
        <v>48081</v>
      </c>
      <c r="I4304" s="3" t="s">
        <v>15</v>
      </c>
      <c r="J4304" s="4">
        <v>3</v>
      </c>
    </row>
    <row r="4305" spans="1:10" x14ac:dyDescent="0.35">
      <c r="A4305" s="2" t="s">
        <v>4341</v>
      </c>
      <c r="B4305" s="4">
        <v>4</v>
      </c>
      <c r="C4305" t="s">
        <v>17</v>
      </c>
      <c r="D4305" t="s">
        <v>26</v>
      </c>
      <c r="E4305" t="s">
        <v>19</v>
      </c>
      <c r="F4305" t="s">
        <v>20</v>
      </c>
      <c r="G4305" s="4">
        <v>13</v>
      </c>
      <c r="H4305" s="1">
        <v>86394</v>
      </c>
      <c r="I4305" s="3" t="s">
        <v>21</v>
      </c>
      <c r="J4305" s="4">
        <v>1</v>
      </c>
    </row>
    <row r="4306" spans="1:10" x14ac:dyDescent="0.35">
      <c r="A4306" s="2" t="s">
        <v>4342</v>
      </c>
      <c r="B4306" s="4">
        <v>12</v>
      </c>
      <c r="C4306" t="s">
        <v>11</v>
      </c>
      <c r="D4306" t="s">
        <v>36</v>
      </c>
      <c r="E4306" t="s">
        <v>19</v>
      </c>
      <c r="F4306" t="s">
        <v>30</v>
      </c>
      <c r="G4306" s="4">
        <v>2</v>
      </c>
      <c r="H4306" s="1">
        <v>98960</v>
      </c>
      <c r="I4306" s="3" t="s">
        <v>21</v>
      </c>
      <c r="J4306" s="4">
        <v>5</v>
      </c>
    </row>
    <row r="4307" spans="1:10" x14ac:dyDescent="0.35">
      <c r="A4307" s="2" t="s">
        <v>4343</v>
      </c>
      <c r="B4307" s="4">
        <v>82</v>
      </c>
      <c r="C4307" t="s">
        <v>11</v>
      </c>
      <c r="D4307" t="s">
        <v>23</v>
      </c>
      <c r="E4307" t="s">
        <v>19</v>
      </c>
      <c r="F4307" t="s">
        <v>20</v>
      </c>
      <c r="G4307" s="4">
        <v>11</v>
      </c>
      <c r="H4307" s="1">
        <v>34370</v>
      </c>
      <c r="I4307" s="3" t="s">
        <v>15</v>
      </c>
      <c r="J4307" s="4">
        <v>5</v>
      </c>
    </row>
    <row r="4308" spans="1:10" x14ac:dyDescent="0.35">
      <c r="A4308" s="2" t="s">
        <v>4344</v>
      </c>
      <c r="B4308" s="4">
        <v>39</v>
      </c>
      <c r="C4308" t="s">
        <v>11</v>
      </c>
      <c r="D4308" t="s">
        <v>36</v>
      </c>
      <c r="E4308" t="s">
        <v>37</v>
      </c>
      <c r="F4308" t="s">
        <v>20</v>
      </c>
      <c r="G4308" s="4">
        <v>5</v>
      </c>
      <c r="H4308" s="1">
        <v>77471</v>
      </c>
      <c r="I4308" s="3" t="s">
        <v>21</v>
      </c>
      <c r="J4308" s="4">
        <v>3</v>
      </c>
    </row>
    <row r="4309" spans="1:10" x14ac:dyDescent="0.35">
      <c r="A4309" s="2" t="s">
        <v>4345</v>
      </c>
      <c r="B4309" s="4">
        <v>31</v>
      </c>
      <c r="C4309" t="s">
        <v>11</v>
      </c>
      <c r="D4309" t="s">
        <v>28</v>
      </c>
      <c r="E4309" t="s">
        <v>53</v>
      </c>
      <c r="F4309" t="s">
        <v>14</v>
      </c>
      <c r="G4309" s="4">
        <v>9</v>
      </c>
      <c r="H4309" s="1">
        <v>29581</v>
      </c>
      <c r="I4309" s="3" t="s">
        <v>21</v>
      </c>
      <c r="J4309" s="4">
        <v>1</v>
      </c>
    </row>
    <row r="4310" spans="1:10" x14ac:dyDescent="0.35">
      <c r="A4310" s="2" t="s">
        <v>4346</v>
      </c>
      <c r="B4310" s="4">
        <v>3</v>
      </c>
      <c r="C4310" t="s">
        <v>11</v>
      </c>
      <c r="D4310" t="s">
        <v>39</v>
      </c>
      <c r="E4310" t="s">
        <v>13</v>
      </c>
      <c r="F4310" t="s">
        <v>14</v>
      </c>
      <c r="G4310" s="4">
        <v>10</v>
      </c>
      <c r="H4310" s="1">
        <v>43110</v>
      </c>
      <c r="I4310" s="3" t="s">
        <v>15</v>
      </c>
      <c r="J4310" s="4">
        <v>5</v>
      </c>
    </row>
    <row r="4311" spans="1:10" x14ac:dyDescent="0.35">
      <c r="A4311" s="2" t="s">
        <v>4347</v>
      </c>
      <c r="B4311" s="4">
        <v>3</v>
      </c>
      <c r="C4311" t="s">
        <v>11</v>
      </c>
      <c r="D4311" t="s">
        <v>28</v>
      </c>
      <c r="E4311" t="s">
        <v>37</v>
      </c>
      <c r="F4311" t="s">
        <v>14</v>
      </c>
      <c r="G4311" s="4">
        <v>6</v>
      </c>
      <c r="H4311" s="1">
        <v>21051</v>
      </c>
      <c r="I4311" s="3" t="s">
        <v>15</v>
      </c>
      <c r="J4311" s="4">
        <v>4</v>
      </c>
    </row>
    <row r="4312" spans="1:10" x14ac:dyDescent="0.35">
      <c r="A4312" s="2" t="s">
        <v>4348</v>
      </c>
      <c r="B4312" s="4">
        <v>42</v>
      </c>
      <c r="C4312" t="s">
        <v>11</v>
      </c>
      <c r="D4312" t="s">
        <v>23</v>
      </c>
      <c r="E4312" t="s">
        <v>65</v>
      </c>
      <c r="F4312" t="s">
        <v>14</v>
      </c>
      <c r="G4312" s="4">
        <v>10</v>
      </c>
      <c r="H4312" s="1">
        <v>47105</v>
      </c>
      <c r="I4312" s="3" t="s">
        <v>15</v>
      </c>
      <c r="J4312" s="4">
        <v>5</v>
      </c>
    </row>
    <row r="4313" spans="1:10" x14ac:dyDescent="0.35">
      <c r="A4313" s="2" t="s">
        <v>4349</v>
      </c>
      <c r="B4313" s="4">
        <v>74</v>
      </c>
      <c r="C4313" t="s">
        <v>11</v>
      </c>
      <c r="D4313" t="s">
        <v>12</v>
      </c>
      <c r="E4313" t="s">
        <v>65</v>
      </c>
      <c r="F4313" t="s">
        <v>14</v>
      </c>
      <c r="G4313" s="4">
        <v>9</v>
      </c>
      <c r="H4313" s="1">
        <v>17032</v>
      </c>
      <c r="I4313" s="3" t="s">
        <v>21</v>
      </c>
      <c r="J4313" s="4">
        <v>5</v>
      </c>
    </row>
    <row r="4314" spans="1:10" x14ac:dyDescent="0.35">
      <c r="A4314" s="2" t="s">
        <v>4350</v>
      </c>
      <c r="B4314" s="4">
        <v>14</v>
      </c>
      <c r="C4314" t="s">
        <v>17</v>
      </c>
      <c r="D4314" t="s">
        <v>41</v>
      </c>
      <c r="E4314" t="s">
        <v>24</v>
      </c>
      <c r="F4314" t="s">
        <v>20</v>
      </c>
      <c r="G4314" s="4">
        <v>13</v>
      </c>
      <c r="H4314" s="1">
        <v>40308</v>
      </c>
      <c r="I4314" s="3" t="s">
        <v>15</v>
      </c>
      <c r="J4314" s="4">
        <v>4</v>
      </c>
    </row>
    <row r="4315" spans="1:10" x14ac:dyDescent="0.35">
      <c r="A4315" s="2" t="s">
        <v>4351</v>
      </c>
      <c r="B4315" s="4">
        <v>40</v>
      </c>
      <c r="C4315" t="s">
        <v>17</v>
      </c>
      <c r="D4315" t="s">
        <v>12</v>
      </c>
      <c r="E4315" t="s">
        <v>29</v>
      </c>
      <c r="F4315" t="s">
        <v>20</v>
      </c>
      <c r="G4315" s="4">
        <v>11</v>
      </c>
      <c r="H4315" s="1">
        <v>64791</v>
      </c>
      <c r="I4315" s="3" t="s">
        <v>21</v>
      </c>
      <c r="J4315" s="4">
        <v>4</v>
      </c>
    </row>
    <row r="4316" spans="1:10" x14ac:dyDescent="0.35">
      <c r="A4316" s="2" t="s">
        <v>4352</v>
      </c>
      <c r="B4316" s="4">
        <v>54</v>
      </c>
      <c r="C4316" t="s">
        <v>11</v>
      </c>
      <c r="D4316" t="s">
        <v>41</v>
      </c>
      <c r="E4316" t="s">
        <v>13</v>
      </c>
      <c r="F4316" t="s">
        <v>30</v>
      </c>
      <c r="G4316" s="4">
        <v>12</v>
      </c>
      <c r="H4316" s="1">
        <v>39202</v>
      </c>
      <c r="I4316" s="3" t="s">
        <v>21</v>
      </c>
      <c r="J4316" s="4">
        <v>3</v>
      </c>
    </row>
    <row r="4317" spans="1:10" x14ac:dyDescent="0.35">
      <c r="A4317" s="2" t="s">
        <v>4353</v>
      </c>
      <c r="B4317" s="4">
        <v>88</v>
      </c>
      <c r="C4317" t="s">
        <v>17</v>
      </c>
      <c r="D4317" t="s">
        <v>49</v>
      </c>
      <c r="E4317" t="s">
        <v>53</v>
      </c>
      <c r="F4317" t="s">
        <v>14</v>
      </c>
      <c r="G4317" s="4">
        <v>12</v>
      </c>
      <c r="H4317" s="1">
        <v>60789</v>
      </c>
      <c r="I4317" s="3" t="s">
        <v>21</v>
      </c>
      <c r="J4317" s="4">
        <v>2</v>
      </c>
    </row>
    <row r="4318" spans="1:10" x14ac:dyDescent="0.35">
      <c r="A4318" s="2" t="s">
        <v>4354</v>
      </c>
      <c r="B4318" s="4">
        <v>83</v>
      </c>
      <c r="C4318" t="s">
        <v>17</v>
      </c>
      <c r="D4318" t="s">
        <v>39</v>
      </c>
      <c r="E4318" t="s">
        <v>34</v>
      </c>
      <c r="F4318" t="s">
        <v>20</v>
      </c>
      <c r="G4318" s="4">
        <v>7</v>
      </c>
      <c r="H4318" s="1">
        <v>18173</v>
      </c>
      <c r="I4318" s="3" t="s">
        <v>21</v>
      </c>
      <c r="J4318" s="4">
        <v>4</v>
      </c>
    </row>
    <row r="4319" spans="1:10" x14ac:dyDescent="0.35">
      <c r="A4319" s="2" t="s">
        <v>4355</v>
      </c>
      <c r="B4319" s="4">
        <v>11</v>
      </c>
      <c r="C4319" t="s">
        <v>17</v>
      </c>
      <c r="D4319" t="s">
        <v>39</v>
      </c>
      <c r="E4319" t="s">
        <v>13</v>
      </c>
      <c r="F4319" t="s">
        <v>20</v>
      </c>
      <c r="G4319" s="4">
        <v>5</v>
      </c>
      <c r="H4319" s="1">
        <v>22769</v>
      </c>
      <c r="I4319" s="3" t="s">
        <v>21</v>
      </c>
      <c r="J4319" s="4">
        <v>5</v>
      </c>
    </row>
    <row r="4320" spans="1:10" x14ac:dyDescent="0.35">
      <c r="A4320" s="2" t="s">
        <v>4356</v>
      </c>
      <c r="B4320" s="4">
        <v>68</v>
      </c>
      <c r="C4320" t="s">
        <v>11</v>
      </c>
      <c r="D4320" t="s">
        <v>28</v>
      </c>
      <c r="E4320" t="s">
        <v>29</v>
      </c>
      <c r="F4320" t="s">
        <v>30</v>
      </c>
      <c r="G4320" s="4">
        <v>3</v>
      </c>
      <c r="H4320" s="1">
        <v>39070</v>
      </c>
      <c r="I4320" s="3" t="s">
        <v>21</v>
      </c>
      <c r="J4320" s="4">
        <v>2</v>
      </c>
    </row>
    <row r="4321" spans="1:10" x14ac:dyDescent="0.35">
      <c r="A4321" s="2" t="s">
        <v>4357</v>
      </c>
      <c r="B4321" s="4">
        <v>79</v>
      </c>
      <c r="C4321" t="s">
        <v>17</v>
      </c>
      <c r="D4321" t="s">
        <v>18</v>
      </c>
      <c r="E4321" t="s">
        <v>53</v>
      </c>
      <c r="F4321" t="s">
        <v>20</v>
      </c>
      <c r="G4321" s="4">
        <v>14</v>
      </c>
      <c r="H4321" s="1">
        <v>30987</v>
      </c>
      <c r="I4321" s="3" t="s">
        <v>21</v>
      </c>
      <c r="J4321" s="4">
        <v>1</v>
      </c>
    </row>
    <row r="4322" spans="1:10" x14ac:dyDescent="0.35">
      <c r="A4322" s="2" t="s">
        <v>4358</v>
      </c>
      <c r="B4322" s="4">
        <v>43</v>
      </c>
      <c r="C4322" t="s">
        <v>17</v>
      </c>
      <c r="D4322" t="s">
        <v>23</v>
      </c>
      <c r="E4322" t="s">
        <v>13</v>
      </c>
      <c r="F4322" t="s">
        <v>20</v>
      </c>
      <c r="G4322" s="4">
        <v>1</v>
      </c>
      <c r="H4322" s="1">
        <v>50774</v>
      </c>
      <c r="I4322" s="3" t="s">
        <v>15</v>
      </c>
      <c r="J4322" s="4">
        <v>5</v>
      </c>
    </row>
    <row r="4323" spans="1:10" x14ac:dyDescent="0.35">
      <c r="A4323" s="2" t="s">
        <v>4359</v>
      </c>
      <c r="B4323" s="4">
        <v>33</v>
      </c>
      <c r="C4323" t="s">
        <v>11</v>
      </c>
      <c r="D4323" t="s">
        <v>28</v>
      </c>
      <c r="E4323" t="s">
        <v>37</v>
      </c>
      <c r="F4323" t="s">
        <v>14</v>
      </c>
      <c r="G4323" s="4">
        <v>7</v>
      </c>
      <c r="H4323" s="1">
        <v>39425</v>
      </c>
      <c r="I4323" s="3" t="s">
        <v>21</v>
      </c>
      <c r="J4323" s="4">
        <v>2</v>
      </c>
    </row>
    <row r="4324" spans="1:10" x14ac:dyDescent="0.35">
      <c r="A4324" s="2" t="s">
        <v>4360</v>
      </c>
      <c r="B4324" s="4">
        <v>39</v>
      </c>
      <c r="C4324" t="s">
        <v>11</v>
      </c>
      <c r="D4324" t="s">
        <v>49</v>
      </c>
      <c r="E4324" t="s">
        <v>13</v>
      </c>
      <c r="F4324" t="s">
        <v>30</v>
      </c>
      <c r="G4324" s="4">
        <v>9</v>
      </c>
      <c r="H4324" s="1">
        <v>66688</v>
      </c>
      <c r="I4324" s="3" t="s">
        <v>15</v>
      </c>
      <c r="J4324" s="4">
        <v>5</v>
      </c>
    </row>
    <row r="4325" spans="1:10" x14ac:dyDescent="0.35">
      <c r="A4325" s="2" t="s">
        <v>4361</v>
      </c>
      <c r="B4325" s="4">
        <v>9</v>
      </c>
      <c r="C4325" t="s">
        <v>17</v>
      </c>
      <c r="D4325" t="s">
        <v>26</v>
      </c>
      <c r="E4325" t="s">
        <v>27</v>
      </c>
      <c r="F4325" t="s">
        <v>30</v>
      </c>
      <c r="G4325" s="4">
        <v>7</v>
      </c>
      <c r="H4325" s="1">
        <v>79857</v>
      </c>
      <c r="I4325" s="3" t="s">
        <v>21</v>
      </c>
      <c r="J4325" s="4">
        <v>3</v>
      </c>
    </row>
    <row r="4326" spans="1:10" x14ac:dyDescent="0.35">
      <c r="A4326" s="2" t="s">
        <v>4362</v>
      </c>
      <c r="B4326" s="4">
        <v>48</v>
      </c>
      <c r="C4326" t="s">
        <v>17</v>
      </c>
      <c r="D4326" t="s">
        <v>26</v>
      </c>
      <c r="E4326" t="s">
        <v>53</v>
      </c>
      <c r="F4326" t="s">
        <v>20</v>
      </c>
      <c r="G4326" s="4">
        <v>15</v>
      </c>
      <c r="H4326" s="1">
        <v>74817</v>
      </c>
      <c r="I4326" s="3" t="s">
        <v>21</v>
      </c>
      <c r="J4326" s="4">
        <v>1</v>
      </c>
    </row>
    <row r="4327" spans="1:10" x14ac:dyDescent="0.35">
      <c r="A4327" s="2" t="s">
        <v>4363</v>
      </c>
      <c r="B4327" s="4">
        <v>80</v>
      </c>
      <c r="C4327" t="s">
        <v>17</v>
      </c>
      <c r="D4327" t="s">
        <v>33</v>
      </c>
      <c r="E4327" t="s">
        <v>27</v>
      </c>
      <c r="F4327" t="s">
        <v>30</v>
      </c>
      <c r="G4327" s="4">
        <v>3</v>
      </c>
      <c r="H4327" s="1">
        <v>49650</v>
      </c>
      <c r="I4327" s="3" t="s">
        <v>15</v>
      </c>
      <c r="J4327" s="4">
        <v>1</v>
      </c>
    </row>
    <row r="4328" spans="1:10" x14ac:dyDescent="0.35">
      <c r="A4328" s="2" t="s">
        <v>4364</v>
      </c>
      <c r="B4328" s="4">
        <v>64</v>
      </c>
      <c r="C4328" t="s">
        <v>17</v>
      </c>
      <c r="D4328" t="s">
        <v>26</v>
      </c>
      <c r="E4328" t="s">
        <v>29</v>
      </c>
      <c r="F4328" t="s">
        <v>20</v>
      </c>
      <c r="G4328" s="4">
        <v>9</v>
      </c>
      <c r="H4328" s="1">
        <v>46587</v>
      </c>
      <c r="I4328" s="3" t="s">
        <v>21</v>
      </c>
      <c r="J4328" s="4">
        <v>3</v>
      </c>
    </row>
    <row r="4329" spans="1:10" x14ac:dyDescent="0.35">
      <c r="A4329" s="2" t="s">
        <v>4365</v>
      </c>
      <c r="B4329" s="4">
        <v>84</v>
      </c>
      <c r="C4329" t="s">
        <v>11</v>
      </c>
      <c r="D4329" t="s">
        <v>12</v>
      </c>
      <c r="E4329" t="s">
        <v>37</v>
      </c>
      <c r="F4329" t="s">
        <v>20</v>
      </c>
      <c r="G4329" s="4">
        <v>8</v>
      </c>
      <c r="H4329" s="1">
        <v>84525</v>
      </c>
      <c r="I4329" s="3" t="s">
        <v>15</v>
      </c>
      <c r="J4329" s="4">
        <v>2</v>
      </c>
    </row>
    <row r="4330" spans="1:10" x14ac:dyDescent="0.35">
      <c r="A4330" s="2" t="s">
        <v>4366</v>
      </c>
      <c r="B4330" s="4">
        <v>69</v>
      </c>
      <c r="C4330" t="s">
        <v>11</v>
      </c>
      <c r="D4330" t="s">
        <v>12</v>
      </c>
      <c r="E4330" t="s">
        <v>34</v>
      </c>
      <c r="F4330" t="s">
        <v>20</v>
      </c>
      <c r="G4330" s="4">
        <v>4</v>
      </c>
      <c r="H4330" s="1">
        <v>56402</v>
      </c>
      <c r="I4330" s="3" t="s">
        <v>15</v>
      </c>
      <c r="J4330" s="4">
        <v>5</v>
      </c>
    </row>
    <row r="4331" spans="1:10" x14ac:dyDescent="0.35">
      <c r="A4331" s="2" t="s">
        <v>4367</v>
      </c>
      <c r="B4331" s="4">
        <v>1</v>
      </c>
      <c r="C4331" t="s">
        <v>17</v>
      </c>
      <c r="D4331" t="s">
        <v>49</v>
      </c>
      <c r="E4331" t="s">
        <v>34</v>
      </c>
      <c r="F4331" t="s">
        <v>20</v>
      </c>
      <c r="G4331" s="4">
        <v>6</v>
      </c>
      <c r="H4331" s="1">
        <v>64012</v>
      </c>
      <c r="I4331" s="3" t="s">
        <v>21</v>
      </c>
      <c r="J4331" s="4">
        <v>2</v>
      </c>
    </row>
    <row r="4332" spans="1:10" x14ac:dyDescent="0.35">
      <c r="A4332" s="2" t="s">
        <v>4368</v>
      </c>
      <c r="B4332" s="4">
        <v>72</v>
      </c>
      <c r="C4332" t="s">
        <v>11</v>
      </c>
      <c r="D4332" t="s">
        <v>23</v>
      </c>
      <c r="E4332" t="s">
        <v>53</v>
      </c>
      <c r="F4332" t="s">
        <v>20</v>
      </c>
      <c r="G4332" s="4">
        <v>9</v>
      </c>
      <c r="H4332" s="1">
        <v>56689</v>
      </c>
      <c r="I4332" s="3" t="s">
        <v>21</v>
      </c>
      <c r="J4332" s="4">
        <v>2</v>
      </c>
    </row>
    <row r="4333" spans="1:10" x14ac:dyDescent="0.35">
      <c r="A4333" s="2" t="s">
        <v>4369</v>
      </c>
      <c r="B4333" s="4">
        <v>73</v>
      </c>
      <c r="C4333" t="s">
        <v>11</v>
      </c>
      <c r="D4333" t="s">
        <v>41</v>
      </c>
      <c r="E4333" t="s">
        <v>42</v>
      </c>
      <c r="F4333" t="s">
        <v>14</v>
      </c>
      <c r="G4333" s="4">
        <v>14</v>
      </c>
      <c r="H4333" s="1">
        <v>26805</v>
      </c>
      <c r="I4333" s="3" t="s">
        <v>15</v>
      </c>
      <c r="J4333" s="4">
        <v>5</v>
      </c>
    </row>
    <row r="4334" spans="1:10" x14ac:dyDescent="0.35">
      <c r="A4334" s="2" t="s">
        <v>4370</v>
      </c>
      <c r="B4334" s="4">
        <v>67</v>
      </c>
      <c r="C4334" t="s">
        <v>17</v>
      </c>
      <c r="D4334" t="s">
        <v>12</v>
      </c>
      <c r="E4334" t="s">
        <v>13</v>
      </c>
      <c r="F4334" t="s">
        <v>30</v>
      </c>
      <c r="G4334" s="4">
        <v>4</v>
      </c>
      <c r="H4334" s="1">
        <v>23630</v>
      </c>
      <c r="I4334" s="3" t="s">
        <v>21</v>
      </c>
      <c r="J4334" s="4">
        <v>4</v>
      </c>
    </row>
    <row r="4335" spans="1:10" x14ac:dyDescent="0.35">
      <c r="A4335" s="2" t="s">
        <v>4371</v>
      </c>
      <c r="B4335" s="4">
        <v>78</v>
      </c>
      <c r="C4335" t="s">
        <v>17</v>
      </c>
      <c r="D4335" t="s">
        <v>49</v>
      </c>
      <c r="E4335" t="s">
        <v>13</v>
      </c>
      <c r="F4335" t="s">
        <v>20</v>
      </c>
      <c r="G4335" s="4">
        <v>2</v>
      </c>
      <c r="H4335" s="1">
        <v>42095</v>
      </c>
      <c r="I4335" s="3" t="s">
        <v>15</v>
      </c>
      <c r="J4335" s="4">
        <v>4</v>
      </c>
    </row>
    <row r="4336" spans="1:10" x14ac:dyDescent="0.35">
      <c r="A4336" s="2" t="s">
        <v>4372</v>
      </c>
      <c r="B4336" s="4">
        <v>46</v>
      </c>
      <c r="C4336" t="s">
        <v>17</v>
      </c>
      <c r="D4336" t="s">
        <v>23</v>
      </c>
      <c r="E4336" t="s">
        <v>24</v>
      </c>
      <c r="F4336" t="s">
        <v>30</v>
      </c>
      <c r="G4336" s="4">
        <v>7</v>
      </c>
      <c r="H4336" s="1">
        <v>46815</v>
      </c>
      <c r="I4336" s="3" t="s">
        <v>21</v>
      </c>
      <c r="J4336" s="4">
        <v>5</v>
      </c>
    </row>
    <row r="4337" spans="1:10" x14ac:dyDescent="0.35">
      <c r="A4337" s="2" t="s">
        <v>4373</v>
      </c>
      <c r="B4337" s="4">
        <v>14</v>
      </c>
      <c r="C4337" t="s">
        <v>17</v>
      </c>
      <c r="D4337" t="s">
        <v>49</v>
      </c>
      <c r="E4337" t="s">
        <v>42</v>
      </c>
      <c r="F4337" t="s">
        <v>14</v>
      </c>
      <c r="G4337" s="4">
        <v>15</v>
      </c>
      <c r="H4337" s="1">
        <v>74651</v>
      </c>
      <c r="I4337" s="3" t="s">
        <v>21</v>
      </c>
      <c r="J4337" s="4">
        <v>1</v>
      </c>
    </row>
    <row r="4338" spans="1:10" x14ac:dyDescent="0.35">
      <c r="A4338" s="2" t="s">
        <v>4374</v>
      </c>
      <c r="B4338" s="4">
        <v>47</v>
      </c>
      <c r="C4338" t="s">
        <v>11</v>
      </c>
      <c r="D4338" t="s">
        <v>18</v>
      </c>
      <c r="E4338" t="s">
        <v>37</v>
      </c>
      <c r="F4338" t="s">
        <v>30</v>
      </c>
      <c r="G4338" s="4">
        <v>7</v>
      </c>
      <c r="H4338" s="1">
        <v>84537</v>
      </c>
      <c r="I4338" s="3" t="s">
        <v>15</v>
      </c>
      <c r="J4338" s="4">
        <v>3</v>
      </c>
    </row>
    <row r="4339" spans="1:10" x14ac:dyDescent="0.35">
      <c r="A4339" s="2" t="s">
        <v>4375</v>
      </c>
      <c r="B4339" s="4">
        <v>45</v>
      </c>
      <c r="C4339" t="s">
        <v>11</v>
      </c>
      <c r="D4339" t="s">
        <v>12</v>
      </c>
      <c r="E4339" t="s">
        <v>42</v>
      </c>
      <c r="F4339" t="s">
        <v>30</v>
      </c>
      <c r="G4339" s="4">
        <v>10</v>
      </c>
      <c r="H4339" s="1">
        <v>74544</v>
      </c>
      <c r="I4339" s="3" t="s">
        <v>21</v>
      </c>
      <c r="J4339" s="4">
        <v>3</v>
      </c>
    </row>
    <row r="4340" spans="1:10" x14ac:dyDescent="0.35">
      <c r="A4340" s="2" t="s">
        <v>4376</v>
      </c>
      <c r="B4340" s="4">
        <v>37</v>
      </c>
      <c r="C4340" t="s">
        <v>17</v>
      </c>
      <c r="D4340" t="s">
        <v>36</v>
      </c>
      <c r="E4340" t="s">
        <v>53</v>
      </c>
      <c r="F4340" t="s">
        <v>14</v>
      </c>
      <c r="G4340" s="4">
        <v>14</v>
      </c>
      <c r="H4340" s="1">
        <v>27309</v>
      </c>
      <c r="I4340" s="3" t="s">
        <v>21</v>
      </c>
      <c r="J4340" s="4">
        <v>2</v>
      </c>
    </row>
    <row r="4341" spans="1:10" x14ac:dyDescent="0.35">
      <c r="A4341" s="2" t="s">
        <v>4377</v>
      </c>
      <c r="B4341" s="4">
        <v>37</v>
      </c>
      <c r="C4341" t="s">
        <v>11</v>
      </c>
      <c r="D4341" t="s">
        <v>12</v>
      </c>
      <c r="E4341" t="s">
        <v>42</v>
      </c>
      <c r="F4341" t="s">
        <v>20</v>
      </c>
      <c r="G4341" s="4">
        <v>9</v>
      </c>
      <c r="H4341" s="1">
        <v>75828</v>
      </c>
      <c r="I4341" s="3" t="s">
        <v>15</v>
      </c>
      <c r="J4341" s="4">
        <v>2</v>
      </c>
    </row>
    <row r="4342" spans="1:10" x14ac:dyDescent="0.35">
      <c r="A4342" s="2" t="s">
        <v>4378</v>
      </c>
      <c r="B4342" s="4">
        <v>63</v>
      </c>
      <c r="C4342" t="s">
        <v>17</v>
      </c>
      <c r="D4342" t="s">
        <v>39</v>
      </c>
      <c r="E4342" t="s">
        <v>27</v>
      </c>
      <c r="F4342" t="s">
        <v>30</v>
      </c>
      <c r="G4342" s="4">
        <v>8</v>
      </c>
      <c r="H4342" s="1">
        <v>43974</v>
      </c>
      <c r="I4342" s="3" t="s">
        <v>15</v>
      </c>
      <c r="J4342" s="4">
        <v>1</v>
      </c>
    </row>
    <row r="4343" spans="1:10" x14ac:dyDescent="0.35">
      <c r="A4343" s="2" t="s">
        <v>4379</v>
      </c>
      <c r="B4343" s="4">
        <v>58</v>
      </c>
      <c r="C4343" t="s">
        <v>11</v>
      </c>
      <c r="D4343" t="s">
        <v>28</v>
      </c>
      <c r="E4343" t="s">
        <v>19</v>
      </c>
      <c r="F4343" t="s">
        <v>14</v>
      </c>
      <c r="G4343" s="4">
        <v>5</v>
      </c>
      <c r="H4343" s="1">
        <v>77748</v>
      </c>
      <c r="I4343" s="3" t="s">
        <v>15</v>
      </c>
      <c r="J4343" s="4">
        <v>5</v>
      </c>
    </row>
    <row r="4344" spans="1:10" x14ac:dyDescent="0.35">
      <c r="A4344" s="2" t="s">
        <v>4380</v>
      </c>
      <c r="B4344" s="4">
        <v>59</v>
      </c>
      <c r="C4344" t="s">
        <v>11</v>
      </c>
      <c r="D4344" t="s">
        <v>18</v>
      </c>
      <c r="E4344" t="s">
        <v>24</v>
      </c>
      <c r="F4344" t="s">
        <v>30</v>
      </c>
      <c r="G4344" s="4">
        <v>4</v>
      </c>
      <c r="H4344" s="1">
        <v>60845</v>
      </c>
      <c r="I4344" s="3" t="s">
        <v>21</v>
      </c>
      <c r="J4344" s="4">
        <v>1</v>
      </c>
    </row>
    <row r="4345" spans="1:10" x14ac:dyDescent="0.35">
      <c r="A4345" s="2" t="s">
        <v>4381</v>
      </c>
      <c r="B4345" s="4">
        <v>70</v>
      </c>
      <c r="C4345" t="s">
        <v>17</v>
      </c>
      <c r="D4345" t="s">
        <v>36</v>
      </c>
      <c r="E4345" t="s">
        <v>29</v>
      </c>
      <c r="F4345" t="s">
        <v>30</v>
      </c>
      <c r="G4345" s="4">
        <v>9</v>
      </c>
      <c r="H4345" s="1">
        <v>89519</v>
      </c>
      <c r="I4345" s="3" t="s">
        <v>21</v>
      </c>
      <c r="J4345" s="4">
        <v>4</v>
      </c>
    </row>
    <row r="4346" spans="1:10" x14ac:dyDescent="0.35">
      <c r="A4346" s="2" t="s">
        <v>4382</v>
      </c>
      <c r="B4346" s="4">
        <v>4</v>
      </c>
      <c r="C4346" t="s">
        <v>11</v>
      </c>
      <c r="D4346" t="s">
        <v>18</v>
      </c>
      <c r="E4346" t="s">
        <v>24</v>
      </c>
      <c r="F4346" t="s">
        <v>14</v>
      </c>
      <c r="G4346" s="4">
        <v>1</v>
      </c>
      <c r="H4346" s="1">
        <v>77286</v>
      </c>
      <c r="I4346" s="3" t="s">
        <v>21</v>
      </c>
      <c r="J4346" s="4">
        <v>3</v>
      </c>
    </row>
    <row r="4347" spans="1:10" x14ac:dyDescent="0.35">
      <c r="A4347" s="2" t="s">
        <v>4383</v>
      </c>
      <c r="B4347" s="4">
        <v>16</v>
      </c>
      <c r="C4347" t="s">
        <v>17</v>
      </c>
      <c r="D4347" t="s">
        <v>33</v>
      </c>
      <c r="E4347" t="s">
        <v>29</v>
      </c>
      <c r="F4347" t="s">
        <v>20</v>
      </c>
      <c r="G4347" s="4">
        <v>3</v>
      </c>
      <c r="H4347" s="1">
        <v>67470</v>
      </c>
      <c r="I4347" s="3" t="s">
        <v>21</v>
      </c>
      <c r="J4347" s="4">
        <v>3</v>
      </c>
    </row>
    <row r="4348" spans="1:10" x14ac:dyDescent="0.35">
      <c r="A4348" s="2" t="s">
        <v>4384</v>
      </c>
      <c r="B4348" s="4">
        <v>26</v>
      </c>
      <c r="C4348" t="s">
        <v>11</v>
      </c>
      <c r="D4348" t="s">
        <v>41</v>
      </c>
      <c r="E4348" t="s">
        <v>34</v>
      </c>
      <c r="F4348" t="s">
        <v>30</v>
      </c>
      <c r="G4348" s="4">
        <v>14</v>
      </c>
      <c r="H4348" s="1">
        <v>54698</v>
      </c>
      <c r="I4348" s="3" t="s">
        <v>21</v>
      </c>
      <c r="J4348" s="4">
        <v>5</v>
      </c>
    </row>
    <row r="4349" spans="1:10" x14ac:dyDescent="0.35">
      <c r="A4349" s="2" t="s">
        <v>4385</v>
      </c>
      <c r="B4349" s="4">
        <v>68</v>
      </c>
      <c r="C4349" t="s">
        <v>17</v>
      </c>
      <c r="D4349" t="s">
        <v>33</v>
      </c>
      <c r="E4349" t="s">
        <v>24</v>
      </c>
      <c r="F4349" t="s">
        <v>30</v>
      </c>
      <c r="G4349" s="4">
        <v>9</v>
      </c>
      <c r="H4349" s="1">
        <v>59490</v>
      </c>
      <c r="I4349" s="3" t="s">
        <v>21</v>
      </c>
      <c r="J4349" s="4">
        <v>2</v>
      </c>
    </row>
    <row r="4350" spans="1:10" x14ac:dyDescent="0.35">
      <c r="A4350" s="2" t="s">
        <v>4386</v>
      </c>
      <c r="B4350" s="4">
        <v>5</v>
      </c>
      <c r="C4350" t="s">
        <v>11</v>
      </c>
      <c r="D4350" t="s">
        <v>18</v>
      </c>
      <c r="E4350" t="s">
        <v>37</v>
      </c>
      <c r="F4350" t="s">
        <v>30</v>
      </c>
      <c r="G4350" s="4">
        <v>15</v>
      </c>
      <c r="H4350" s="1">
        <v>38020</v>
      </c>
      <c r="I4350" s="3" t="s">
        <v>21</v>
      </c>
      <c r="J4350" s="4">
        <v>4</v>
      </c>
    </row>
    <row r="4351" spans="1:10" x14ac:dyDescent="0.35">
      <c r="A4351" s="2" t="s">
        <v>4387</v>
      </c>
      <c r="B4351" s="4">
        <v>26</v>
      </c>
      <c r="C4351" t="s">
        <v>17</v>
      </c>
      <c r="D4351" t="s">
        <v>41</v>
      </c>
      <c r="E4351" t="s">
        <v>29</v>
      </c>
      <c r="F4351" t="s">
        <v>30</v>
      </c>
      <c r="G4351" s="4">
        <v>7</v>
      </c>
      <c r="H4351" s="1">
        <v>60566</v>
      </c>
      <c r="I4351" s="3" t="s">
        <v>15</v>
      </c>
      <c r="J4351" s="4">
        <v>3</v>
      </c>
    </row>
    <row r="4352" spans="1:10" x14ac:dyDescent="0.35">
      <c r="A4352" s="2" t="s">
        <v>4388</v>
      </c>
      <c r="B4352" s="4">
        <v>33</v>
      </c>
      <c r="C4352" t="s">
        <v>11</v>
      </c>
      <c r="D4352" t="s">
        <v>36</v>
      </c>
      <c r="E4352" t="s">
        <v>27</v>
      </c>
      <c r="F4352" t="s">
        <v>30</v>
      </c>
      <c r="G4352" s="4">
        <v>10</v>
      </c>
      <c r="H4352" s="1">
        <v>84306</v>
      </c>
      <c r="I4352" s="3" t="s">
        <v>21</v>
      </c>
      <c r="J4352" s="4">
        <v>3</v>
      </c>
    </row>
    <row r="4353" spans="1:10" x14ac:dyDescent="0.35">
      <c r="A4353" s="2" t="s">
        <v>4389</v>
      </c>
      <c r="B4353" s="4">
        <v>54</v>
      </c>
      <c r="C4353" t="s">
        <v>17</v>
      </c>
      <c r="D4353" t="s">
        <v>23</v>
      </c>
      <c r="E4353" t="s">
        <v>37</v>
      </c>
      <c r="F4353" t="s">
        <v>20</v>
      </c>
      <c r="G4353" s="4">
        <v>3</v>
      </c>
      <c r="H4353" s="1">
        <v>56437</v>
      </c>
      <c r="I4353" s="3" t="s">
        <v>21</v>
      </c>
      <c r="J4353" s="4">
        <v>4</v>
      </c>
    </row>
    <row r="4354" spans="1:10" x14ac:dyDescent="0.35">
      <c r="A4354" s="2" t="s">
        <v>4390</v>
      </c>
      <c r="B4354" s="4">
        <v>60</v>
      </c>
      <c r="C4354" t="s">
        <v>11</v>
      </c>
      <c r="D4354" t="s">
        <v>33</v>
      </c>
      <c r="E4354" t="s">
        <v>34</v>
      </c>
      <c r="F4354" t="s">
        <v>20</v>
      </c>
      <c r="G4354" s="4">
        <v>13</v>
      </c>
      <c r="H4354" s="1">
        <v>33729</v>
      </c>
      <c r="I4354" s="3" t="s">
        <v>15</v>
      </c>
      <c r="J4354" s="4">
        <v>3</v>
      </c>
    </row>
    <row r="4355" spans="1:10" x14ac:dyDescent="0.35">
      <c r="A4355" s="2" t="s">
        <v>4391</v>
      </c>
      <c r="B4355" s="4">
        <v>89</v>
      </c>
      <c r="C4355" t="s">
        <v>11</v>
      </c>
      <c r="D4355" t="s">
        <v>36</v>
      </c>
      <c r="E4355" t="s">
        <v>24</v>
      </c>
      <c r="F4355" t="s">
        <v>30</v>
      </c>
      <c r="G4355" s="4">
        <v>13</v>
      </c>
      <c r="H4355" s="1">
        <v>72432</v>
      </c>
      <c r="I4355" s="3" t="s">
        <v>21</v>
      </c>
      <c r="J4355" s="4">
        <v>3</v>
      </c>
    </row>
    <row r="4356" spans="1:10" x14ac:dyDescent="0.35">
      <c r="A4356" s="2" t="s">
        <v>4392</v>
      </c>
      <c r="B4356" s="4">
        <v>63</v>
      </c>
      <c r="C4356" t="s">
        <v>11</v>
      </c>
      <c r="D4356" t="s">
        <v>33</v>
      </c>
      <c r="E4356" t="s">
        <v>24</v>
      </c>
      <c r="F4356" t="s">
        <v>20</v>
      </c>
      <c r="G4356" s="4">
        <v>10</v>
      </c>
      <c r="H4356" s="1">
        <v>38538</v>
      </c>
      <c r="I4356" s="3" t="s">
        <v>21</v>
      </c>
      <c r="J4356" s="4">
        <v>1</v>
      </c>
    </row>
    <row r="4357" spans="1:10" x14ac:dyDescent="0.35">
      <c r="A4357" s="2" t="s">
        <v>4393</v>
      </c>
      <c r="B4357" s="4">
        <v>82</v>
      </c>
      <c r="C4357" t="s">
        <v>11</v>
      </c>
      <c r="D4357" t="s">
        <v>18</v>
      </c>
      <c r="E4357" t="s">
        <v>27</v>
      </c>
      <c r="F4357" t="s">
        <v>14</v>
      </c>
      <c r="G4357" s="4">
        <v>4</v>
      </c>
      <c r="H4357" s="1">
        <v>37173</v>
      </c>
      <c r="I4357" s="3" t="s">
        <v>15</v>
      </c>
      <c r="J4357" s="4">
        <v>3</v>
      </c>
    </row>
    <row r="4358" spans="1:10" x14ac:dyDescent="0.35">
      <c r="A4358" s="2" t="s">
        <v>4394</v>
      </c>
      <c r="B4358" s="4">
        <v>83</v>
      </c>
      <c r="C4358" t="s">
        <v>17</v>
      </c>
      <c r="D4358" t="s">
        <v>23</v>
      </c>
      <c r="E4358" t="s">
        <v>42</v>
      </c>
      <c r="F4358" t="s">
        <v>20</v>
      </c>
      <c r="G4358" s="4">
        <v>2</v>
      </c>
      <c r="H4358" s="1">
        <v>90447</v>
      </c>
      <c r="I4358" s="3" t="s">
        <v>21</v>
      </c>
      <c r="J4358" s="4">
        <v>5</v>
      </c>
    </row>
    <row r="4359" spans="1:10" x14ac:dyDescent="0.35">
      <c r="A4359" s="2" t="s">
        <v>4395</v>
      </c>
      <c r="B4359" s="4">
        <v>89</v>
      </c>
      <c r="C4359" t="s">
        <v>17</v>
      </c>
      <c r="D4359" t="s">
        <v>26</v>
      </c>
      <c r="E4359" t="s">
        <v>34</v>
      </c>
      <c r="F4359" t="s">
        <v>20</v>
      </c>
      <c r="G4359" s="4">
        <v>14</v>
      </c>
      <c r="H4359" s="1">
        <v>18729</v>
      </c>
      <c r="I4359" s="3" t="s">
        <v>21</v>
      </c>
      <c r="J4359" s="4">
        <v>5</v>
      </c>
    </row>
    <row r="4360" spans="1:10" x14ac:dyDescent="0.35">
      <c r="A4360" s="2" t="s">
        <v>4396</v>
      </c>
      <c r="B4360" s="4">
        <v>18</v>
      </c>
      <c r="C4360" t="s">
        <v>11</v>
      </c>
      <c r="D4360" t="s">
        <v>39</v>
      </c>
      <c r="E4360" t="s">
        <v>19</v>
      </c>
      <c r="F4360" t="s">
        <v>20</v>
      </c>
      <c r="G4360" s="4">
        <v>4</v>
      </c>
      <c r="H4360" s="1">
        <v>18102</v>
      </c>
      <c r="I4360" s="3" t="s">
        <v>21</v>
      </c>
      <c r="J4360" s="4">
        <v>2</v>
      </c>
    </row>
    <row r="4361" spans="1:10" x14ac:dyDescent="0.35">
      <c r="A4361" s="2" t="s">
        <v>4397</v>
      </c>
      <c r="B4361" s="4">
        <v>15</v>
      </c>
      <c r="C4361" t="s">
        <v>17</v>
      </c>
      <c r="D4361" t="s">
        <v>12</v>
      </c>
      <c r="E4361" t="s">
        <v>27</v>
      </c>
      <c r="F4361" t="s">
        <v>20</v>
      </c>
      <c r="G4361" s="4">
        <v>5</v>
      </c>
      <c r="H4361" s="1">
        <v>82445</v>
      </c>
      <c r="I4361" s="3" t="s">
        <v>15</v>
      </c>
      <c r="J4361" s="4">
        <v>1</v>
      </c>
    </row>
    <row r="4362" spans="1:10" x14ac:dyDescent="0.35">
      <c r="A4362" s="2" t="s">
        <v>4398</v>
      </c>
      <c r="B4362" s="4">
        <v>69</v>
      </c>
      <c r="C4362" t="s">
        <v>17</v>
      </c>
      <c r="D4362" t="s">
        <v>28</v>
      </c>
      <c r="E4362" t="s">
        <v>24</v>
      </c>
      <c r="F4362" t="s">
        <v>14</v>
      </c>
      <c r="G4362" s="4">
        <v>2</v>
      </c>
      <c r="H4362" s="1">
        <v>6452</v>
      </c>
      <c r="I4362" s="3" t="s">
        <v>21</v>
      </c>
      <c r="J4362" s="4">
        <v>3</v>
      </c>
    </row>
    <row r="4363" spans="1:10" x14ac:dyDescent="0.35">
      <c r="A4363" s="2" t="s">
        <v>4399</v>
      </c>
      <c r="B4363" s="4">
        <v>16</v>
      </c>
      <c r="C4363" t="s">
        <v>17</v>
      </c>
      <c r="D4363" t="s">
        <v>26</v>
      </c>
      <c r="E4363" t="s">
        <v>53</v>
      </c>
      <c r="F4363" t="s">
        <v>30</v>
      </c>
      <c r="G4363" s="4">
        <v>7</v>
      </c>
      <c r="H4363" s="1">
        <v>15099</v>
      </c>
      <c r="I4363" s="3" t="s">
        <v>21</v>
      </c>
      <c r="J4363" s="4">
        <v>4</v>
      </c>
    </row>
    <row r="4364" spans="1:10" x14ac:dyDescent="0.35">
      <c r="A4364" s="2" t="s">
        <v>4400</v>
      </c>
      <c r="B4364" s="4">
        <v>48</v>
      </c>
      <c r="C4364" t="s">
        <v>17</v>
      </c>
      <c r="D4364" t="s">
        <v>41</v>
      </c>
      <c r="E4364" t="s">
        <v>42</v>
      </c>
      <c r="F4364" t="s">
        <v>30</v>
      </c>
      <c r="G4364" s="4">
        <v>15</v>
      </c>
      <c r="H4364" s="1">
        <v>56672</v>
      </c>
      <c r="I4364" s="3" t="s">
        <v>21</v>
      </c>
      <c r="J4364" s="4">
        <v>4</v>
      </c>
    </row>
    <row r="4365" spans="1:10" x14ac:dyDescent="0.35">
      <c r="A4365" s="2" t="s">
        <v>4401</v>
      </c>
      <c r="B4365" s="4">
        <v>9</v>
      </c>
      <c r="C4365" t="s">
        <v>17</v>
      </c>
      <c r="D4365" t="s">
        <v>23</v>
      </c>
      <c r="E4365" t="s">
        <v>53</v>
      </c>
      <c r="F4365" t="s">
        <v>20</v>
      </c>
      <c r="G4365" s="4">
        <v>1</v>
      </c>
      <c r="H4365" s="1">
        <v>99726</v>
      </c>
      <c r="I4365" s="3" t="s">
        <v>15</v>
      </c>
      <c r="J4365" s="4">
        <v>1</v>
      </c>
    </row>
    <row r="4366" spans="1:10" x14ac:dyDescent="0.35">
      <c r="A4366" s="2" t="s">
        <v>4402</v>
      </c>
      <c r="B4366" s="4">
        <v>80</v>
      </c>
      <c r="C4366" t="s">
        <v>11</v>
      </c>
      <c r="D4366" t="s">
        <v>18</v>
      </c>
      <c r="E4366" t="s">
        <v>65</v>
      </c>
      <c r="F4366" t="s">
        <v>14</v>
      </c>
      <c r="G4366" s="4">
        <v>5</v>
      </c>
      <c r="H4366" s="1">
        <v>43393</v>
      </c>
      <c r="I4366" s="3" t="s">
        <v>21</v>
      </c>
      <c r="J4366" s="4">
        <v>5</v>
      </c>
    </row>
    <row r="4367" spans="1:10" x14ac:dyDescent="0.35">
      <c r="A4367" s="2" t="s">
        <v>4403</v>
      </c>
      <c r="B4367" s="4">
        <v>69</v>
      </c>
      <c r="C4367" t="s">
        <v>17</v>
      </c>
      <c r="D4367" t="s">
        <v>41</v>
      </c>
      <c r="E4367" t="s">
        <v>34</v>
      </c>
      <c r="F4367" t="s">
        <v>20</v>
      </c>
      <c r="G4367" s="4">
        <v>1</v>
      </c>
      <c r="H4367" s="1">
        <v>54835</v>
      </c>
      <c r="I4367" s="3" t="s">
        <v>21</v>
      </c>
      <c r="J4367" s="4">
        <v>5</v>
      </c>
    </row>
    <row r="4368" spans="1:10" x14ac:dyDescent="0.35">
      <c r="A4368" s="2" t="s">
        <v>4404</v>
      </c>
      <c r="B4368" s="4">
        <v>62</v>
      </c>
      <c r="C4368" t="s">
        <v>11</v>
      </c>
      <c r="D4368" t="s">
        <v>39</v>
      </c>
      <c r="E4368" t="s">
        <v>53</v>
      </c>
      <c r="F4368" t="s">
        <v>20</v>
      </c>
      <c r="G4368" s="4">
        <v>15</v>
      </c>
      <c r="H4368" s="1">
        <v>50020</v>
      </c>
      <c r="I4368" s="3" t="s">
        <v>21</v>
      </c>
      <c r="J4368" s="4">
        <v>5</v>
      </c>
    </row>
    <row r="4369" spans="1:10" x14ac:dyDescent="0.35">
      <c r="A4369" s="2" t="s">
        <v>4405</v>
      </c>
      <c r="B4369" s="4">
        <v>46</v>
      </c>
      <c r="C4369" t="s">
        <v>17</v>
      </c>
      <c r="D4369" t="s">
        <v>26</v>
      </c>
      <c r="E4369" t="s">
        <v>19</v>
      </c>
      <c r="F4369" t="s">
        <v>14</v>
      </c>
      <c r="G4369" s="4">
        <v>14</v>
      </c>
      <c r="H4369" s="1">
        <v>43287</v>
      </c>
      <c r="I4369" s="3" t="s">
        <v>15</v>
      </c>
      <c r="J4369" s="4">
        <v>4</v>
      </c>
    </row>
    <row r="4370" spans="1:10" x14ac:dyDescent="0.35">
      <c r="A4370" s="2" t="s">
        <v>4406</v>
      </c>
      <c r="B4370" s="4">
        <v>43</v>
      </c>
      <c r="C4370" t="s">
        <v>11</v>
      </c>
      <c r="D4370" t="s">
        <v>33</v>
      </c>
      <c r="E4370" t="s">
        <v>13</v>
      </c>
      <c r="F4370" t="s">
        <v>20</v>
      </c>
      <c r="G4370" s="4">
        <v>13</v>
      </c>
      <c r="H4370" s="1">
        <v>92773</v>
      </c>
      <c r="I4370" s="3" t="s">
        <v>15</v>
      </c>
      <c r="J4370" s="4">
        <v>3</v>
      </c>
    </row>
    <row r="4371" spans="1:10" x14ac:dyDescent="0.35">
      <c r="A4371" s="2" t="s">
        <v>4407</v>
      </c>
      <c r="B4371" s="4">
        <v>23</v>
      </c>
      <c r="C4371" t="s">
        <v>17</v>
      </c>
      <c r="D4371" t="s">
        <v>23</v>
      </c>
      <c r="E4371" t="s">
        <v>13</v>
      </c>
      <c r="F4371" t="s">
        <v>20</v>
      </c>
      <c r="G4371" s="4">
        <v>2</v>
      </c>
      <c r="H4371" s="1">
        <v>82310</v>
      </c>
      <c r="I4371" s="3" t="s">
        <v>15</v>
      </c>
      <c r="J4371" s="4">
        <v>3</v>
      </c>
    </row>
    <row r="4372" spans="1:10" x14ac:dyDescent="0.35">
      <c r="A4372" s="2" t="s">
        <v>4408</v>
      </c>
      <c r="B4372" s="4">
        <v>4</v>
      </c>
      <c r="C4372" t="s">
        <v>11</v>
      </c>
      <c r="D4372" t="s">
        <v>28</v>
      </c>
      <c r="E4372" t="s">
        <v>24</v>
      </c>
      <c r="F4372" t="s">
        <v>30</v>
      </c>
      <c r="G4372" s="4">
        <v>15</v>
      </c>
      <c r="H4372" s="1">
        <v>44011</v>
      </c>
      <c r="I4372" s="3" t="s">
        <v>15</v>
      </c>
      <c r="J4372" s="4">
        <v>3</v>
      </c>
    </row>
    <row r="4373" spans="1:10" x14ac:dyDescent="0.35">
      <c r="A4373" s="2" t="s">
        <v>4409</v>
      </c>
      <c r="B4373" s="4">
        <v>16</v>
      </c>
      <c r="C4373" t="s">
        <v>11</v>
      </c>
      <c r="D4373" t="s">
        <v>49</v>
      </c>
      <c r="E4373" t="s">
        <v>29</v>
      </c>
      <c r="F4373" t="s">
        <v>14</v>
      </c>
      <c r="G4373" s="4">
        <v>3</v>
      </c>
      <c r="H4373" s="1">
        <v>93879</v>
      </c>
      <c r="I4373" s="3" t="s">
        <v>15</v>
      </c>
      <c r="J4373" s="4">
        <v>2</v>
      </c>
    </row>
    <row r="4374" spans="1:10" x14ac:dyDescent="0.35">
      <c r="A4374" s="2" t="s">
        <v>4410</v>
      </c>
      <c r="B4374" s="4">
        <v>28</v>
      </c>
      <c r="C4374" t="s">
        <v>17</v>
      </c>
      <c r="D4374" t="s">
        <v>26</v>
      </c>
      <c r="E4374" t="s">
        <v>37</v>
      </c>
      <c r="F4374" t="s">
        <v>30</v>
      </c>
      <c r="G4374" s="4">
        <v>2</v>
      </c>
      <c r="H4374" s="1">
        <v>56469</v>
      </c>
      <c r="I4374" s="3" t="s">
        <v>15</v>
      </c>
      <c r="J4374" s="4">
        <v>2</v>
      </c>
    </row>
    <row r="4375" spans="1:10" x14ac:dyDescent="0.35">
      <c r="A4375" s="2" t="s">
        <v>4411</v>
      </c>
      <c r="B4375" s="4">
        <v>16</v>
      </c>
      <c r="C4375" t="s">
        <v>17</v>
      </c>
      <c r="D4375" t="s">
        <v>26</v>
      </c>
      <c r="E4375" t="s">
        <v>24</v>
      </c>
      <c r="F4375" t="s">
        <v>14</v>
      </c>
      <c r="G4375" s="4">
        <v>8</v>
      </c>
      <c r="H4375" s="1">
        <v>90832</v>
      </c>
      <c r="I4375" s="3" t="s">
        <v>21</v>
      </c>
      <c r="J4375" s="4">
        <v>4</v>
      </c>
    </row>
    <row r="4376" spans="1:10" x14ac:dyDescent="0.35">
      <c r="A4376" s="2" t="s">
        <v>4412</v>
      </c>
      <c r="B4376" s="4">
        <v>71</v>
      </c>
      <c r="C4376" t="s">
        <v>11</v>
      </c>
      <c r="D4376" t="s">
        <v>33</v>
      </c>
      <c r="E4376" t="s">
        <v>27</v>
      </c>
      <c r="F4376" t="s">
        <v>14</v>
      </c>
      <c r="G4376" s="4">
        <v>6</v>
      </c>
      <c r="H4376" s="1">
        <v>34548</v>
      </c>
      <c r="I4376" s="3" t="s">
        <v>21</v>
      </c>
      <c r="J4376" s="4">
        <v>2</v>
      </c>
    </row>
    <row r="4377" spans="1:10" x14ac:dyDescent="0.35">
      <c r="A4377" s="2" t="s">
        <v>4413</v>
      </c>
      <c r="B4377" s="4">
        <v>65</v>
      </c>
      <c r="C4377" t="s">
        <v>11</v>
      </c>
      <c r="D4377" t="s">
        <v>39</v>
      </c>
      <c r="E4377" t="s">
        <v>13</v>
      </c>
      <c r="F4377" t="s">
        <v>30</v>
      </c>
      <c r="G4377" s="4">
        <v>14</v>
      </c>
      <c r="H4377" s="1">
        <v>27778</v>
      </c>
      <c r="I4377" s="3" t="s">
        <v>21</v>
      </c>
      <c r="J4377" s="4">
        <v>1</v>
      </c>
    </row>
    <row r="4378" spans="1:10" x14ac:dyDescent="0.35">
      <c r="A4378" s="2" t="s">
        <v>4414</v>
      </c>
      <c r="B4378" s="4">
        <v>57</v>
      </c>
      <c r="C4378" t="s">
        <v>17</v>
      </c>
      <c r="D4378" t="s">
        <v>36</v>
      </c>
      <c r="E4378" t="s">
        <v>19</v>
      </c>
      <c r="F4378" t="s">
        <v>30</v>
      </c>
      <c r="G4378" s="4">
        <v>4</v>
      </c>
      <c r="H4378" s="1">
        <v>64079</v>
      </c>
      <c r="I4378" s="3" t="s">
        <v>21</v>
      </c>
      <c r="J4378" s="4">
        <v>5</v>
      </c>
    </row>
    <row r="4379" spans="1:10" x14ac:dyDescent="0.35">
      <c r="A4379" s="2" t="s">
        <v>4415</v>
      </c>
      <c r="B4379" s="4">
        <v>2</v>
      </c>
      <c r="C4379" t="s">
        <v>17</v>
      </c>
      <c r="D4379" t="s">
        <v>33</v>
      </c>
      <c r="E4379" t="s">
        <v>19</v>
      </c>
      <c r="F4379" t="s">
        <v>30</v>
      </c>
      <c r="G4379" s="4">
        <v>15</v>
      </c>
      <c r="H4379" s="1">
        <v>54394</v>
      </c>
      <c r="I4379" s="3" t="s">
        <v>15</v>
      </c>
      <c r="J4379" s="4">
        <v>1</v>
      </c>
    </row>
    <row r="4380" spans="1:10" x14ac:dyDescent="0.35">
      <c r="A4380" s="2" t="s">
        <v>4416</v>
      </c>
      <c r="B4380" s="4">
        <v>19</v>
      </c>
      <c r="C4380" t="s">
        <v>11</v>
      </c>
      <c r="D4380" t="s">
        <v>39</v>
      </c>
      <c r="E4380" t="s">
        <v>34</v>
      </c>
      <c r="F4380" t="s">
        <v>20</v>
      </c>
      <c r="G4380" s="4">
        <v>2</v>
      </c>
      <c r="H4380" s="1">
        <v>19884</v>
      </c>
      <c r="I4380" s="3" t="s">
        <v>21</v>
      </c>
      <c r="J4380" s="4">
        <v>3</v>
      </c>
    </row>
    <row r="4381" spans="1:10" x14ac:dyDescent="0.35">
      <c r="A4381" s="2" t="s">
        <v>4417</v>
      </c>
      <c r="B4381" s="4">
        <v>1</v>
      </c>
      <c r="C4381" t="s">
        <v>11</v>
      </c>
      <c r="D4381" t="s">
        <v>23</v>
      </c>
      <c r="E4381" t="s">
        <v>19</v>
      </c>
      <c r="F4381" t="s">
        <v>14</v>
      </c>
      <c r="G4381" s="4">
        <v>13</v>
      </c>
      <c r="H4381" s="1">
        <v>77633</v>
      </c>
      <c r="I4381" s="3" t="s">
        <v>21</v>
      </c>
      <c r="J4381" s="4">
        <v>4</v>
      </c>
    </row>
    <row r="4382" spans="1:10" x14ac:dyDescent="0.35">
      <c r="A4382" s="2" t="s">
        <v>4418</v>
      </c>
      <c r="B4382" s="4">
        <v>10</v>
      </c>
      <c r="C4382" t="s">
        <v>11</v>
      </c>
      <c r="D4382" t="s">
        <v>12</v>
      </c>
      <c r="E4382" t="s">
        <v>53</v>
      </c>
      <c r="F4382" t="s">
        <v>20</v>
      </c>
      <c r="G4382" s="4">
        <v>9</v>
      </c>
      <c r="H4382" s="1">
        <v>50241</v>
      </c>
      <c r="I4382" s="3" t="s">
        <v>15</v>
      </c>
      <c r="J4382" s="4">
        <v>4</v>
      </c>
    </row>
    <row r="4383" spans="1:10" x14ac:dyDescent="0.35">
      <c r="A4383" s="2" t="s">
        <v>4419</v>
      </c>
      <c r="B4383" s="4">
        <v>40</v>
      </c>
      <c r="C4383" t="s">
        <v>11</v>
      </c>
      <c r="D4383" t="s">
        <v>18</v>
      </c>
      <c r="E4383" t="s">
        <v>53</v>
      </c>
      <c r="F4383" t="s">
        <v>20</v>
      </c>
      <c r="G4383" s="4">
        <v>4</v>
      </c>
      <c r="H4383" s="1">
        <v>20976</v>
      </c>
      <c r="I4383" s="3" t="s">
        <v>15</v>
      </c>
      <c r="J4383" s="4">
        <v>5</v>
      </c>
    </row>
    <row r="4384" spans="1:10" x14ac:dyDescent="0.35">
      <c r="A4384" s="2" t="s">
        <v>4420</v>
      </c>
      <c r="B4384" s="4">
        <v>79</v>
      </c>
      <c r="C4384" t="s">
        <v>17</v>
      </c>
      <c r="D4384" t="s">
        <v>36</v>
      </c>
      <c r="E4384" t="s">
        <v>24</v>
      </c>
      <c r="F4384" t="s">
        <v>14</v>
      </c>
      <c r="G4384" s="4">
        <v>6</v>
      </c>
      <c r="H4384" s="1">
        <v>38081</v>
      </c>
      <c r="I4384" s="3" t="s">
        <v>21</v>
      </c>
      <c r="J4384" s="4">
        <v>4</v>
      </c>
    </row>
    <row r="4385" spans="1:10" x14ac:dyDescent="0.35">
      <c r="A4385" s="2" t="s">
        <v>4421</v>
      </c>
      <c r="B4385" s="4">
        <v>1</v>
      </c>
      <c r="C4385" t="s">
        <v>11</v>
      </c>
      <c r="D4385" t="s">
        <v>49</v>
      </c>
      <c r="E4385" t="s">
        <v>24</v>
      </c>
      <c r="F4385" t="s">
        <v>20</v>
      </c>
      <c r="G4385" s="4">
        <v>13</v>
      </c>
      <c r="H4385" s="1">
        <v>10441</v>
      </c>
      <c r="I4385" s="3" t="s">
        <v>15</v>
      </c>
      <c r="J4385" s="4">
        <v>3</v>
      </c>
    </row>
    <row r="4386" spans="1:10" x14ac:dyDescent="0.35">
      <c r="A4386" s="2" t="s">
        <v>4422</v>
      </c>
      <c r="B4386" s="4">
        <v>36</v>
      </c>
      <c r="C4386" t="s">
        <v>11</v>
      </c>
      <c r="D4386" t="s">
        <v>28</v>
      </c>
      <c r="E4386" t="s">
        <v>42</v>
      </c>
      <c r="F4386" t="s">
        <v>30</v>
      </c>
      <c r="G4386" s="4">
        <v>15</v>
      </c>
      <c r="H4386" s="1">
        <v>62005</v>
      </c>
      <c r="I4386" s="3" t="s">
        <v>15</v>
      </c>
      <c r="J4386" s="4">
        <v>4</v>
      </c>
    </row>
    <row r="4387" spans="1:10" x14ac:dyDescent="0.35">
      <c r="A4387" s="2" t="s">
        <v>4423</v>
      </c>
      <c r="B4387" s="4">
        <v>70</v>
      </c>
      <c r="C4387" t="s">
        <v>17</v>
      </c>
      <c r="D4387" t="s">
        <v>33</v>
      </c>
      <c r="E4387" t="s">
        <v>24</v>
      </c>
      <c r="F4387" t="s">
        <v>14</v>
      </c>
      <c r="G4387" s="4">
        <v>2</v>
      </c>
      <c r="H4387" s="1">
        <v>54672</v>
      </c>
      <c r="I4387" s="3" t="s">
        <v>21</v>
      </c>
      <c r="J4387" s="4">
        <v>4</v>
      </c>
    </row>
    <row r="4388" spans="1:10" x14ac:dyDescent="0.35">
      <c r="A4388" s="2" t="s">
        <v>4424</v>
      </c>
      <c r="B4388" s="4">
        <v>24</v>
      </c>
      <c r="C4388" t="s">
        <v>17</v>
      </c>
      <c r="D4388" t="s">
        <v>39</v>
      </c>
      <c r="E4388" t="s">
        <v>53</v>
      </c>
      <c r="F4388" t="s">
        <v>30</v>
      </c>
      <c r="G4388" s="4">
        <v>6</v>
      </c>
      <c r="H4388" s="1">
        <v>89807</v>
      </c>
      <c r="I4388" s="3" t="s">
        <v>15</v>
      </c>
      <c r="J4388" s="4">
        <v>1</v>
      </c>
    </row>
    <row r="4389" spans="1:10" x14ac:dyDescent="0.35">
      <c r="A4389" s="2" t="s">
        <v>4425</v>
      </c>
      <c r="B4389" s="4">
        <v>25</v>
      </c>
      <c r="C4389" t="s">
        <v>17</v>
      </c>
      <c r="D4389" t="s">
        <v>18</v>
      </c>
      <c r="E4389" t="s">
        <v>42</v>
      </c>
      <c r="F4389" t="s">
        <v>14</v>
      </c>
      <c r="G4389" s="4">
        <v>8</v>
      </c>
      <c r="H4389" s="1">
        <v>75561</v>
      </c>
      <c r="I4389" s="3" t="s">
        <v>21</v>
      </c>
      <c r="J4389" s="4">
        <v>1</v>
      </c>
    </row>
    <row r="4390" spans="1:10" x14ac:dyDescent="0.35">
      <c r="A4390" s="2" t="s">
        <v>4426</v>
      </c>
      <c r="B4390" s="4">
        <v>15</v>
      </c>
      <c r="C4390" t="s">
        <v>17</v>
      </c>
      <c r="D4390" t="s">
        <v>18</v>
      </c>
      <c r="E4390" t="s">
        <v>19</v>
      </c>
      <c r="F4390" t="s">
        <v>14</v>
      </c>
      <c r="G4390" s="4">
        <v>7</v>
      </c>
      <c r="H4390" s="1">
        <v>97776</v>
      </c>
      <c r="I4390" s="3" t="s">
        <v>21</v>
      </c>
      <c r="J4390" s="4">
        <v>2</v>
      </c>
    </row>
    <row r="4391" spans="1:10" x14ac:dyDescent="0.35">
      <c r="A4391" s="2" t="s">
        <v>4427</v>
      </c>
      <c r="B4391" s="4">
        <v>21</v>
      </c>
      <c r="C4391" t="s">
        <v>17</v>
      </c>
      <c r="D4391" t="s">
        <v>18</v>
      </c>
      <c r="E4391" t="s">
        <v>65</v>
      </c>
      <c r="F4391" t="s">
        <v>20</v>
      </c>
      <c r="G4391" s="4">
        <v>12</v>
      </c>
      <c r="H4391" s="1">
        <v>49167</v>
      </c>
      <c r="I4391" s="3" t="s">
        <v>21</v>
      </c>
      <c r="J4391" s="4">
        <v>4</v>
      </c>
    </row>
    <row r="4392" spans="1:10" x14ac:dyDescent="0.35">
      <c r="A4392" s="2" t="s">
        <v>4428</v>
      </c>
      <c r="B4392" s="4">
        <v>89</v>
      </c>
      <c r="C4392" t="s">
        <v>11</v>
      </c>
      <c r="D4392" t="s">
        <v>12</v>
      </c>
      <c r="E4392" t="s">
        <v>29</v>
      </c>
      <c r="F4392" t="s">
        <v>14</v>
      </c>
      <c r="G4392" s="4">
        <v>5</v>
      </c>
      <c r="H4392" s="1">
        <v>38377</v>
      </c>
      <c r="I4392" s="3" t="s">
        <v>21</v>
      </c>
      <c r="J4392" s="4">
        <v>2</v>
      </c>
    </row>
    <row r="4393" spans="1:10" x14ac:dyDescent="0.35">
      <c r="A4393" s="2" t="s">
        <v>4429</v>
      </c>
      <c r="B4393" s="4">
        <v>69</v>
      </c>
      <c r="C4393" t="s">
        <v>17</v>
      </c>
      <c r="D4393" t="s">
        <v>33</v>
      </c>
      <c r="E4393" t="s">
        <v>24</v>
      </c>
      <c r="F4393" t="s">
        <v>30</v>
      </c>
      <c r="G4393" s="4">
        <v>2</v>
      </c>
      <c r="H4393" s="1">
        <v>9140</v>
      </c>
      <c r="I4393" s="3" t="s">
        <v>21</v>
      </c>
      <c r="J4393" s="4">
        <v>4</v>
      </c>
    </row>
    <row r="4394" spans="1:10" x14ac:dyDescent="0.35">
      <c r="A4394" s="2" t="s">
        <v>4430</v>
      </c>
      <c r="B4394" s="4">
        <v>24</v>
      </c>
      <c r="C4394" t="s">
        <v>11</v>
      </c>
      <c r="D4394" t="s">
        <v>23</v>
      </c>
      <c r="E4394" t="s">
        <v>27</v>
      </c>
      <c r="F4394" t="s">
        <v>30</v>
      </c>
      <c r="G4394" s="4">
        <v>12</v>
      </c>
      <c r="H4394" s="1">
        <v>89039</v>
      </c>
      <c r="I4394" s="3" t="s">
        <v>21</v>
      </c>
      <c r="J4394" s="4">
        <v>2</v>
      </c>
    </row>
    <row r="4395" spans="1:10" x14ac:dyDescent="0.35">
      <c r="A4395" s="2" t="s">
        <v>4431</v>
      </c>
      <c r="B4395" s="4">
        <v>61</v>
      </c>
      <c r="C4395" t="s">
        <v>17</v>
      </c>
      <c r="D4395" t="s">
        <v>23</v>
      </c>
      <c r="E4395" t="s">
        <v>24</v>
      </c>
      <c r="F4395" t="s">
        <v>14</v>
      </c>
      <c r="G4395" s="4">
        <v>5</v>
      </c>
      <c r="H4395" s="1">
        <v>28848</v>
      </c>
      <c r="I4395" s="3" t="s">
        <v>15</v>
      </c>
      <c r="J4395" s="4">
        <v>2</v>
      </c>
    </row>
    <row r="4396" spans="1:10" x14ac:dyDescent="0.35">
      <c r="A4396" s="2" t="s">
        <v>4432</v>
      </c>
      <c r="B4396" s="4">
        <v>90</v>
      </c>
      <c r="C4396" t="s">
        <v>11</v>
      </c>
      <c r="D4396" t="s">
        <v>26</v>
      </c>
      <c r="E4396" t="s">
        <v>65</v>
      </c>
      <c r="F4396" t="s">
        <v>30</v>
      </c>
      <c r="G4396" s="4">
        <v>11</v>
      </c>
      <c r="H4396" s="1">
        <v>77751</v>
      </c>
      <c r="I4396" s="3" t="s">
        <v>21</v>
      </c>
      <c r="J4396" s="4">
        <v>1</v>
      </c>
    </row>
    <row r="4397" spans="1:10" x14ac:dyDescent="0.35">
      <c r="A4397" s="2" t="s">
        <v>4433</v>
      </c>
      <c r="B4397" s="4">
        <v>61</v>
      </c>
      <c r="C4397" t="s">
        <v>11</v>
      </c>
      <c r="D4397" t="s">
        <v>33</v>
      </c>
      <c r="E4397" t="s">
        <v>19</v>
      </c>
      <c r="F4397" t="s">
        <v>14</v>
      </c>
      <c r="G4397" s="4">
        <v>1</v>
      </c>
      <c r="H4397" s="1">
        <v>46590</v>
      </c>
      <c r="I4397" s="3" t="s">
        <v>15</v>
      </c>
      <c r="J4397" s="4">
        <v>5</v>
      </c>
    </row>
    <row r="4398" spans="1:10" x14ac:dyDescent="0.35">
      <c r="A4398" s="2" t="s">
        <v>4434</v>
      </c>
      <c r="B4398" s="4">
        <v>21</v>
      </c>
      <c r="C4398" t="s">
        <v>17</v>
      </c>
      <c r="D4398" t="s">
        <v>18</v>
      </c>
      <c r="E4398" t="s">
        <v>37</v>
      </c>
      <c r="F4398" t="s">
        <v>30</v>
      </c>
      <c r="G4398" s="4">
        <v>11</v>
      </c>
      <c r="H4398" s="1">
        <v>66430</v>
      </c>
      <c r="I4398" s="3" t="s">
        <v>21</v>
      </c>
      <c r="J4398" s="4">
        <v>4</v>
      </c>
    </row>
    <row r="4399" spans="1:10" x14ac:dyDescent="0.35">
      <c r="A4399" s="2" t="s">
        <v>4435</v>
      </c>
      <c r="B4399" s="4">
        <v>82</v>
      </c>
      <c r="C4399" t="s">
        <v>11</v>
      </c>
      <c r="D4399" t="s">
        <v>26</v>
      </c>
      <c r="E4399" t="s">
        <v>42</v>
      </c>
      <c r="F4399" t="s">
        <v>14</v>
      </c>
      <c r="G4399" s="4">
        <v>1</v>
      </c>
      <c r="H4399" s="1">
        <v>56454</v>
      </c>
      <c r="I4399" s="3" t="s">
        <v>21</v>
      </c>
      <c r="J4399" s="4">
        <v>3</v>
      </c>
    </row>
    <row r="4400" spans="1:10" x14ac:dyDescent="0.35">
      <c r="A4400" s="2" t="s">
        <v>4436</v>
      </c>
      <c r="B4400" s="4">
        <v>81</v>
      </c>
      <c r="C4400" t="s">
        <v>17</v>
      </c>
      <c r="D4400" t="s">
        <v>49</v>
      </c>
      <c r="E4400" t="s">
        <v>29</v>
      </c>
      <c r="F4400" t="s">
        <v>30</v>
      </c>
      <c r="G4400" s="4">
        <v>11</v>
      </c>
      <c r="H4400" s="1">
        <v>19585</v>
      </c>
      <c r="I4400" s="3" t="s">
        <v>15</v>
      </c>
      <c r="J4400" s="4">
        <v>2</v>
      </c>
    </row>
    <row r="4401" spans="1:10" x14ac:dyDescent="0.35">
      <c r="A4401" s="2" t="s">
        <v>4437</v>
      </c>
      <c r="B4401" s="4">
        <v>49</v>
      </c>
      <c r="C4401" t="s">
        <v>11</v>
      </c>
      <c r="D4401" t="s">
        <v>12</v>
      </c>
      <c r="E4401" t="s">
        <v>19</v>
      </c>
      <c r="F4401" t="s">
        <v>30</v>
      </c>
      <c r="G4401" s="4">
        <v>9</v>
      </c>
      <c r="H4401" s="1">
        <v>99069</v>
      </c>
      <c r="I4401" s="3" t="s">
        <v>21</v>
      </c>
      <c r="J4401" s="4">
        <v>1</v>
      </c>
    </row>
    <row r="4402" spans="1:10" x14ac:dyDescent="0.35">
      <c r="A4402" s="2" t="s">
        <v>4438</v>
      </c>
      <c r="B4402" s="4">
        <v>76</v>
      </c>
      <c r="C4402" t="s">
        <v>17</v>
      </c>
      <c r="D4402" t="s">
        <v>49</v>
      </c>
      <c r="E4402" t="s">
        <v>24</v>
      </c>
      <c r="F4402" t="s">
        <v>14</v>
      </c>
      <c r="G4402" s="4">
        <v>12</v>
      </c>
      <c r="H4402" s="1">
        <v>26057</v>
      </c>
      <c r="I4402" s="3" t="s">
        <v>15</v>
      </c>
      <c r="J4402" s="4">
        <v>5</v>
      </c>
    </row>
    <row r="4403" spans="1:10" x14ac:dyDescent="0.35">
      <c r="A4403" s="2" t="s">
        <v>4439</v>
      </c>
      <c r="B4403" s="4">
        <v>89</v>
      </c>
      <c r="C4403" t="s">
        <v>17</v>
      </c>
      <c r="D4403" t="s">
        <v>33</v>
      </c>
      <c r="E4403" t="s">
        <v>42</v>
      </c>
      <c r="F4403" t="s">
        <v>14</v>
      </c>
      <c r="G4403" s="4">
        <v>2</v>
      </c>
      <c r="H4403" s="1">
        <v>66423</v>
      </c>
      <c r="I4403" s="3" t="s">
        <v>21</v>
      </c>
      <c r="J4403" s="4">
        <v>2</v>
      </c>
    </row>
    <row r="4404" spans="1:10" x14ac:dyDescent="0.35">
      <c r="A4404" s="2" t="s">
        <v>4440</v>
      </c>
      <c r="B4404" s="4">
        <v>87</v>
      </c>
      <c r="C4404" t="s">
        <v>11</v>
      </c>
      <c r="D4404" t="s">
        <v>41</v>
      </c>
      <c r="E4404" t="s">
        <v>53</v>
      </c>
      <c r="F4404" t="s">
        <v>20</v>
      </c>
      <c r="G4404" s="4">
        <v>15</v>
      </c>
      <c r="H4404" s="1">
        <v>46466</v>
      </c>
      <c r="I4404" s="3" t="s">
        <v>21</v>
      </c>
      <c r="J4404" s="4">
        <v>5</v>
      </c>
    </row>
    <row r="4405" spans="1:10" x14ac:dyDescent="0.35">
      <c r="A4405" s="2" t="s">
        <v>4441</v>
      </c>
      <c r="B4405" s="4">
        <v>23</v>
      </c>
      <c r="C4405" t="s">
        <v>17</v>
      </c>
      <c r="D4405" t="s">
        <v>33</v>
      </c>
      <c r="E4405" t="s">
        <v>65</v>
      </c>
      <c r="F4405" t="s">
        <v>14</v>
      </c>
      <c r="G4405" s="4">
        <v>4</v>
      </c>
      <c r="H4405" s="1">
        <v>72962</v>
      </c>
      <c r="I4405" s="3" t="s">
        <v>21</v>
      </c>
      <c r="J4405" s="4">
        <v>3</v>
      </c>
    </row>
    <row r="4406" spans="1:10" x14ac:dyDescent="0.35">
      <c r="A4406" s="2" t="s">
        <v>4442</v>
      </c>
      <c r="B4406" s="4">
        <v>71</v>
      </c>
      <c r="C4406" t="s">
        <v>17</v>
      </c>
      <c r="D4406" t="s">
        <v>41</v>
      </c>
      <c r="E4406" t="s">
        <v>13</v>
      </c>
      <c r="F4406" t="s">
        <v>30</v>
      </c>
      <c r="G4406" s="4">
        <v>1</v>
      </c>
      <c r="H4406" s="1">
        <v>36598</v>
      </c>
      <c r="I4406" s="3" t="s">
        <v>15</v>
      </c>
      <c r="J4406" s="4">
        <v>3</v>
      </c>
    </row>
    <row r="4407" spans="1:10" x14ac:dyDescent="0.35">
      <c r="A4407" s="2" t="s">
        <v>4443</v>
      </c>
      <c r="B4407" s="4">
        <v>67</v>
      </c>
      <c r="C4407" t="s">
        <v>17</v>
      </c>
      <c r="D4407" t="s">
        <v>33</v>
      </c>
      <c r="E4407" t="s">
        <v>27</v>
      </c>
      <c r="F4407" t="s">
        <v>20</v>
      </c>
      <c r="G4407" s="4">
        <v>10</v>
      </c>
      <c r="H4407" s="1">
        <v>54180</v>
      </c>
      <c r="I4407" s="3" t="s">
        <v>21</v>
      </c>
      <c r="J4407" s="4">
        <v>3</v>
      </c>
    </row>
    <row r="4408" spans="1:10" x14ac:dyDescent="0.35">
      <c r="A4408" s="2" t="s">
        <v>4444</v>
      </c>
      <c r="B4408" s="4">
        <v>76</v>
      </c>
      <c r="C4408" t="s">
        <v>17</v>
      </c>
      <c r="D4408" t="s">
        <v>39</v>
      </c>
      <c r="E4408" t="s">
        <v>53</v>
      </c>
      <c r="F4408" t="s">
        <v>14</v>
      </c>
      <c r="G4408" s="4">
        <v>2</v>
      </c>
      <c r="H4408" s="1">
        <v>25376</v>
      </c>
      <c r="I4408" s="3" t="s">
        <v>21</v>
      </c>
      <c r="J4408" s="4">
        <v>5</v>
      </c>
    </row>
    <row r="4409" spans="1:10" x14ac:dyDescent="0.35">
      <c r="A4409" s="2" t="s">
        <v>4445</v>
      </c>
      <c r="B4409" s="4">
        <v>88</v>
      </c>
      <c r="C4409" t="s">
        <v>11</v>
      </c>
      <c r="D4409" t="s">
        <v>23</v>
      </c>
      <c r="E4409" t="s">
        <v>24</v>
      </c>
      <c r="F4409" t="s">
        <v>30</v>
      </c>
      <c r="G4409" s="4">
        <v>8</v>
      </c>
      <c r="H4409" s="1">
        <v>58017</v>
      </c>
      <c r="I4409" s="3" t="s">
        <v>21</v>
      </c>
      <c r="J4409" s="4">
        <v>3</v>
      </c>
    </row>
    <row r="4410" spans="1:10" x14ac:dyDescent="0.35">
      <c r="A4410" s="2" t="s">
        <v>4446</v>
      </c>
      <c r="B4410" s="4">
        <v>73</v>
      </c>
      <c r="C4410" t="s">
        <v>17</v>
      </c>
      <c r="D4410" t="s">
        <v>12</v>
      </c>
      <c r="E4410" t="s">
        <v>65</v>
      </c>
      <c r="F4410" t="s">
        <v>20</v>
      </c>
      <c r="G4410" s="4">
        <v>10</v>
      </c>
      <c r="H4410" s="1">
        <v>52887</v>
      </c>
      <c r="I4410" s="3" t="s">
        <v>15</v>
      </c>
      <c r="J4410" s="4">
        <v>5</v>
      </c>
    </row>
    <row r="4411" spans="1:10" x14ac:dyDescent="0.35">
      <c r="A4411" s="2" t="s">
        <v>4447</v>
      </c>
      <c r="B4411" s="4">
        <v>11</v>
      </c>
      <c r="C4411" t="s">
        <v>17</v>
      </c>
      <c r="D4411" t="s">
        <v>12</v>
      </c>
      <c r="E4411" t="s">
        <v>53</v>
      </c>
      <c r="F4411" t="s">
        <v>14</v>
      </c>
      <c r="G4411" s="4">
        <v>4</v>
      </c>
      <c r="H4411" s="1">
        <v>80686</v>
      </c>
      <c r="I4411" s="3" t="s">
        <v>15</v>
      </c>
      <c r="J4411" s="4">
        <v>2</v>
      </c>
    </row>
    <row r="4412" spans="1:10" x14ac:dyDescent="0.35">
      <c r="A4412" s="2" t="s">
        <v>4448</v>
      </c>
      <c r="B4412" s="4">
        <v>85</v>
      </c>
      <c r="C4412" t="s">
        <v>11</v>
      </c>
      <c r="D4412" t="s">
        <v>49</v>
      </c>
      <c r="E4412" t="s">
        <v>29</v>
      </c>
      <c r="F4412" t="s">
        <v>30</v>
      </c>
      <c r="G4412" s="4">
        <v>4</v>
      </c>
      <c r="H4412" s="1">
        <v>80032</v>
      </c>
      <c r="I4412" s="3" t="s">
        <v>15</v>
      </c>
      <c r="J4412" s="4">
        <v>1</v>
      </c>
    </row>
    <row r="4413" spans="1:10" x14ac:dyDescent="0.35">
      <c r="A4413" s="2" t="s">
        <v>4449</v>
      </c>
      <c r="B4413" s="4">
        <v>21</v>
      </c>
      <c r="C4413" t="s">
        <v>11</v>
      </c>
      <c r="D4413" t="s">
        <v>26</v>
      </c>
      <c r="E4413" t="s">
        <v>53</v>
      </c>
      <c r="F4413" t="s">
        <v>14</v>
      </c>
      <c r="G4413" s="4">
        <v>6</v>
      </c>
      <c r="H4413" s="1">
        <v>42222</v>
      </c>
      <c r="I4413" s="3" t="s">
        <v>15</v>
      </c>
      <c r="J4413" s="4">
        <v>4</v>
      </c>
    </row>
    <row r="4414" spans="1:10" x14ac:dyDescent="0.35">
      <c r="A4414" s="2" t="s">
        <v>4450</v>
      </c>
      <c r="B4414" s="4">
        <v>10</v>
      </c>
      <c r="C4414" t="s">
        <v>17</v>
      </c>
      <c r="D4414" t="s">
        <v>18</v>
      </c>
      <c r="E4414" t="s">
        <v>65</v>
      </c>
      <c r="F4414" t="s">
        <v>14</v>
      </c>
      <c r="G4414" s="4">
        <v>2</v>
      </c>
      <c r="H4414" s="1">
        <v>14409</v>
      </c>
      <c r="I4414" s="3" t="s">
        <v>21</v>
      </c>
      <c r="J4414" s="4">
        <v>5</v>
      </c>
    </row>
    <row r="4415" spans="1:10" x14ac:dyDescent="0.35">
      <c r="A4415" s="2" t="s">
        <v>4451</v>
      </c>
      <c r="B4415" s="4">
        <v>80</v>
      </c>
      <c r="C4415" t="s">
        <v>11</v>
      </c>
      <c r="D4415" t="s">
        <v>23</v>
      </c>
      <c r="E4415" t="s">
        <v>27</v>
      </c>
      <c r="F4415" t="s">
        <v>30</v>
      </c>
      <c r="G4415" s="4">
        <v>11</v>
      </c>
      <c r="H4415" s="1">
        <v>98164</v>
      </c>
      <c r="I4415" s="3" t="s">
        <v>21</v>
      </c>
      <c r="J4415" s="4">
        <v>4</v>
      </c>
    </row>
    <row r="4416" spans="1:10" x14ac:dyDescent="0.35">
      <c r="A4416" s="2" t="s">
        <v>4452</v>
      </c>
      <c r="B4416" s="4">
        <v>22</v>
      </c>
      <c r="C4416" t="s">
        <v>17</v>
      </c>
      <c r="D4416" t="s">
        <v>36</v>
      </c>
      <c r="E4416" t="s">
        <v>53</v>
      </c>
      <c r="F4416" t="s">
        <v>20</v>
      </c>
      <c r="G4416" s="4">
        <v>13</v>
      </c>
      <c r="H4416" s="1">
        <v>94984</v>
      </c>
      <c r="I4416" s="3" t="s">
        <v>15</v>
      </c>
      <c r="J4416" s="4">
        <v>1</v>
      </c>
    </row>
    <row r="4417" spans="1:10" x14ac:dyDescent="0.35">
      <c r="A4417" s="2" t="s">
        <v>4453</v>
      </c>
      <c r="B4417" s="4">
        <v>70</v>
      </c>
      <c r="C4417" t="s">
        <v>11</v>
      </c>
      <c r="D4417" t="s">
        <v>33</v>
      </c>
      <c r="E4417" t="s">
        <v>19</v>
      </c>
      <c r="F4417" t="s">
        <v>14</v>
      </c>
      <c r="G4417" s="4">
        <v>15</v>
      </c>
      <c r="H4417" s="1">
        <v>41410</v>
      </c>
      <c r="I4417" s="3" t="s">
        <v>21</v>
      </c>
      <c r="J4417" s="4">
        <v>3</v>
      </c>
    </row>
    <row r="4418" spans="1:10" x14ac:dyDescent="0.35">
      <c r="A4418" s="2" t="s">
        <v>4454</v>
      </c>
      <c r="B4418" s="4">
        <v>54</v>
      </c>
      <c r="C4418" t="s">
        <v>17</v>
      </c>
      <c r="D4418" t="s">
        <v>36</v>
      </c>
      <c r="E4418" t="s">
        <v>53</v>
      </c>
      <c r="F4418" t="s">
        <v>20</v>
      </c>
      <c r="G4418" s="4">
        <v>6</v>
      </c>
      <c r="H4418" s="1">
        <v>93258</v>
      </c>
      <c r="I4418" s="3" t="s">
        <v>21</v>
      </c>
      <c r="J4418" s="4">
        <v>3</v>
      </c>
    </row>
    <row r="4419" spans="1:10" x14ac:dyDescent="0.35">
      <c r="A4419" s="2" t="s">
        <v>4455</v>
      </c>
      <c r="B4419" s="4">
        <v>18</v>
      </c>
      <c r="C4419" t="s">
        <v>11</v>
      </c>
      <c r="D4419" t="s">
        <v>41</v>
      </c>
      <c r="E4419" t="s">
        <v>37</v>
      </c>
      <c r="F4419" t="s">
        <v>20</v>
      </c>
      <c r="G4419" s="4">
        <v>13</v>
      </c>
      <c r="H4419" s="1">
        <v>91886</v>
      </c>
      <c r="I4419" s="3" t="s">
        <v>15</v>
      </c>
      <c r="J4419" s="4">
        <v>1</v>
      </c>
    </row>
    <row r="4420" spans="1:10" x14ac:dyDescent="0.35">
      <c r="A4420" s="2" t="s">
        <v>4456</v>
      </c>
      <c r="B4420" s="4">
        <v>28</v>
      </c>
      <c r="C4420" t="s">
        <v>11</v>
      </c>
      <c r="D4420" t="s">
        <v>36</v>
      </c>
      <c r="E4420" t="s">
        <v>42</v>
      </c>
      <c r="F4420" t="s">
        <v>30</v>
      </c>
      <c r="G4420" s="4">
        <v>2</v>
      </c>
      <c r="H4420" s="1">
        <v>24516</v>
      </c>
      <c r="I4420" s="3" t="s">
        <v>15</v>
      </c>
      <c r="J4420" s="4">
        <v>3</v>
      </c>
    </row>
    <row r="4421" spans="1:10" x14ac:dyDescent="0.35">
      <c r="A4421" s="2" t="s">
        <v>4457</v>
      </c>
      <c r="B4421" s="4">
        <v>45</v>
      </c>
      <c r="C4421" t="s">
        <v>17</v>
      </c>
      <c r="D4421" t="s">
        <v>18</v>
      </c>
      <c r="E4421" t="s">
        <v>24</v>
      </c>
      <c r="F4421" t="s">
        <v>14</v>
      </c>
      <c r="G4421" s="4">
        <v>3</v>
      </c>
      <c r="H4421" s="1">
        <v>87361</v>
      </c>
      <c r="I4421" s="3" t="s">
        <v>21</v>
      </c>
      <c r="J4421" s="4">
        <v>1</v>
      </c>
    </row>
    <row r="4422" spans="1:10" x14ac:dyDescent="0.35">
      <c r="A4422" s="2" t="s">
        <v>4458</v>
      </c>
      <c r="B4422" s="4">
        <v>20</v>
      </c>
      <c r="C4422" t="s">
        <v>17</v>
      </c>
      <c r="D4422" t="s">
        <v>26</v>
      </c>
      <c r="E4422" t="s">
        <v>65</v>
      </c>
      <c r="F4422" t="s">
        <v>30</v>
      </c>
      <c r="G4422" s="4">
        <v>9</v>
      </c>
      <c r="H4422" s="1">
        <v>26068</v>
      </c>
      <c r="I4422" s="3" t="s">
        <v>21</v>
      </c>
      <c r="J4422" s="4">
        <v>2</v>
      </c>
    </row>
    <row r="4423" spans="1:10" x14ac:dyDescent="0.35">
      <c r="A4423" s="2" t="s">
        <v>4459</v>
      </c>
      <c r="B4423" s="4">
        <v>67</v>
      </c>
      <c r="C4423" t="s">
        <v>17</v>
      </c>
      <c r="D4423" t="s">
        <v>28</v>
      </c>
      <c r="E4423" t="s">
        <v>65</v>
      </c>
      <c r="F4423" t="s">
        <v>30</v>
      </c>
      <c r="G4423" s="4">
        <v>12</v>
      </c>
      <c r="H4423" s="1">
        <v>37790</v>
      </c>
      <c r="I4423" s="3" t="s">
        <v>15</v>
      </c>
      <c r="J4423" s="4">
        <v>3</v>
      </c>
    </row>
    <row r="4424" spans="1:10" x14ac:dyDescent="0.35">
      <c r="A4424" s="2" t="s">
        <v>4460</v>
      </c>
      <c r="B4424" s="4">
        <v>39</v>
      </c>
      <c r="C4424" t="s">
        <v>17</v>
      </c>
      <c r="D4424" t="s">
        <v>28</v>
      </c>
      <c r="E4424" t="s">
        <v>13</v>
      </c>
      <c r="F4424" t="s">
        <v>20</v>
      </c>
      <c r="G4424" s="4">
        <v>5</v>
      </c>
      <c r="H4424" s="1">
        <v>33487</v>
      </c>
      <c r="I4424" s="3" t="s">
        <v>21</v>
      </c>
      <c r="J4424" s="4">
        <v>2</v>
      </c>
    </row>
    <row r="4425" spans="1:10" x14ac:dyDescent="0.35">
      <c r="A4425" s="2" t="s">
        <v>4461</v>
      </c>
      <c r="B4425" s="4">
        <v>61</v>
      </c>
      <c r="C4425" t="s">
        <v>17</v>
      </c>
      <c r="D4425" t="s">
        <v>18</v>
      </c>
      <c r="E4425" t="s">
        <v>27</v>
      </c>
      <c r="F4425" t="s">
        <v>14</v>
      </c>
      <c r="G4425" s="4">
        <v>4</v>
      </c>
      <c r="H4425" s="1">
        <v>10125</v>
      </c>
      <c r="I4425" s="3" t="s">
        <v>21</v>
      </c>
      <c r="J4425" s="4">
        <v>1</v>
      </c>
    </row>
    <row r="4426" spans="1:10" x14ac:dyDescent="0.35">
      <c r="A4426" s="2" t="s">
        <v>4462</v>
      </c>
      <c r="B4426" s="4">
        <v>40</v>
      </c>
      <c r="C4426" t="s">
        <v>11</v>
      </c>
      <c r="D4426" t="s">
        <v>12</v>
      </c>
      <c r="E4426" t="s">
        <v>24</v>
      </c>
      <c r="F4426" t="s">
        <v>14</v>
      </c>
      <c r="G4426" s="4">
        <v>7</v>
      </c>
      <c r="H4426" s="1">
        <v>45379</v>
      </c>
      <c r="I4426" s="3" t="s">
        <v>21</v>
      </c>
      <c r="J4426" s="4">
        <v>2</v>
      </c>
    </row>
    <row r="4427" spans="1:10" x14ac:dyDescent="0.35">
      <c r="A4427" s="2" t="s">
        <v>4463</v>
      </c>
      <c r="B4427" s="4">
        <v>60</v>
      </c>
      <c r="C4427" t="s">
        <v>11</v>
      </c>
      <c r="D4427" t="s">
        <v>12</v>
      </c>
      <c r="E4427" t="s">
        <v>37</v>
      </c>
      <c r="F4427" t="s">
        <v>14</v>
      </c>
      <c r="G4427" s="4">
        <v>1</v>
      </c>
      <c r="H4427" s="1">
        <v>50053</v>
      </c>
      <c r="I4427" s="3" t="s">
        <v>21</v>
      </c>
      <c r="J4427" s="4">
        <v>2</v>
      </c>
    </row>
    <row r="4428" spans="1:10" x14ac:dyDescent="0.35">
      <c r="A4428" s="2" t="s">
        <v>4464</v>
      </c>
      <c r="B4428" s="4">
        <v>64</v>
      </c>
      <c r="C4428" t="s">
        <v>17</v>
      </c>
      <c r="D4428" t="s">
        <v>12</v>
      </c>
      <c r="E4428" t="s">
        <v>29</v>
      </c>
      <c r="F4428" t="s">
        <v>20</v>
      </c>
      <c r="G4428" s="4">
        <v>2</v>
      </c>
      <c r="H4428" s="1">
        <v>46866</v>
      </c>
      <c r="I4428" s="3" t="s">
        <v>21</v>
      </c>
      <c r="J4428" s="4">
        <v>2</v>
      </c>
    </row>
    <row r="4429" spans="1:10" x14ac:dyDescent="0.35">
      <c r="A4429" s="2" t="s">
        <v>4465</v>
      </c>
      <c r="B4429" s="4">
        <v>4</v>
      </c>
      <c r="C4429" t="s">
        <v>11</v>
      </c>
      <c r="D4429" t="s">
        <v>36</v>
      </c>
      <c r="E4429" t="s">
        <v>13</v>
      </c>
      <c r="F4429" t="s">
        <v>14</v>
      </c>
      <c r="G4429" s="4">
        <v>13</v>
      </c>
      <c r="H4429" s="1">
        <v>70608</v>
      </c>
      <c r="I4429" s="3" t="s">
        <v>15</v>
      </c>
      <c r="J4429" s="4">
        <v>5</v>
      </c>
    </row>
    <row r="4430" spans="1:10" x14ac:dyDescent="0.35">
      <c r="A4430" s="2" t="s">
        <v>4466</v>
      </c>
      <c r="B4430" s="4">
        <v>63</v>
      </c>
      <c r="C4430" t="s">
        <v>11</v>
      </c>
      <c r="D4430" t="s">
        <v>33</v>
      </c>
      <c r="E4430" t="s">
        <v>53</v>
      </c>
      <c r="F4430" t="s">
        <v>30</v>
      </c>
      <c r="G4430" s="4">
        <v>10</v>
      </c>
      <c r="H4430" s="1">
        <v>6791</v>
      </c>
      <c r="I4430" s="3" t="s">
        <v>21</v>
      </c>
      <c r="J4430" s="4">
        <v>4</v>
      </c>
    </row>
    <row r="4431" spans="1:10" x14ac:dyDescent="0.35">
      <c r="A4431" s="2" t="s">
        <v>4467</v>
      </c>
      <c r="B4431" s="4">
        <v>23</v>
      </c>
      <c r="C4431" t="s">
        <v>17</v>
      </c>
      <c r="D4431" t="s">
        <v>36</v>
      </c>
      <c r="E4431" t="s">
        <v>24</v>
      </c>
      <c r="F4431" t="s">
        <v>14</v>
      </c>
      <c r="G4431" s="4">
        <v>11</v>
      </c>
      <c r="H4431" s="1">
        <v>61970</v>
      </c>
      <c r="I4431" s="3" t="s">
        <v>15</v>
      </c>
      <c r="J4431" s="4">
        <v>4</v>
      </c>
    </row>
    <row r="4432" spans="1:10" x14ac:dyDescent="0.35">
      <c r="A4432" s="2" t="s">
        <v>4468</v>
      </c>
      <c r="B4432" s="4">
        <v>8</v>
      </c>
      <c r="C4432" t="s">
        <v>17</v>
      </c>
      <c r="D4432" t="s">
        <v>12</v>
      </c>
      <c r="E4432" t="s">
        <v>13</v>
      </c>
      <c r="F4432" t="s">
        <v>20</v>
      </c>
      <c r="G4432" s="4">
        <v>14</v>
      </c>
      <c r="H4432" s="1">
        <v>70173</v>
      </c>
      <c r="I4432" s="3" t="s">
        <v>15</v>
      </c>
      <c r="J4432" s="4">
        <v>1</v>
      </c>
    </row>
    <row r="4433" spans="1:10" x14ac:dyDescent="0.35">
      <c r="A4433" s="2" t="s">
        <v>4469</v>
      </c>
      <c r="B4433" s="4">
        <v>30</v>
      </c>
      <c r="C4433" t="s">
        <v>11</v>
      </c>
      <c r="D4433" t="s">
        <v>23</v>
      </c>
      <c r="E4433" t="s">
        <v>24</v>
      </c>
      <c r="F4433" t="s">
        <v>14</v>
      </c>
      <c r="G4433" s="4">
        <v>5</v>
      </c>
      <c r="H4433" s="1">
        <v>88337</v>
      </c>
      <c r="I4433" s="3" t="s">
        <v>21</v>
      </c>
      <c r="J4433" s="4">
        <v>2</v>
      </c>
    </row>
    <row r="4434" spans="1:10" x14ac:dyDescent="0.35">
      <c r="A4434" s="2" t="s">
        <v>4470</v>
      </c>
      <c r="B4434" s="4">
        <v>79</v>
      </c>
      <c r="C4434" t="s">
        <v>11</v>
      </c>
      <c r="D4434" t="s">
        <v>28</v>
      </c>
      <c r="E4434" t="s">
        <v>65</v>
      </c>
      <c r="F4434" t="s">
        <v>14</v>
      </c>
      <c r="G4434" s="4">
        <v>3</v>
      </c>
      <c r="H4434" s="1">
        <v>62296</v>
      </c>
      <c r="I4434" s="3" t="s">
        <v>15</v>
      </c>
      <c r="J4434" s="4">
        <v>2</v>
      </c>
    </row>
    <row r="4435" spans="1:10" x14ac:dyDescent="0.35">
      <c r="A4435" s="2" t="s">
        <v>4471</v>
      </c>
      <c r="B4435" s="4">
        <v>59</v>
      </c>
      <c r="C4435" t="s">
        <v>17</v>
      </c>
      <c r="D4435" t="s">
        <v>49</v>
      </c>
      <c r="E4435" t="s">
        <v>37</v>
      </c>
      <c r="F4435" t="s">
        <v>30</v>
      </c>
      <c r="G4435" s="4">
        <v>8</v>
      </c>
      <c r="H4435" s="1">
        <v>58679</v>
      </c>
      <c r="I4435" s="3" t="s">
        <v>21</v>
      </c>
      <c r="J4435" s="4">
        <v>1</v>
      </c>
    </row>
    <row r="4436" spans="1:10" x14ac:dyDescent="0.35">
      <c r="A4436" s="2" t="s">
        <v>4472</v>
      </c>
      <c r="B4436" s="4">
        <v>88</v>
      </c>
      <c r="C4436" t="s">
        <v>17</v>
      </c>
      <c r="D4436" t="s">
        <v>36</v>
      </c>
      <c r="E4436" t="s">
        <v>34</v>
      </c>
      <c r="F4436" t="s">
        <v>14</v>
      </c>
      <c r="G4436" s="4">
        <v>12</v>
      </c>
      <c r="H4436" s="1">
        <v>41091</v>
      </c>
      <c r="I4436" s="3" t="s">
        <v>15</v>
      </c>
      <c r="J4436" s="4">
        <v>5</v>
      </c>
    </row>
    <row r="4437" spans="1:10" x14ac:dyDescent="0.35">
      <c r="A4437" s="2" t="s">
        <v>4473</v>
      </c>
      <c r="B4437" s="4">
        <v>68</v>
      </c>
      <c r="C4437" t="s">
        <v>11</v>
      </c>
      <c r="D4437" t="s">
        <v>18</v>
      </c>
      <c r="E4437" t="s">
        <v>24</v>
      </c>
      <c r="F4437" t="s">
        <v>30</v>
      </c>
      <c r="G4437" s="4">
        <v>2</v>
      </c>
      <c r="H4437" s="1">
        <v>18276</v>
      </c>
      <c r="I4437" s="3" t="s">
        <v>15</v>
      </c>
      <c r="J4437" s="4">
        <v>1</v>
      </c>
    </row>
    <row r="4438" spans="1:10" x14ac:dyDescent="0.35">
      <c r="A4438" s="2" t="s">
        <v>4474</v>
      </c>
      <c r="B4438" s="4">
        <v>26</v>
      </c>
      <c r="C4438" t="s">
        <v>11</v>
      </c>
      <c r="D4438" t="s">
        <v>33</v>
      </c>
      <c r="E4438" t="s">
        <v>34</v>
      </c>
      <c r="F4438" t="s">
        <v>14</v>
      </c>
      <c r="G4438" s="4">
        <v>11</v>
      </c>
      <c r="H4438" s="1">
        <v>60103</v>
      </c>
      <c r="I4438" s="3" t="s">
        <v>21</v>
      </c>
      <c r="J4438" s="4">
        <v>3</v>
      </c>
    </row>
    <row r="4439" spans="1:10" x14ac:dyDescent="0.35">
      <c r="A4439" s="2" t="s">
        <v>4475</v>
      </c>
      <c r="B4439" s="4">
        <v>87</v>
      </c>
      <c r="C4439" t="s">
        <v>17</v>
      </c>
      <c r="D4439" t="s">
        <v>41</v>
      </c>
      <c r="E4439" t="s">
        <v>53</v>
      </c>
      <c r="F4439" t="s">
        <v>14</v>
      </c>
      <c r="G4439" s="4">
        <v>1</v>
      </c>
      <c r="H4439" s="1">
        <v>5195</v>
      </c>
      <c r="I4439" s="3" t="s">
        <v>21</v>
      </c>
      <c r="J4439" s="4">
        <v>3</v>
      </c>
    </row>
    <row r="4440" spans="1:10" x14ac:dyDescent="0.35">
      <c r="A4440" s="2" t="s">
        <v>4476</v>
      </c>
      <c r="B4440" s="4">
        <v>59</v>
      </c>
      <c r="C4440" t="s">
        <v>11</v>
      </c>
      <c r="D4440" t="s">
        <v>36</v>
      </c>
      <c r="E4440" t="s">
        <v>27</v>
      </c>
      <c r="F4440" t="s">
        <v>30</v>
      </c>
      <c r="G4440" s="4">
        <v>14</v>
      </c>
      <c r="H4440" s="1">
        <v>38333</v>
      </c>
      <c r="I4440" s="3" t="s">
        <v>15</v>
      </c>
      <c r="J4440" s="4">
        <v>1</v>
      </c>
    </row>
    <row r="4441" spans="1:10" x14ac:dyDescent="0.35">
      <c r="A4441" s="2" t="s">
        <v>4477</v>
      </c>
      <c r="B4441" s="4">
        <v>45</v>
      </c>
      <c r="C4441" t="s">
        <v>17</v>
      </c>
      <c r="D4441" t="s">
        <v>28</v>
      </c>
      <c r="E4441" t="s">
        <v>13</v>
      </c>
      <c r="F4441" t="s">
        <v>20</v>
      </c>
      <c r="G4441" s="4">
        <v>7</v>
      </c>
      <c r="H4441" s="1">
        <v>33440</v>
      </c>
      <c r="I4441" s="3" t="s">
        <v>15</v>
      </c>
      <c r="J4441" s="4">
        <v>1</v>
      </c>
    </row>
    <row r="4442" spans="1:10" x14ac:dyDescent="0.35">
      <c r="A4442" s="2" t="s">
        <v>4478</v>
      </c>
      <c r="B4442" s="4">
        <v>26</v>
      </c>
      <c r="C4442" t="s">
        <v>17</v>
      </c>
      <c r="D4442" t="s">
        <v>33</v>
      </c>
      <c r="E4442" t="s">
        <v>13</v>
      </c>
      <c r="F4442" t="s">
        <v>30</v>
      </c>
      <c r="G4442" s="4">
        <v>5</v>
      </c>
      <c r="H4442" s="1">
        <v>25527</v>
      </c>
      <c r="I4442" s="3" t="s">
        <v>15</v>
      </c>
      <c r="J4442" s="4">
        <v>1</v>
      </c>
    </row>
    <row r="4443" spans="1:10" x14ac:dyDescent="0.35">
      <c r="A4443" s="2" t="s">
        <v>4479</v>
      </c>
      <c r="B4443" s="4">
        <v>52</v>
      </c>
      <c r="C4443" t="s">
        <v>11</v>
      </c>
      <c r="D4443" t="s">
        <v>26</v>
      </c>
      <c r="E4443" t="s">
        <v>37</v>
      </c>
      <c r="F4443" t="s">
        <v>14</v>
      </c>
      <c r="G4443" s="4">
        <v>13</v>
      </c>
      <c r="H4443" s="1">
        <v>44882</v>
      </c>
      <c r="I4443" s="3" t="s">
        <v>21</v>
      </c>
      <c r="J4443" s="4">
        <v>1</v>
      </c>
    </row>
    <row r="4444" spans="1:10" x14ac:dyDescent="0.35">
      <c r="A4444" s="2" t="s">
        <v>4480</v>
      </c>
      <c r="B4444" s="4">
        <v>41</v>
      </c>
      <c r="C4444" t="s">
        <v>17</v>
      </c>
      <c r="D4444" t="s">
        <v>36</v>
      </c>
      <c r="E4444" t="s">
        <v>13</v>
      </c>
      <c r="F4444" t="s">
        <v>14</v>
      </c>
      <c r="G4444" s="4">
        <v>3</v>
      </c>
      <c r="H4444" s="1">
        <v>72120</v>
      </c>
      <c r="I4444" s="3" t="s">
        <v>15</v>
      </c>
      <c r="J4444" s="4">
        <v>2</v>
      </c>
    </row>
    <row r="4445" spans="1:10" x14ac:dyDescent="0.35">
      <c r="A4445" s="2" t="s">
        <v>4481</v>
      </c>
      <c r="B4445" s="4">
        <v>22</v>
      </c>
      <c r="C4445" t="s">
        <v>11</v>
      </c>
      <c r="D4445" t="s">
        <v>33</v>
      </c>
      <c r="E4445" t="s">
        <v>53</v>
      </c>
      <c r="F4445" t="s">
        <v>30</v>
      </c>
      <c r="G4445" s="4">
        <v>12</v>
      </c>
      <c r="H4445" s="1">
        <v>80458</v>
      </c>
      <c r="I4445" s="3" t="s">
        <v>15</v>
      </c>
      <c r="J4445" s="4">
        <v>1</v>
      </c>
    </row>
    <row r="4446" spans="1:10" x14ac:dyDescent="0.35">
      <c r="A4446" s="2" t="s">
        <v>4482</v>
      </c>
      <c r="B4446" s="4">
        <v>3</v>
      </c>
      <c r="C4446" t="s">
        <v>11</v>
      </c>
      <c r="D4446" t="s">
        <v>12</v>
      </c>
      <c r="E4446" t="s">
        <v>37</v>
      </c>
      <c r="F4446" t="s">
        <v>30</v>
      </c>
      <c r="G4446" s="4">
        <v>6</v>
      </c>
      <c r="H4446" s="1">
        <v>59177</v>
      </c>
      <c r="I4446" s="3" t="s">
        <v>15</v>
      </c>
      <c r="J4446" s="4">
        <v>3</v>
      </c>
    </row>
    <row r="4447" spans="1:10" x14ac:dyDescent="0.35">
      <c r="A4447" s="2" t="s">
        <v>4483</v>
      </c>
      <c r="B4447" s="4">
        <v>14</v>
      </c>
      <c r="C4447" t="s">
        <v>17</v>
      </c>
      <c r="D4447" t="s">
        <v>36</v>
      </c>
      <c r="E4447" t="s">
        <v>29</v>
      </c>
      <c r="F4447" t="s">
        <v>14</v>
      </c>
      <c r="G4447" s="4">
        <v>5</v>
      </c>
      <c r="H4447" s="1">
        <v>85225</v>
      </c>
      <c r="I4447" s="3" t="s">
        <v>21</v>
      </c>
      <c r="J4447" s="4">
        <v>1</v>
      </c>
    </row>
    <row r="4448" spans="1:10" x14ac:dyDescent="0.35">
      <c r="A4448" s="2" t="s">
        <v>4484</v>
      </c>
      <c r="B4448" s="4">
        <v>78</v>
      </c>
      <c r="C4448" t="s">
        <v>11</v>
      </c>
      <c r="D4448" t="s">
        <v>12</v>
      </c>
      <c r="E4448" t="s">
        <v>13</v>
      </c>
      <c r="F4448" t="s">
        <v>20</v>
      </c>
      <c r="G4448" s="4">
        <v>1</v>
      </c>
      <c r="H4448" s="1">
        <v>55698</v>
      </c>
      <c r="I4448" s="3" t="s">
        <v>21</v>
      </c>
      <c r="J4448" s="4">
        <v>4</v>
      </c>
    </row>
    <row r="4449" spans="1:10" x14ac:dyDescent="0.35">
      <c r="A4449" s="2" t="s">
        <v>4485</v>
      </c>
      <c r="B4449" s="4">
        <v>89</v>
      </c>
      <c r="C4449" t="s">
        <v>11</v>
      </c>
      <c r="D4449" t="s">
        <v>28</v>
      </c>
      <c r="E4449" t="s">
        <v>19</v>
      </c>
      <c r="F4449" t="s">
        <v>30</v>
      </c>
      <c r="G4449" s="4">
        <v>2</v>
      </c>
      <c r="H4449" s="1">
        <v>39335</v>
      </c>
      <c r="I4449" s="3" t="s">
        <v>15</v>
      </c>
      <c r="J4449" s="4">
        <v>5</v>
      </c>
    </row>
    <row r="4450" spans="1:10" x14ac:dyDescent="0.35">
      <c r="A4450" s="2" t="s">
        <v>4486</v>
      </c>
      <c r="B4450" s="4">
        <v>65</v>
      </c>
      <c r="C4450" t="s">
        <v>17</v>
      </c>
      <c r="D4450" t="s">
        <v>39</v>
      </c>
      <c r="E4450" t="s">
        <v>27</v>
      </c>
      <c r="F4450" t="s">
        <v>14</v>
      </c>
      <c r="G4450" s="4">
        <v>15</v>
      </c>
      <c r="H4450" s="1">
        <v>54490</v>
      </c>
      <c r="I4450" s="3" t="s">
        <v>21</v>
      </c>
      <c r="J4450" s="4">
        <v>1</v>
      </c>
    </row>
    <row r="4451" spans="1:10" x14ac:dyDescent="0.35">
      <c r="A4451" s="2" t="s">
        <v>4487</v>
      </c>
      <c r="B4451" s="4">
        <v>47</v>
      </c>
      <c r="C4451" t="s">
        <v>11</v>
      </c>
      <c r="D4451" t="s">
        <v>12</v>
      </c>
      <c r="E4451" t="s">
        <v>37</v>
      </c>
      <c r="F4451" t="s">
        <v>30</v>
      </c>
      <c r="G4451" s="4">
        <v>10</v>
      </c>
      <c r="H4451" s="1">
        <v>61942</v>
      </c>
      <c r="I4451" s="3" t="s">
        <v>15</v>
      </c>
      <c r="J4451" s="4">
        <v>2</v>
      </c>
    </row>
    <row r="4452" spans="1:10" x14ac:dyDescent="0.35">
      <c r="A4452" s="2" t="s">
        <v>4488</v>
      </c>
      <c r="B4452" s="4">
        <v>23</v>
      </c>
      <c r="C4452" t="s">
        <v>11</v>
      </c>
      <c r="D4452" t="s">
        <v>36</v>
      </c>
      <c r="E4452" t="s">
        <v>13</v>
      </c>
      <c r="F4452" t="s">
        <v>14</v>
      </c>
      <c r="G4452" s="4">
        <v>3</v>
      </c>
      <c r="H4452" s="1">
        <v>71094</v>
      </c>
      <c r="I4452" s="3" t="s">
        <v>21</v>
      </c>
      <c r="J4452" s="4">
        <v>3</v>
      </c>
    </row>
    <row r="4453" spans="1:10" x14ac:dyDescent="0.35">
      <c r="A4453" s="2" t="s">
        <v>4489</v>
      </c>
      <c r="B4453" s="4">
        <v>37</v>
      </c>
      <c r="C4453" t="s">
        <v>17</v>
      </c>
      <c r="D4453" t="s">
        <v>26</v>
      </c>
      <c r="E4453" t="s">
        <v>42</v>
      </c>
      <c r="F4453" t="s">
        <v>30</v>
      </c>
      <c r="G4453" s="4">
        <v>9</v>
      </c>
      <c r="H4453" s="1">
        <v>41783</v>
      </c>
      <c r="I4453" s="3" t="s">
        <v>15</v>
      </c>
      <c r="J4453" s="4">
        <v>4</v>
      </c>
    </row>
    <row r="4454" spans="1:10" x14ac:dyDescent="0.35">
      <c r="A4454" s="2" t="s">
        <v>4490</v>
      </c>
      <c r="B4454" s="4">
        <v>78</v>
      </c>
      <c r="C4454" t="s">
        <v>11</v>
      </c>
      <c r="D4454" t="s">
        <v>49</v>
      </c>
      <c r="E4454" t="s">
        <v>37</v>
      </c>
      <c r="F4454" t="s">
        <v>14</v>
      </c>
      <c r="G4454" s="4">
        <v>14</v>
      </c>
      <c r="H4454" s="1">
        <v>41947</v>
      </c>
      <c r="I4454" s="3" t="s">
        <v>21</v>
      </c>
      <c r="J4454" s="4">
        <v>1</v>
      </c>
    </row>
    <row r="4455" spans="1:10" x14ac:dyDescent="0.35">
      <c r="A4455" s="2" t="s">
        <v>4491</v>
      </c>
      <c r="B4455" s="4">
        <v>48</v>
      </c>
      <c r="C4455" t="s">
        <v>11</v>
      </c>
      <c r="D4455" t="s">
        <v>49</v>
      </c>
      <c r="E4455" t="s">
        <v>13</v>
      </c>
      <c r="F4455" t="s">
        <v>14</v>
      </c>
      <c r="G4455" s="4">
        <v>15</v>
      </c>
      <c r="H4455" s="1">
        <v>66417</v>
      </c>
      <c r="I4455" s="3" t="s">
        <v>21</v>
      </c>
      <c r="J4455" s="4">
        <v>3</v>
      </c>
    </row>
    <row r="4456" spans="1:10" x14ac:dyDescent="0.35">
      <c r="A4456" s="2" t="s">
        <v>4492</v>
      </c>
      <c r="B4456" s="4">
        <v>81</v>
      </c>
      <c r="C4456" t="s">
        <v>11</v>
      </c>
      <c r="D4456" t="s">
        <v>26</v>
      </c>
      <c r="E4456" t="s">
        <v>42</v>
      </c>
      <c r="F4456" t="s">
        <v>14</v>
      </c>
      <c r="G4456" s="4">
        <v>3</v>
      </c>
      <c r="H4456" s="1">
        <v>61596</v>
      </c>
      <c r="I4456" s="3" t="s">
        <v>21</v>
      </c>
      <c r="J4456" s="4">
        <v>3</v>
      </c>
    </row>
    <row r="4457" spans="1:10" x14ac:dyDescent="0.35">
      <c r="A4457" s="2" t="s">
        <v>4493</v>
      </c>
      <c r="B4457" s="4">
        <v>47</v>
      </c>
      <c r="C4457" t="s">
        <v>17</v>
      </c>
      <c r="D4457" t="s">
        <v>23</v>
      </c>
      <c r="E4457" t="s">
        <v>65</v>
      </c>
      <c r="F4457" t="s">
        <v>30</v>
      </c>
      <c r="G4457" s="4">
        <v>1</v>
      </c>
      <c r="H4457" s="1">
        <v>13775</v>
      </c>
      <c r="I4457" s="3" t="s">
        <v>15</v>
      </c>
      <c r="J4457" s="4">
        <v>2</v>
      </c>
    </row>
    <row r="4458" spans="1:10" x14ac:dyDescent="0.35">
      <c r="A4458" s="2" t="s">
        <v>4494</v>
      </c>
      <c r="B4458" s="4">
        <v>80</v>
      </c>
      <c r="C4458" t="s">
        <v>17</v>
      </c>
      <c r="D4458" t="s">
        <v>12</v>
      </c>
      <c r="E4458" t="s">
        <v>53</v>
      </c>
      <c r="F4458" t="s">
        <v>20</v>
      </c>
      <c r="G4458" s="4">
        <v>9</v>
      </c>
      <c r="H4458" s="1">
        <v>34980</v>
      </c>
      <c r="I4458" s="3" t="s">
        <v>15</v>
      </c>
      <c r="J4458" s="4">
        <v>5</v>
      </c>
    </row>
    <row r="4459" spans="1:10" x14ac:dyDescent="0.35">
      <c r="A4459" s="2" t="s">
        <v>4495</v>
      </c>
      <c r="B4459" s="4">
        <v>86</v>
      </c>
      <c r="C4459" t="s">
        <v>17</v>
      </c>
      <c r="D4459" t="s">
        <v>33</v>
      </c>
      <c r="E4459" t="s">
        <v>29</v>
      </c>
      <c r="F4459" t="s">
        <v>14</v>
      </c>
      <c r="G4459" s="4">
        <v>8</v>
      </c>
      <c r="H4459" s="1">
        <v>26498</v>
      </c>
      <c r="I4459" s="3" t="s">
        <v>21</v>
      </c>
      <c r="J4459" s="4">
        <v>3</v>
      </c>
    </row>
    <row r="4460" spans="1:10" x14ac:dyDescent="0.35">
      <c r="A4460" s="2" t="s">
        <v>4496</v>
      </c>
      <c r="B4460" s="4">
        <v>51</v>
      </c>
      <c r="C4460" t="s">
        <v>17</v>
      </c>
      <c r="D4460" t="s">
        <v>49</v>
      </c>
      <c r="E4460" t="s">
        <v>19</v>
      </c>
      <c r="F4460" t="s">
        <v>14</v>
      </c>
      <c r="G4460" s="4">
        <v>14</v>
      </c>
      <c r="H4460" s="1">
        <v>31112</v>
      </c>
      <c r="I4460" s="3" t="s">
        <v>15</v>
      </c>
      <c r="J4460" s="4">
        <v>3</v>
      </c>
    </row>
    <row r="4461" spans="1:10" x14ac:dyDescent="0.35">
      <c r="A4461" s="2" t="s">
        <v>4497</v>
      </c>
      <c r="B4461" s="4">
        <v>8</v>
      </c>
      <c r="C4461" t="s">
        <v>17</v>
      </c>
      <c r="D4461" t="s">
        <v>36</v>
      </c>
      <c r="E4461" t="s">
        <v>19</v>
      </c>
      <c r="F4461" t="s">
        <v>30</v>
      </c>
      <c r="G4461" s="4">
        <v>12</v>
      </c>
      <c r="H4461" s="1">
        <v>40710</v>
      </c>
      <c r="I4461" s="3" t="s">
        <v>21</v>
      </c>
      <c r="J4461" s="4">
        <v>4</v>
      </c>
    </row>
    <row r="4462" spans="1:10" x14ac:dyDescent="0.35">
      <c r="A4462" s="2" t="s">
        <v>4498</v>
      </c>
      <c r="B4462" s="4">
        <v>2</v>
      </c>
      <c r="C4462" t="s">
        <v>17</v>
      </c>
      <c r="D4462" t="s">
        <v>39</v>
      </c>
      <c r="E4462" t="s">
        <v>24</v>
      </c>
      <c r="F4462" t="s">
        <v>30</v>
      </c>
      <c r="G4462" s="4">
        <v>15</v>
      </c>
      <c r="H4462" s="1">
        <v>96657</v>
      </c>
      <c r="I4462" s="3" t="s">
        <v>21</v>
      </c>
      <c r="J4462" s="4">
        <v>1</v>
      </c>
    </row>
    <row r="4463" spans="1:10" x14ac:dyDescent="0.35">
      <c r="A4463" s="2" t="s">
        <v>4499</v>
      </c>
      <c r="B4463" s="4">
        <v>18</v>
      </c>
      <c r="C4463" t="s">
        <v>17</v>
      </c>
      <c r="D4463" t="s">
        <v>26</v>
      </c>
      <c r="E4463" t="s">
        <v>19</v>
      </c>
      <c r="F4463" t="s">
        <v>30</v>
      </c>
      <c r="G4463" s="4">
        <v>6</v>
      </c>
      <c r="H4463" s="1">
        <v>22930</v>
      </c>
      <c r="I4463" s="3" t="s">
        <v>15</v>
      </c>
      <c r="J4463" s="4">
        <v>2</v>
      </c>
    </row>
    <row r="4464" spans="1:10" x14ac:dyDescent="0.35">
      <c r="A4464" s="2" t="s">
        <v>4500</v>
      </c>
      <c r="B4464" s="4">
        <v>3</v>
      </c>
      <c r="C4464" t="s">
        <v>17</v>
      </c>
      <c r="D4464" t="s">
        <v>26</v>
      </c>
      <c r="E4464" t="s">
        <v>13</v>
      </c>
      <c r="F4464" t="s">
        <v>14</v>
      </c>
      <c r="G4464" s="4">
        <v>3</v>
      </c>
      <c r="H4464" s="1">
        <v>52223</v>
      </c>
      <c r="I4464" s="3" t="s">
        <v>21</v>
      </c>
      <c r="J4464" s="4">
        <v>5</v>
      </c>
    </row>
    <row r="4465" spans="1:10" x14ac:dyDescent="0.35">
      <c r="A4465" s="2" t="s">
        <v>4501</v>
      </c>
      <c r="B4465" s="4">
        <v>70</v>
      </c>
      <c r="C4465" t="s">
        <v>11</v>
      </c>
      <c r="D4465" t="s">
        <v>26</v>
      </c>
      <c r="E4465" t="s">
        <v>34</v>
      </c>
      <c r="F4465" t="s">
        <v>20</v>
      </c>
      <c r="G4465" s="4">
        <v>3</v>
      </c>
      <c r="H4465" s="1">
        <v>84157</v>
      </c>
      <c r="I4465" s="3" t="s">
        <v>21</v>
      </c>
      <c r="J4465" s="4">
        <v>2</v>
      </c>
    </row>
    <row r="4466" spans="1:10" x14ac:dyDescent="0.35">
      <c r="A4466" s="2" t="s">
        <v>4502</v>
      </c>
      <c r="B4466" s="4">
        <v>1</v>
      </c>
      <c r="C4466" t="s">
        <v>11</v>
      </c>
      <c r="D4466" t="s">
        <v>33</v>
      </c>
      <c r="E4466" t="s">
        <v>34</v>
      </c>
      <c r="F4466" t="s">
        <v>20</v>
      </c>
      <c r="G4466" s="4">
        <v>10</v>
      </c>
      <c r="H4466" s="1">
        <v>44248</v>
      </c>
      <c r="I4466" s="3" t="s">
        <v>15</v>
      </c>
      <c r="J4466" s="4">
        <v>4</v>
      </c>
    </row>
    <row r="4467" spans="1:10" x14ac:dyDescent="0.35">
      <c r="A4467" s="2" t="s">
        <v>4503</v>
      </c>
      <c r="B4467" s="4">
        <v>60</v>
      </c>
      <c r="C4467" t="s">
        <v>11</v>
      </c>
      <c r="D4467" t="s">
        <v>12</v>
      </c>
      <c r="E4467" t="s">
        <v>34</v>
      </c>
      <c r="F4467" t="s">
        <v>14</v>
      </c>
      <c r="G4467" s="4">
        <v>7</v>
      </c>
      <c r="H4467" s="1">
        <v>53805</v>
      </c>
      <c r="I4467" s="3" t="s">
        <v>15</v>
      </c>
      <c r="J4467" s="4">
        <v>2</v>
      </c>
    </row>
    <row r="4468" spans="1:10" x14ac:dyDescent="0.35">
      <c r="A4468" s="2" t="s">
        <v>4504</v>
      </c>
      <c r="B4468" s="4">
        <v>18</v>
      </c>
      <c r="C4468" t="s">
        <v>17</v>
      </c>
      <c r="D4468" t="s">
        <v>12</v>
      </c>
      <c r="E4468" t="s">
        <v>53</v>
      </c>
      <c r="F4468" t="s">
        <v>30</v>
      </c>
      <c r="G4468" s="4">
        <v>11</v>
      </c>
      <c r="H4468" s="1">
        <v>30999</v>
      </c>
      <c r="I4468" s="3" t="s">
        <v>15</v>
      </c>
      <c r="J4468" s="4">
        <v>2</v>
      </c>
    </row>
    <row r="4469" spans="1:10" x14ac:dyDescent="0.35">
      <c r="A4469" s="2" t="s">
        <v>4505</v>
      </c>
      <c r="B4469" s="4">
        <v>38</v>
      </c>
      <c r="C4469" t="s">
        <v>17</v>
      </c>
      <c r="D4469" t="s">
        <v>26</v>
      </c>
      <c r="E4469" t="s">
        <v>34</v>
      </c>
      <c r="F4469" t="s">
        <v>30</v>
      </c>
      <c r="G4469" s="4">
        <v>3</v>
      </c>
      <c r="H4469" s="1">
        <v>8103</v>
      </c>
      <c r="I4469" s="3" t="s">
        <v>15</v>
      </c>
      <c r="J4469" s="4">
        <v>3</v>
      </c>
    </row>
    <row r="4470" spans="1:10" x14ac:dyDescent="0.35">
      <c r="A4470" s="2" t="s">
        <v>4506</v>
      </c>
      <c r="B4470" s="4">
        <v>22</v>
      </c>
      <c r="C4470" t="s">
        <v>11</v>
      </c>
      <c r="D4470" t="s">
        <v>36</v>
      </c>
      <c r="E4470" t="s">
        <v>65</v>
      </c>
      <c r="F4470" t="s">
        <v>20</v>
      </c>
      <c r="G4470" s="4">
        <v>5</v>
      </c>
      <c r="H4470" s="1">
        <v>97341</v>
      </c>
      <c r="I4470" s="3" t="s">
        <v>15</v>
      </c>
      <c r="J4470" s="4">
        <v>1</v>
      </c>
    </row>
    <row r="4471" spans="1:10" x14ac:dyDescent="0.35">
      <c r="A4471" s="2" t="s">
        <v>4507</v>
      </c>
      <c r="B4471" s="4">
        <v>21</v>
      </c>
      <c r="C4471" t="s">
        <v>11</v>
      </c>
      <c r="D4471" t="s">
        <v>39</v>
      </c>
      <c r="E4471" t="s">
        <v>53</v>
      </c>
      <c r="F4471" t="s">
        <v>30</v>
      </c>
      <c r="G4471" s="4">
        <v>4</v>
      </c>
      <c r="H4471" s="1">
        <v>82095</v>
      </c>
      <c r="I4471" s="3" t="s">
        <v>15</v>
      </c>
      <c r="J4471" s="4">
        <v>3</v>
      </c>
    </row>
    <row r="4472" spans="1:10" x14ac:dyDescent="0.35">
      <c r="A4472" s="2" t="s">
        <v>4508</v>
      </c>
      <c r="B4472" s="4">
        <v>39</v>
      </c>
      <c r="C4472" t="s">
        <v>11</v>
      </c>
      <c r="D4472" t="s">
        <v>49</v>
      </c>
      <c r="E4472" t="s">
        <v>42</v>
      </c>
      <c r="F4472" t="s">
        <v>20</v>
      </c>
      <c r="G4472" s="4">
        <v>6</v>
      </c>
      <c r="H4472" s="1">
        <v>43694</v>
      </c>
      <c r="I4472" s="3" t="s">
        <v>21</v>
      </c>
      <c r="J4472" s="4">
        <v>4</v>
      </c>
    </row>
    <row r="4473" spans="1:10" x14ac:dyDescent="0.35">
      <c r="A4473" s="2" t="s">
        <v>4509</v>
      </c>
      <c r="B4473" s="4">
        <v>55</v>
      </c>
      <c r="C4473" t="s">
        <v>11</v>
      </c>
      <c r="D4473" t="s">
        <v>12</v>
      </c>
      <c r="E4473" t="s">
        <v>24</v>
      </c>
      <c r="F4473" t="s">
        <v>30</v>
      </c>
      <c r="G4473" s="4">
        <v>10</v>
      </c>
      <c r="H4473" s="1">
        <v>59987</v>
      </c>
      <c r="I4473" s="3" t="s">
        <v>15</v>
      </c>
      <c r="J4473" s="4">
        <v>5</v>
      </c>
    </row>
    <row r="4474" spans="1:10" x14ac:dyDescent="0.35">
      <c r="A4474" s="2" t="s">
        <v>4510</v>
      </c>
      <c r="B4474" s="4">
        <v>82</v>
      </c>
      <c r="C4474" t="s">
        <v>11</v>
      </c>
      <c r="D4474" t="s">
        <v>23</v>
      </c>
      <c r="E4474" t="s">
        <v>19</v>
      </c>
      <c r="F4474" t="s">
        <v>20</v>
      </c>
      <c r="G4474" s="4">
        <v>7</v>
      </c>
      <c r="H4474" s="1">
        <v>43483</v>
      </c>
      <c r="I4474" s="3" t="s">
        <v>21</v>
      </c>
      <c r="J4474" s="4">
        <v>1</v>
      </c>
    </row>
    <row r="4475" spans="1:10" x14ac:dyDescent="0.35">
      <c r="A4475" s="2" t="s">
        <v>4511</v>
      </c>
      <c r="B4475" s="4">
        <v>14</v>
      </c>
      <c r="C4475" t="s">
        <v>11</v>
      </c>
      <c r="D4475" t="s">
        <v>28</v>
      </c>
      <c r="E4475" t="s">
        <v>13</v>
      </c>
      <c r="F4475" t="s">
        <v>20</v>
      </c>
      <c r="G4475" s="4">
        <v>10</v>
      </c>
      <c r="H4475" s="1">
        <v>89075</v>
      </c>
      <c r="I4475" s="3" t="s">
        <v>21</v>
      </c>
      <c r="J4475" s="4">
        <v>3</v>
      </c>
    </row>
    <row r="4476" spans="1:10" x14ac:dyDescent="0.35">
      <c r="A4476" s="2" t="s">
        <v>4512</v>
      </c>
      <c r="B4476" s="4">
        <v>27</v>
      </c>
      <c r="C4476" t="s">
        <v>17</v>
      </c>
      <c r="D4476" t="s">
        <v>18</v>
      </c>
      <c r="E4476" t="s">
        <v>19</v>
      </c>
      <c r="F4476" t="s">
        <v>14</v>
      </c>
      <c r="G4476" s="4">
        <v>5</v>
      </c>
      <c r="H4476" s="1">
        <v>13439</v>
      </c>
      <c r="I4476" s="3" t="s">
        <v>21</v>
      </c>
      <c r="J4476" s="4">
        <v>1</v>
      </c>
    </row>
    <row r="4477" spans="1:10" x14ac:dyDescent="0.35">
      <c r="A4477" s="2" t="s">
        <v>4513</v>
      </c>
      <c r="B4477" s="4">
        <v>26</v>
      </c>
      <c r="C4477" t="s">
        <v>11</v>
      </c>
      <c r="D4477" t="s">
        <v>41</v>
      </c>
      <c r="E4477" t="s">
        <v>19</v>
      </c>
      <c r="F4477" t="s">
        <v>14</v>
      </c>
      <c r="G4477" s="4">
        <v>8</v>
      </c>
      <c r="H4477" s="1">
        <v>17463</v>
      </c>
      <c r="I4477" s="3" t="s">
        <v>15</v>
      </c>
      <c r="J4477" s="4">
        <v>1</v>
      </c>
    </row>
    <row r="4478" spans="1:10" x14ac:dyDescent="0.35">
      <c r="A4478" s="2" t="s">
        <v>4514</v>
      </c>
      <c r="B4478" s="4">
        <v>10</v>
      </c>
      <c r="C4478" t="s">
        <v>11</v>
      </c>
      <c r="D4478" t="s">
        <v>36</v>
      </c>
      <c r="E4478" t="s">
        <v>27</v>
      </c>
      <c r="F4478" t="s">
        <v>30</v>
      </c>
      <c r="G4478" s="4">
        <v>15</v>
      </c>
      <c r="H4478" s="1">
        <v>35393</v>
      </c>
      <c r="I4478" s="3" t="s">
        <v>15</v>
      </c>
      <c r="J4478" s="4">
        <v>2</v>
      </c>
    </row>
    <row r="4479" spans="1:10" x14ac:dyDescent="0.35">
      <c r="A4479" s="2" t="s">
        <v>4515</v>
      </c>
      <c r="B4479" s="4">
        <v>43</v>
      </c>
      <c r="C4479" t="s">
        <v>17</v>
      </c>
      <c r="D4479" t="s">
        <v>41</v>
      </c>
      <c r="E4479" t="s">
        <v>37</v>
      </c>
      <c r="F4479" t="s">
        <v>14</v>
      </c>
      <c r="G4479" s="4">
        <v>7</v>
      </c>
      <c r="H4479" s="1">
        <v>64500</v>
      </c>
      <c r="I4479" s="3" t="s">
        <v>21</v>
      </c>
      <c r="J4479" s="4">
        <v>5</v>
      </c>
    </row>
    <row r="4480" spans="1:10" x14ac:dyDescent="0.35">
      <c r="A4480" s="2" t="s">
        <v>4516</v>
      </c>
      <c r="B4480" s="4">
        <v>74</v>
      </c>
      <c r="C4480" t="s">
        <v>17</v>
      </c>
      <c r="D4480" t="s">
        <v>39</v>
      </c>
      <c r="E4480" t="s">
        <v>13</v>
      </c>
      <c r="F4480" t="s">
        <v>30</v>
      </c>
      <c r="G4480" s="4">
        <v>2</v>
      </c>
      <c r="H4480" s="1">
        <v>83414</v>
      </c>
      <c r="I4480" s="3" t="s">
        <v>15</v>
      </c>
      <c r="J4480" s="4">
        <v>2</v>
      </c>
    </row>
    <row r="4481" spans="1:10" x14ac:dyDescent="0.35">
      <c r="A4481" s="2" t="s">
        <v>4517</v>
      </c>
      <c r="B4481" s="4">
        <v>31</v>
      </c>
      <c r="C4481" t="s">
        <v>17</v>
      </c>
      <c r="D4481" t="s">
        <v>23</v>
      </c>
      <c r="E4481" t="s">
        <v>34</v>
      </c>
      <c r="F4481" t="s">
        <v>14</v>
      </c>
      <c r="G4481" s="4">
        <v>12</v>
      </c>
      <c r="H4481" s="1">
        <v>9985</v>
      </c>
      <c r="I4481" s="3" t="s">
        <v>15</v>
      </c>
      <c r="J4481" s="4">
        <v>4</v>
      </c>
    </row>
    <row r="4482" spans="1:10" x14ac:dyDescent="0.35">
      <c r="A4482" s="2" t="s">
        <v>4518</v>
      </c>
      <c r="B4482" s="4">
        <v>7</v>
      </c>
      <c r="C4482" t="s">
        <v>11</v>
      </c>
      <c r="D4482" t="s">
        <v>49</v>
      </c>
      <c r="E4482" t="s">
        <v>13</v>
      </c>
      <c r="F4482" t="s">
        <v>20</v>
      </c>
      <c r="G4482" s="4">
        <v>14</v>
      </c>
      <c r="H4482" s="1">
        <v>83679</v>
      </c>
      <c r="I4482" s="3" t="s">
        <v>15</v>
      </c>
      <c r="J4482" s="4">
        <v>4</v>
      </c>
    </row>
    <row r="4483" spans="1:10" x14ac:dyDescent="0.35">
      <c r="A4483" s="2" t="s">
        <v>4519</v>
      </c>
      <c r="B4483" s="4">
        <v>67</v>
      </c>
      <c r="C4483" t="s">
        <v>17</v>
      </c>
      <c r="D4483" t="s">
        <v>33</v>
      </c>
      <c r="E4483" t="s">
        <v>34</v>
      </c>
      <c r="F4483" t="s">
        <v>30</v>
      </c>
      <c r="G4483" s="4">
        <v>3</v>
      </c>
      <c r="H4483" s="1">
        <v>72667</v>
      </c>
      <c r="I4483" s="3" t="s">
        <v>21</v>
      </c>
      <c r="J4483" s="4">
        <v>1</v>
      </c>
    </row>
    <row r="4484" spans="1:10" x14ac:dyDescent="0.35">
      <c r="A4484" s="2" t="s">
        <v>4520</v>
      </c>
      <c r="B4484" s="4">
        <v>74</v>
      </c>
      <c r="C4484" t="s">
        <v>11</v>
      </c>
      <c r="D4484" t="s">
        <v>33</v>
      </c>
      <c r="E4484" t="s">
        <v>29</v>
      </c>
      <c r="F4484" t="s">
        <v>30</v>
      </c>
      <c r="G4484" s="4">
        <v>11</v>
      </c>
      <c r="H4484" s="1">
        <v>9965</v>
      </c>
      <c r="I4484" s="3" t="s">
        <v>15</v>
      </c>
      <c r="J4484" s="4">
        <v>5</v>
      </c>
    </row>
    <row r="4485" spans="1:10" x14ac:dyDescent="0.35">
      <c r="A4485" s="2" t="s">
        <v>4521</v>
      </c>
      <c r="B4485" s="4">
        <v>33</v>
      </c>
      <c r="C4485" t="s">
        <v>11</v>
      </c>
      <c r="D4485" t="s">
        <v>33</v>
      </c>
      <c r="E4485" t="s">
        <v>65</v>
      </c>
      <c r="F4485" t="s">
        <v>20</v>
      </c>
      <c r="G4485" s="4">
        <v>4</v>
      </c>
      <c r="H4485" s="1">
        <v>75293</v>
      </c>
      <c r="I4485" s="3" t="s">
        <v>15</v>
      </c>
      <c r="J4485" s="4">
        <v>1</v>
      </c>
    </row>
    <row r="4486" spans="1:10" x14ac:dyDescent="0.35">
      <c r="A4486" s="2" t="s">
        <v>4522</v>
      </c>
      <c r="B4486" s="4">
        <v>11</v>
      </c>
      <c r="C4486" t="s">
        <v>11</v>
      </c>
      <c r="D4486" t="s">
        <v>28</v>
      </c>
      <c r="E4486" t="s">
        <v>34</v>
      </c>
      <c r="F4486" t="s">
        <v>14</v>
      </c>
      <c r="G4486" s="4">
        <v>14</v>
      </c>
      <c r="H4486" s="1">
        <v>83443</v>
      </c>
      <c r="I4486" s="3" t="s">
        <v>15</v>
      </c>
      <c r="J4486" s="4">
        <v>4</v>
      </c>
    </row>
    <row r="4487" spans="1:10" x14ac:dyDescent="0.35">
      <c r="A4487" s="2" t="s">
        <v>4523</v>
      </c>
      <c r="B4487" s="4">
        <v>83</v>
      </c>
      <c r="C4487" t="s">
        <v>17</v>
      </c>
      <c r="D4487" t="s">
        <v>39</v>
      </c>
      <c r="E4487" t="s">
        <v>29</v>
      </c>
      <c r="F4487" t="s">
        <v>14</v>
      </c>
      <c r="G4487" s="4">
        <v>10</v>
      </c>
      <c r="H4487" s="1">
        <v>17408</v>
      </c>
      <c r="I4487" s="3" t="s">
        <v>21</v>
      </c>
      <c r="J4487" s="4">
        <v>2</v>
      </c>
    </row>
    <row r="4488" spans="1:10" x14ac:dyDescent="0.35">
      <c r="A4488" s="2" t="s">
        <v>4524</v>
      </c>
      <c r="B4488" s="4">
        <v>74</v>
      </c>
      <c r="C4488" t="s">
        <v>17</v>
      </c>
      <c r="D4488" t="s">
        <v>39</v>
      </c>
      <c r="E4488" t="s">
        <v>37</v>
      </c>
      <c r="F4488" t="s">
        <v>20</v>
      </c>
      <c r="G4488" s="4">
        <v>8</v>
      </c>
      <c r="H4488" s="1">
        <v>51847</v>
      </c>
      <c r="I4488" s="3" t="s">
        <v>21</v>
      </c>
      <c r="J4488" s="4">
        <v>1</v>
      </c>
    </row>
    <row r="4489" spans="1:10" x14ac:dyDescent="0.35">
      <c r="A4489" s="2" t="s">
        <v>4525</v>
      </c>
      <c r="B4489" s="4">
        <v>80</v>
      </c>
      <c r="C4489" t="s">
        <v>17</v>
      </c>
      <c r="D4489" t="s">
        <v>36</v>
      </c>
      <c r="E4489" t="s">
        <v>42</v>
      </c>
      <c r="F4489" t="s">
        <v>30</v>
      </c>
      <c r="G4489" s="4">
        <v>15</v>
      </c>
      <c r="H4489" s="1">
        <v>76292</v>
      </c>
      <c r="I4489" s="3" t="s">
        <v>21</v>
      </c>
      <c r="J4489" s="4">
        <v>5</v>
      </c>
    </row>
    <row r="4490" spans="1:10" x14ac:dyDescent="0.35">
      <c r="A4490" s="2" t="s">
        <v>4526</v>
      </c>
      <c r="B4490" s="4">
        <v>63</v>
      </c>
      <c r="C4490" t="s">
        <v>11</v>
      </c>
      <c r="D4490" t="s">
        <v>12</v>
      </c>
      <c r="E4490" t="s">
        <v>42</v>
      </c>
      <c r="F4490" t="s">
        <v>14</v>
      </c>
      <c r="G4490" s="4">
        <v>8</v>
      </c>
      <c r="H4490" s="1">
        <v>50712</v>
      </c>
      <c r="I4490" s="3" t="s">
        <v>15</v>
      </c>
      <c r="J4490" s="4">
        <v>3</v>
      </c>
    </row>
    <row r="4491" spans="1:10" x14ac:dyDescent="0.35">
      <c r="A4491" s="2" t="s">
        <v>4527</v>
      </c>
      <c r="B4491" s="4">
        <v>46</v>
      </c>
      <c r="C4491" t="s">
        <v>17</v>
      </c>
      <c r="D4491" t="s">
        <v>41</v>
      </c>
      <c r="E4491" t="s">
        <v>34</v>
      </c>
      <c r="F4491" t="s">
        <v>14</v>
      </c>
      <c r="G4491" s="4">
        <v>12</v>
      </c>
      <c r="H4491" s="1">
        <v>45754</v>
      </c>
      <c r="I4491" s="3" t="s">
        <v>21</v>
      </c>
      <c r="J4491" s="4">
        <v>5</v>
      </c>
    </row>
    <row r="4492" spans="1:10" x14ac:dyDescent="0.35">
      <c r="A4492" s="2" t="s">
        <v>4528</v>
      </c>
      <c r="B4492" s="4">
        <v>54</v>
      </c>
      <c r="C4492" t="s">
        <v>11</v>
      </c>
      <c r="D4492" t="s">
        <v>12</v>
      </c>
      <c r="E4492" t="s">
        <v>27</v>
      </c>
      <c r="F4492" t="s">
        <v>14</v>
      </c>
      <c r="G4492" s="4">
        <v>11</v>
      </c>
      <c r="H4492" s="1">
        <v>77977</v>
      </c>
      <c r="I4492" s="3" t="s">
        <v>15</v>
      </c>
      <c r="J4492" s="4">
        <v>3</v>
      </c>
    </row>
    <row r="4493" spans="1:10" x14ac:dyDescent="0.35">
      <c r="A4493" s="2" t="s">
        <v>4529</v>
      </c>
      <c r="B4493" s="4">
        <v>58</v>
      </c>
      <c r="C4493" t="s">
        <v>17</v>
      </c>
      <c r="D4493" t="s">
        <v>23</v>
      </c>
      <c r="E4493" t="s">
        <v>65</v>
      </c>
      <c r="F4493" t="s">
        <v>20</v>
      </c>
      <c r="G4493" s="4">
        <v>3</v>
      </c>
      <c r="H4493" s="1">
        <v>96965</v>
      </c>
      <c r="I4493" s="3" t="s">
        <v>21</v>
      </c>
      <c r="J4493" s="4">
        <v>2</v>
      </c>
    </row>
    <row r="4494" spans="1:10" x14ac:dyDescent="0.35">
      <c r="A4494" s="2" t="s">
        <v>4530</v>
      </c>
      <c r="B4494" s="4">
        <v>15</v>
      </c>
      <c r="C4494" t="s">
        <v>17</v>
      </c>
      <c r="D4494" t="s">
        <v>49</v>
      </c>
      <c r="E4494" t="s">
        <v>37</v>
      </c>
      <c r="F4494" t="s">
        <v>14</v>
      </c>
      <c r="G4494" s="4">
        <v>10</v>
      </c>
      <c r="H4494" s="1">
        <v>74891</v>
      </c>
      <c r="I4494" s="3" t="s">
        <v>15</v>
      </c>
      <c r="J4494" s="4">
        <v>3</v>
      </c>
    </row>
    <row r="4495" spans="1:10" x14ac:dyDescent="0.35">
      <c r="A4495" s="2" t="s">
        <v>4531</v>
      </c>
      <c r="B4495" s="4">
        <v>40</v>
      </c>
      <c r="C4495" t="s">
        <v>11</v>
      </c>
      <c r="D4495" t="s">
        <v>41</v>
      </c>
      <c r="E4495" t="s">
        <v>29</v>
      </c>
      <c r="F4495" t="s">
        <v>30</v>
      </c>
      <c r="G4495" s="4">
        <v>8</v>
      </c>
      <c r="H4495" s="1">
        <v>90505</v>
      </c>
      <c r="I4495" s="3" t="s">
        <v>21</v>
      </c>
      <c r="J4495" s="4">
        <v>3</v>
      </c>
    </row>
    <row r="4496" spans="1:10" x14ac:dyDescent="0.35">
      <c r="A4496" s="2" t="s">
        <v>4532</v>
      </c>
      <c r="B4496" s="4">
        <v>32</v>
      </c>
      <c r="C4496" t="s">
        <v>17</v>
      </c>
      <c r="D4496" t="s">
        <v>33</v>
      </c>
      <c r="E4496" t="s">
        <v>27</v>
      </c>
      <c r="F4496" t="s">
        <v>30</v>
      </c>
      <c r="G4496" s="4">
        <v>5</v>
      </c>
      <c r="H4496" s="1">
        <v>57695</v>
      </c>
      <c r="I4496" s="3" t="s">
        <v>15</v>
      </c>
      <c r="J4496" s="4">
        <v>4</v>
      </c>
    </row>
    <row r="4497" spans="1:10" x14ac:dyDescent="0.35">
      <c r="A4497" s="2" t="s">
        <v>4533</v>
      </c>
      <c r="B4497" s="4">
        <v>84</v>
      </c>
      <c r="C4497" t="s">
        <v>11</v>
      </c>
      <c r="D4497" t="s">
        <v>23</v>
      </c>
      <c r="E4497" t="s">
        <v>42</v>
      </c>
      <c r="F4497" t="s">
        <v>20</v>
      </c>
      <c r="G4497" s="4">
        <v>12</v>
      </c>
      <c r="H4497" s="1">
        <v>39249</v>
      </c>
      <c r="I4497" s="3" t="s">
        <v>21</v>
      </c>
      <c r="J4497" s="4">
        <v>2</v>
      </c>
    </row>
    <row r="4498" spans="1:10" x14ac:dyDescent="0.35">
      <c r="A4498" s="2" t="s">
        <v>4534</v>
      </c>
      <c r="B4498" s="4">
        <v>46</v>
      </c>
      <c r="C4498" t="s">
        <v>17</v>
      </c>
      <c r="D4498" t="s">
        <v>12</v>
      </c>
      <c r="E4498" t="s">
        <v>65</v>
      </c>
      <c r="F4498" t="s">
        <v>14</v>
      </c>
      <c r="G4498" s="4">
        <v>15</v>
      </c>
      <c r="H4498" s="1">
        <v>23934</v>
      </c>
      <c r="I4498" s="3" t="s">
        <v>15</v>
      </c>
      <c r="J4498" s="4">
        <v>5</v>
      </c>
    </row>
    <row r="4499" spans="1:10" x14ac:dyDescent="0.35">
      <c r="A4499" s="2" t="s">
        <v>4535</v>
      </c>
      <c r="B4499" s="4">
        <v>56</v>
      </c>
      <c r="C4499" t="s">
        <v>11</v>
      </c>
      <c r="D4499" t="s">
        <v>12</v>
      </c>
      <c r="E4499" t="s">
        <v>65</v>
      </c>
      <c r="F4499" t="s">
        <v>30</v>
      </c>
      <c r="G4499" s="4">
        <v>12</v>
      </c>
      <c r="H4499" s="1">
        <v>20174</v>
      </c>
      <c r="I4499" s="3" t="s">
        <v>21</v>
      </c>
      <c r="J4499" s="4">
        <v>2</v>
      </c>
    </row>
    <row r="4500" spans="1:10" x14ac:dyDescent="0.35">
      <c r="A4500" s="2" t="s">
        <v>4536</v>
      </c>
      <c r="B4500" s="4">
        <v>89</v>
      </c>
      <c r="C4500" t="s">
        <v>11</v>
      </c>
      <c r="D4500" t="s">
        <v>23</v>
      </c>
      <c r="E4500" t="s">
        <v>19</v>
      </c>
      <c r="F4500" t="s">
        <v>30</v>
      </c>
      <c r="G4500" s="4">
        <v>11</v>
      </c>
      <c r="H4500" s="1">
        <v>41667</v>
      </c>
      <c r="I4500" s="3" t="s">
        <v>15</v>
      </c>
      <c r="J4500" s="4">
        <v>3</v>
      </c>
    </row>
    <row r="4501" spans="1:10" x14ac:dyDescent="0.35">
      <c r="A4501" s="2" t="s">
        <v>4537</v>
      </c>
      <c r="B4501" s="4">
        <v>27</v>
      </c>
      <c r="C4501" t="s">
        <v>11</v>
      </c>
      <c r="D4501" t="s">
        <v>23</v>
      </c>
      <c r="E4501" t="s">
        <v>27</v>
      </c>
      <c r="F4501" t="s">
        <v>30</v>
      </c>
      <c r="G4501" s="4">
        <v>4</v>
      </c>
      <c r="H4501" s="1">
        <v>61447</v>
      </c>
      <c r="I4501" s="3" t="s">
        <v>21</v>
      </c>
      <c r="J4501" s="4">
        <v>4</v>
      </c>
    </row>
    <row r="4502" spans="1:10" x14ac:dyDescent="0.35">
      <c r="A4502" s="2" t="s">
        <v>4538</v>
      </c>
      <c r="B4502" s="4">
        <v>67</v>
      </c>
      <c r="C4502" t="s">
        <v>17</v>
      </c>
      <c r="D4502" t="s">
        <v>26</v>
      </c>
      <c r="E4502" t="s">
        <v>29</v>
      </c>
      <c r="F4502" t="s">
        <v>20</v>
      </c>
      <c r="G4502" s="4">
        <v>14</v>
      </c>
      <c r="H4502" s="1">
        <v>19769</v>
      </c>
      <c r="I4502" s="3" t="s">
        <v>15</v>
      </c>
      <c r="J4502" s="4">
        <v>5</v>
      </c>
    </row>
    <row r="4503" spans="1:10" x14ac:dyDescent="0.35">
      <c r="A4503" s="2" t="s">
        <v>4539</v>
      </c>
      <c r="B4503" s="4">
        <v>40</v>
      </c>
      <c r="C4503" t="s">
        <v>17</v>
      </c>
      <c r="D4503" t="s">
        <v>12</v>
      </c>
      <c r="E4503" t="s">
        <v>27</v>
      </c>
      <c r="F4503" t="s">
        <v>30</v>
      </c>
      <c r="G4503" s="4">
        <v>11</v>
      </c>
      <c r="H4503" s="1">
        <v>42070</v>
      </c>
      <c r="I4503" s="3" t="s">
        <v>21</v>
      </c>
      <c r="J4503" s="4">
        <v>5</v>
      </c>
    </row>
    <row r="4504" spans="1:10" x14ac:dyDescent="0.35">
      <c r="A4504" s="2" t="s">
        <v>4540</v>
      </c>
      <c r="B4504" s="4">
        <v>10</v>
      </c>
      <c r="C4504" t="s">
        <v>11</v>
      </c>
      <c r="D4504" t="s">
        <v>39</v>
      </c>
      <c r="E4504" t="s">
        <v>42</v>
      </c>
      <c r="F4504" t="s">
        <v>14</v>
      </c>
      <c r="G4504" s="4">
        <v>8</v>
      </c>
      <c r="H4504" s="1">
        <v>59907</v>
      </c>
      <c r="I4504" s="3" t="s">
        <v>15</v>
      </c>
      <c r="J4504" s="4">
        <v>5</v>
      </c>
    </row>
    <row r="4505" spans="1:10" x14ac:dyDescent="0.35">
      <c r="A4505" s="2" t="s">
        <v>4541</v>
      </c>
      <c r="B4505" s="4">
        <v>71</v>
      </c>
      <c r="C4505" t="s">
        <v>11</v>
      </c>
      <c r="D4505" t="s">
        <v>49</v>
      </c>
      <c r="E4505" t="s">
        <v>65</v>
      </c>
      <c r="F4505" t="s">
        <v>20</v>
      </c>
      <c r="G4505" s="4">
        <v>8</v>
      </c>
      <c r="H4505" s="1">
        <v>19339</v>
      </c>
      <c r="I4505" s="3" t="s">
        <v>21</v>
      </c>
      <c r="J4505" s="4">
        <v>5</v>
      </c>
    </row>
    <row r="4506" spans="1:10" x14ac:dyDescent="0.35">
      <c r="A4506" s="2" t="s">
        <v>4542</v>
      </c>
      <c r="B4506" s="4">
        <v>71</v>
      </c>
      <c r="C4506" t="s">
        <v>17</v>
      </c>
      <c r="D4506" t="s">
        <v>12</v>
      </c>
      <c r="E4506" t="s">
        <v>29</v>
      </c>
      <c r="F4506" t="s">
        <v>20</v>
      </c>
      <c r="G4506" s="4">
        <v>8</v>
      </c>
      <c r="H4506" s="1">
        <v>66424</v>
      </c>
      <c r="I4506" s="3" t="s">
        <v>21</v>
      </c>
      <c r="J4506" s="4">
        <v>1</v>
      </c>
    </row>
    <row r="4507" spans="1:10" x14ac:dyDescent="0.35">
      <c r="A4507" s="2" t="s">
        <v>4543</v>
      </c>
      <c r="B4507" s="4">
        <v>61</v>
      </c>
      <c r="C4507" t="s">
        <v>17</v>
      </c>
      <c r="D4507" t="s">
        <v>33</v>
      </c>
      <c r="E4507" t="s">
        <v>27</v>
      </c>
      <c r="F4507" t="s">
        <v>14</v>
      </c>
      <c r="G4507" s="4">
        <v>14</v>
      </c>
      <c r="H4507" s="1">
        <v>17935</v>
      </c>
      <c r="I4507" s="3" t="s">
        <v>15</v>
      </c>
      <c r="J4507" s="4">
        <v>3</v>
      </c>
    </row>
    <row r="4508" spans="1:10" x14ac:dyDescent="0.35">
      <c r="A4508" s="2" t="s">
        <v>4544</v>
      </c>
      <c r="B4508" s="4">
        <v>6</v>
      </c>
      <c r="C4508" t="s">
        <v>17</v>
      </c>
      <c r="D4508" t="s">
        <v>23</v>
      </c>
      <c r="E4508" t="s">
        <v>53</v>
      </c>
      <c r="F4508" t="s">
        <v>14</v>
      </c>
      <c r="G4508" s="4">
        <v>2</v>
      </c>
      <c r="H4508" s="1">
        <v>81757</v>
      </c>
      <c r="I4508" s="3" t="s">
        <v>15</v>
      </c>
      <c r="J4508" s="4">
        <v>4</v>
      </c>
    </row>
    <row r="4509" spans="1:10" x14ac:dyDescent="0.35">
      <c r="A4509" s="2" t="s">
        <v>4545</v>
      </c>
      <c r="B4509" s="4">
        <v>79</v>
      </c>
      <c r="C4509" t="s">
        <v>17</v>
      </c>
      <c r="D4509" t="s">
        <v>49</v>
      </c>
      <c r="E4509" t="s">
        <v>27</v>
      </c>
      <c r="F4509" t="s">
        <v>30</v>
      </c>
      <c r="G4509" s="4">
        <v>10</v>
      </c>
      <c r="H4509" s="1">
        <v>68963</v>
      </c>
      <c r="I4509" s="3" t="s">
        <v>15</v>
      </c>
      <c r="J4509" s="4">
        <v>3</v>
      </c>
    </row>
    <row r="4510" spans="1:10" x14ac:dyDescent="0.35">
      <c r="A4510" s="2" t="s">
        <v>4546</v>
      </c>
      <c r="B4510" s="4">
        <v>68</v>
      </c>
      <c r="C4510" t="s">
        <v>11</v>
      </c>
      <c r="D4510" t="s">
        <v>12</v>
      </c>
      <c r="E4510" t="s">
        <v>65</v>
      </c>
      <c r="F4510" t="s">
        <v>30</v>
      </c>
      <c r="G4510" s="4">
        <v>9</v>
      </c>
      <c r="H4510" s="1">
        <v>85644</v>
      </c>
      <c r="I4510" s="3" t="s">
        <v>21</v>
      </c>
      <c r="J4510" s="4">
        <v>1</v>
      </c>
    </row>
    <row r="4511" spans="1:10" x14ac:dyDescent="0.35">
      <c r="A4511" s="2" t="s">
        <v>4547</v>
      </c>
      <c r="B4511" s="4">
        <v>9</v>
      </c>
      <c r="C4511" t="s">
        <v>17</v>
      </c>
      <c r="D4511" t="s">
        <v>36</v>
      </c>
      <c r="E4511" t="s">
        <v>65</v>
      </c>
      <c r="F4511" t="s">
        <v>30</v>
      </c>
      <c r="G4511" s="4">
        <v>9</v>
      </c>
      <c r="H4511" s="1">
        <v>52199</v>
      </c>
      <c r="I4511" s="3" t="s">
        <v>21</v>
      </c>
      <c r="J4511" s="4">
        <v>2</v>
      </c>
    </row>
    <row r="4512" spans="1:10" x14ac:dyDescent="0.35">
      <c r="A4512" s="2" t="s">
        <v>4548</v>
      </c>
      <c r="B4512" s="4">
        <v>76</v>
      </c>
      <c r="C4512" t="s">
        <v>17</v>
      </c>
      <c r="D4512" t="s">
        <v>28</v>
      </c>
      <c r="E4512" t="s">
        <v>24</v>
      </c>
      <c r="F4512" t="s">
        <v>14</v>
      </c>
      <c r="G4512" s="4">
        <v>11</v>
      </c>
      <c r="H4512" s="1">
        <v>37041</v>
      </c>
      <c r="I4512" s="3" t="s">
        <v>15</v>
      </c>
      <c r="J4512" s="4">
        <v>3</v>
      </c>
    </row>
    <row r="4513" spans="1:10" x14ac:dyDescent="0.35">
      <c r="A4513" s="2" t="s">
        <v>4549</v>
      </c>
      <c r="B4513" s="4">
        <v>25</v>
      </c>
      <c r="C4513" t="s">
        <v>11</v>
      </c>
      <c r="D4513" t="s">
        <v>41</v>
      </c>
      <c r="E4513" t="s">
        <v>42</v>
      </c>
      <c r="F4513" t="s">
        <v>30</v>
      </c>
      <c r="G4513" s="4">
        <v>1</v>
      </c>
      <c r="H4513" s="1">
        <v>51271</v>
      </c>
      <c r="I4513" s="3" t="s">
        <v>21</v>
      </c>
      <c r="J4513" s="4">
        <v>3</v>
      </c>
    </row>
    <row r="4514" spans="1:10" x14ac:dyDescent="0.35">
      <c r="A4514" s="2" t="s">
        <v>4550</v>
      </c>
      <c r="B4514" s="4">
        <v>67</v>
      </c>
      <c r="C4514" t="s">
        <v>17</v>
      </c>
      <c r="D4514" t="s">
        <v>39</v>
      </c>
      <c r="E4514" t="s">
        <v>37</v>
      </c>
      <c r="F4514" t="s">
        <v>14</v>
      </c>
      <c r="G4514" s="4">
        <v>9</v>
      </c>
      <c r="H4514" s="1">
        <v>76538</v>
      </c>
      <c r="I4514" s="3" t="s">
        <v>15</v>
      </c>
      <c r="J4514" s="4">
        <v>4</v>
      </c>
    </row>
    <row r="4515" spans="1:10" x14ac:dyDescent="0.35">
      <c r="A4515" s="2" t="s">
        <v>4551</v>
      </c>
      <c r="B4515" s="4">
        <v>18</v>
      </c>
      <c r="C4515" t="s">
        <v>17</v>
      </c>
      <c r="D4515" t="s">
        <v>41</v>
      </c>
      <c r="E4515" t="s">
        <v>42</v>
      </c>
      <c r="F4515" t="s">
        <v>30</v>
      </c>
      <c r="G4515" s="4">
        <v>1</v>
      </c>
      <c r="H4515" s="1">
        <v>32342</v>
      </c>
      <c r="I4515" s="3" t="s">
        <v>15</v>
      </c>
      <c r="J4515" s="4">
        <v>1</v>
      </c>
    </row>
    <row r="4516" spans="1:10" x14ac:dyDescent="0.35">
      <c r="A4516" s="2" t="s">
        <v>4552</v>
      </c>
      <c r="B4516" s="4">
        <v>27</v>
      </c>
      <c r="C4516" t="s">
        <v>17</v>
      </c>
      <c r="D4516" t="s">
        <v>26</v>
      </c>
      <c r="E4516" t="s">
        <v>37</v>
      </c>
      <c r="F4516" t="s">
        <v>14</v>
      </c>
      <c r="G4516" s="4">
        <v>7</v>
      </c>
      <c r="H4516" s="1">
        <v>79274</v>
      </c>
      <c r="I4516" s="3" t="s">
        <v>21</v>
      </c>
      <c r="J4516" s="4">
        <v>2</v>
      </c>
    </row>
    <row r="4517" spans="1:10" x14ac:dyDescent="0.35">
      <c r="A4517" s="2" t="s">
        <v>4553</v>
      </c>
      <c r="B4517" s="4">
        <v>30</v>
      </c>
      <c r="C4517" t="s">
        <v>17</v>
      </c>
      <c r="D4517" t="s">
        <v>23</v>
      </c>
      <c r="E4517" t="s">
        <v>19</v>
      </c>
      <c r="F4517" t="s">
        <v>30</v>
      </c>
      <c r="G4517" s="4">
        <v>11</v>
      </c>
      <c r="H4517" s="1">
        <v>22141</v>
      </c>
      <c r="I4517" s="3" t="s">
        <v>21</v>
      </c>
      <c r="J4517" s="4">
        <v>5</v>
      </c>
    </row>
    <row r="4518" spans="1:10" x14ac:dyDescent="0.35">
      <c r="A4518" s="2" t="s">
        <v>4554</v>
      </c>
      <c r="B4518" s="4">
        <v>20</v>
      </c>
      <c r="C4518" t="s">
        <v>11</v>
      </c>
      <c r="D4518" t="s">
        <v>39</v>
      </c>
      <c r="E4518" t="s">
        <v>13</v>
      </c>
      <c r="F4518" t="s">
        <v>20</v>
      </c>
      <c r="G4518" s="4">
        <v>6</v>
      </c>
      <c r="H4518" s="1">
        <v>12457</v>
      </c>
      <c r="I4518" s="3" t="s">
        <v>21</v>
      </c>
      <c r="J4518" s="4">
        <v>3</v>
      </c>
    </row>
    <row r="4519" spans="1:10" x14ac:dyDescent="0.35">
      <c r="A4519" s="2" t="s">
        <v>4555</v>
      </c>
      <c r="B4519" s="4">
        <v>18</v>
      </c>
      <c r="C4519" t="s">
        <v>17</v>
      </c>
      <c r="D4519" t="s">
        <v>12</v>
      </c>
      <c r="E4519" t="s">
        <v>27</v>
      </c>
      <c r="F4519" t="s">
        <v>14</v>
      </c>
      <c r="G4519" s="4">
        <v>13</v>
      </c>
      <c r="H4519" s="1">
        <v>23096</v>
      </c>
      <c r="I4519" s="3" t="s">
        <v>21</v>
      </c>
      <c r="J4519" s="4">
        <v>3</v>
      </c>
    </row>
    <row r="4520" spans="1:10" x14ac:dyDescent="0.35">
      <c r="A4520" s="2" t="s">
        <v>4556</v>
      </c>
      <c r="B4520" s="4">
        <v>69</v>
      </c>
      <c r="C4520" t="s">
        <v>11</v>
      </c>
      <c r="D4520" t="s">
        <v>12</v>
      </c>
      <c r="E4520" t="s">
        <v>34</v>
      </c>
      <c r="F4520" t="s">
        <v>30</v>
      </c>
      <c r="G4520" s="4">
        <v>3</v>
      </c>
      <c r="H4520" s="1">
        <v>73872</v>
      </c>
      <c r="I4520" s="3" t="s">
        <v>15</v>
      </c>
      <c r="J4520" s="4">
        <v>2</v>
      </c>
    </row>
    <row r="4521" spans="1:10" x14ac:dyDescent="0.35">
      <c r="A4521" s="2" t="s">
        <v>4557</v>
      </c>
      <c r="B4521" s="4">
        <v>41</v>
      </c>
      <c r="C4521" t="s">
        <v>11</v>
      </c>
      <c r="D4521" t="s">
        <v>28</v>
      </c>
      <c r="E4521" t="s">
        <v>37</v>
      </c>
      <c r="F4521" t="s">
        <v>20</v>
      </c>
      <c r="G4521" s="4">
        <v>1</v>
      </c>
      <c r="H4521" s="1">
        <v>48938</v>
      </c>
      <c r="I4521" s="3" t="s">
        <v>21</v>
      </c>
      <c r="J4521" s="4">
        <v>5</v>
      </c>
    </row>
    <row r="4522" spans="1:10" x14ac:dyDescent="0.35">
      <c r="A4522" s="2" t="s">
        <v>4558</v>
      </c>
      <c r="B4522" s="4">
        <v>88</v>
      </c>
      <c r="C4522" t="s">
        <v>17</v>
      </c>
      <c r="D4522" t="s">
        <v>28</v>
      </c>
      <c r="E4522" t="s">
        <v>13</v>
      </c>
      <c r="F4522" t="s">
        <v>30</v>
      </c>
      <c r="G4522" s="4">
        <v>6</v>
      </c>
      <c r="H4522" s="1">
        <v>53168</v>
      </c>
      <c r="I4522" s="3" t="s">
        <v>21</v>
      </c>
      <c r="J4522" s="4">
        <v>1</v>
      </c>
    </row>
    <row r="4523" spans="1:10" x14ac:dyDescent="0.35">
      <c r="A4523" s="2" t="s">
        <v>4559</v>
      </c>
      <c r="B4523" s="4">
        <v>76</v>
      </c>
      <c r="C4523" t="s">
        <v>17</v>
      </c>
      <c r="D4523" t="s">
        <v>36</v>
      </c>
      <c r="E4523" t="s">
        <v>37</v>
      </c>
      <c r="F4523" t="s">
        <v>30</v>
      </c>
      <c r="G4523" s="4">
        <v>11</v>
      </c>
      <c r="H4523" s="1">
        <v>28043</v>
      </c>
      <c r="I4523" s="3" t="s">
        <v>21</v>
      </c>
      <c r="J4523" s="4">
        <v>2</v>
      </c>
    </row>
    <row r="4524" spans="1:10" x14ac:dyDescent="0.35">
      <c r="A4524" s="2" t="s">
        <v>4560</v>
      </c>
      <c r="B4524" s="4">
        <v>2</v>
      </c>
      <c r="C4524" t="s">
        <v>17</v>
      </c>
      <c r="D4524" t="s">
        <v>41</v>
      </c>
      <c r="E4524" t="s">
        <v>53</v>
      </c>
      <c r="F4524" t="s">
        <v>30</v>
      </c>
      <c r="G4524" s="4">
        <v>15</v>
      </c>
      <c r="H4524" s="1">
        <v>35322</v>
      </c>
      <c r="I4524" s="3" t="s">
        <v>21</v>
      </c>
      <c r="J4524" s="4">
        <v>3</v>
      </c>
    </row>
    <row r="4525" spans="1:10" x14ac:dyDescent="0.35">
      <c r="A4525" s="2" t="s">
        <v>4561</v>
      </c>
      <c r="B4525" s="4">
        <v>28</v>
      </c>
      <c r="C4525" t="s">
        <v>11</v>
      </c>
      <c r="D4525" t="s">
        <v>12</v>
      </c>
      <c r="E4525" t="s">
        <v>19</v>
      </c>
      <c r="F4525" t="s">
        <v>30</v>
      </c>
      <c r="G4525" s="4">
        <v>15</v>
      </c>
      <c r="H4525" s="1">
        <v>39842</v>
      </c>
      <c r="I4525" s="3" t="s">
        <v>15</v>
      </c>
      <c r="J4525" s="4">
        <v>2</v>
      </c>
    </row>
    <row r="4526" spans="1:10" x14ac:dyDescent="0.35">
      <c r="A4526" s="2" t="s">
        <v>4562</v>
      </c>
      <c r="B4526" s="4">
        <v>27</v>
      </c>
      <c r="C4526" t="s">
        <v>11</v>
      </c>
      <c r="D4526" t="s">
        <v>41</v>
      </c>
      <c r="E4526" t="s">
        <v>27</v>
      </c>
      <c r="F4526" t="s">
        <v>20</v>
      </c>
      <c r="G4526" s="4">
        <v>3</v>
      </c>
      <c r="H4526" s="1">
        <v>76248</v>
      </c>
      <c r="I4526" s="3" t="s">
        <v>21</v>
      </c>
      <c r="J4526" s="4">
        <v>2</v>
      </c>
    </row>
    <row r="4527" spans="1:10" x14ac:dyDescent="0.35">
      <c r="A4527" s="2" t="s">
        <v>4563</v>
      </c>
      <c r="B4527" s="4">
        <v>47</v>
      </c>
      <c r="C4527" t="s">
        <v>17</v>
      </c>
      <c r="D4527" t="s">
        <v>36</v>
      </c>
      <c r="E4527" t="s">
        <v>37</v>
      </c>
      <c r="F4527" t="s">
        <v>14</v>
      </c>
      <c r="G4527" s="4">
        <v>6</v>
      </c>
      <c r="H4527" s="1">
        <v>75827</v>
      </c>
      <c r="I4527" s="3" t="s">
        <v>21</v>
      </c>
      <c r="J4527" s="4">
        <v>5</v>
      </c>
    </row>
    <row r="4528" spans="1:10" x14ac:dyDescent="0.35">
      <c r="A4528" s="2" t="s">
        <v>4564</v>
      </c>
      <c r="B4528" s="4">
        <v>17</v>
      </c>
      <c r="C4528" t="s">
        <v>11</v>
      </c>
      <c r="D4528" t="s">
        <v>12</v>
      </c>
      <c r="E4528" t="s">
        <v>42</v>
      </c>
      <c r="F4528" t="s">
        <v>20</v>
      </c>
      <c r="G4528" s="4">
        <v>4</v>
      </c>
      <c r="H4528" s="1">
        <v>72621</v>
      </c>
      <c r="I4528" s="3" t="s">
        <v>21</v>
      </c>
      <c r="J4528" s="4">
        <v>5</v>
      </c>
    </row>
    <row r="4529" spans="1:10" x14ac:dyDescent="0.35">
      <c r="A4529" s="2" t="s">
        <v>4565</v>
      </c>
      <c r="B4529" s="4">
        <v>35</v>
      </c>
      <c r="C4529" t="s">
        <v>17</v>
      </c>
      <c r="D4529" t="s">
        <v>33</v>
      </c>
      <c r="E4529" t="s">
        <v>27</v>
      </c>
      <c r="F4529" t="s">
        <v>30</v>
      </c>
      <c r="G4529" s="4">
        <v>10</v>
      </c>
      <c r="H4529" s="1">
        <v>89981</v>
      </c>
      <c r="I4529" s="3" t="s">
        <v>21</v>
      </c>
      <c r="J4529" s="4">
        <v>5</v>
      </c>
    </row>
    <row r="4530" spans="1:10" x14ac:dyDescent="0.35">
      <c r="A4530" s="2" t="s">
        <v>4566</v>
      </c>
      <c r="B4530" s="4">
        <v>42</v>
      </c>
      <c r="C4530" t="s">
        <v>17</v>
      </c>
      <c r="D4530" t="s">
        <v>12</v>
      </c>
      <c r="E4530" t="s">
        <v>29</v>
      </c>
      <c r="F4530" t="s">
        <v>30</v>
      </c>
      <c r="G4530" s="4">
        <v>7</v>
      </c>
      <c r="H4530" s="1">
        <v>76656</v>
      </c>
      <c r="I4530" s="3" t="s">
        <v>21</v>
      </c>
      <c r="J4530" s="4">
        <v>4</v>
      </c>
    </row>
    <row r="4531" spans="1:10" x14ac:dyDescent="0.35">
      <c r="A4531" s="2" t="s">
        <v>4567</v>
      </c>
      <c r="B4531" s="4">
        <v>44</v>
      </c>
      <c r="C4531" t="s">
        <v>17</v>
      </c>
      <c r="D4531" t="s">
        <v>39</v>
      </c>
      <c r="E4531" t="s">
        <v>13</v>
      </c>
      <c r="F4531" t="s">
        <v>30</v>
      </c>
      <c r="G4531" s="4">
        <v>1</v>
      </c>
      <c r="H4531" s="1">
        <v>83726</v>
      </c>
      <c r="I4531" s="3" t="s">
        <v>15</v>
      </c>
      <c r="J4531" s="4">
        <v>3</v>
      </c>
    </row>
    <row r="4532" spans="1:10" x14ac:dyDescent="0.35">
      <c r="A4532" s="2" t="s">
        <v>4568</v>
      </c>
      <c r="B4532" s="4">
        <v>29</v>
      </c>
      <c r="C4532" t="s">
        <v>11</v>
      </c>
      <c r="D4532" t="s">
        <v>28</v>
      </c>
      <c r="E4532" t="s">
        <v>53</v>
      </c>
      <c r="F4532" t="s">
        <v>14</v>
      </c>
      <c r="G4532" s="4">
        <v>14</v>
      </c>
      <c r="H4532" s="1">
        <v>61685</v>
      </c>
      <c r="I4532" s="3" t="s">
        <v>15</v>
      </c>
      <c r="J4532" s="4">
        <v>5</v>
      </c>
    </row>
    <row r="4533" spans="1:10" x14ac:dyDescent="0.35">
      <c r="A4533" s="2" t="s">
        <v>4569</v>
      </c>
      <c r="B4533" s="4">
        <v>24</v>
      </c>
      <c r="C4533" t="s">
        <v>11</v>
      </c>
      <c r="D4533" t="s">
        <v>12</v>
      </c>
      <c r="E4533" t="s">
        <v>13</v>
      </c>
      <c r="F4533" t="s">
        <v>20</v>
      </c>
      <c r="G4533" s="4">
        <v>5</v>
      </c>
      <c r="H4533" s="1">
        <v>58743</v>
      </c>
      <c r="I4533" s="3" t="s">
        <v>21</v>
      </c>
      <c r="J4533" s="4">
        <v>1</v>
      </c>
    </row>
    <row r="4534" spans="1:10" x14ac:dyDescent="0.35">
      <c r="A4534" s="2" t="s">
        <v>4570</v>
      </c>
      <c r="B4534" s="4">
        <v>85</v>
      </c>
      <c r="C4534" t="s">
        <v>17</v>
      </c>
      <c r="D4534" t="s">
        <v>49</v>
      </c>
      <c r="E4534" t="s">
        <v>65</v>
      </c>
      <c r="F4534" t="s">
        <v>20</v>
      </c>
      <c r="G4534" s="4">
        <v>14</v>
      </c>
      <c r="H4534" s="1">
        <v>57406</v>
      </c>
      <c r="I4534" s="3" t="s">
        <v>21</v>
      </c>
      <c r="J4534" s="4">
        <v>2</v>
      </c>
    </row>
    <row r="4535" spans="1:10" x14ac:dyDescent="0.35">
      <c r="A4535" s="2" t="s">
        <v>4571</v>
      </c>
      <c r="B4535" s="4">
        <v>4</v>
      </c>
      <c r="C4535" t="s">
        <v>11</v>
      </c>
      <c r="D4535" t="s">
        <v>49</v>
      </c>
      <c r="E4535" t="s">
        <v>27</v>
      </c>
      <c r="F4535" t="s">
        <v>20</v>
      </c>
      <c r="G4535" s="4">
        <v>6</v>
      </c>
      <c r="H4535" s="1">
        <v>27791</v>
      </c>
      <c r="I4535" s="3" t="s">
        <v>15</v>
      </c>
      <c r="J4535" s="4">
        <v>1</v>
      </c>
    </row>
    <row r="4536" spans="1:10" x14ac:dyDescent="0.35">
      <c r="A4536" s="2" t="s">
        <v>4572</v>
      </c>
      <c r="B4536" s="4">
        <v>23</v>
      </c>
      <c r="C4536" t="s">
        <v>17</v>
      </c>
      <c r="D4536" t="s">
        <v>28</v>
      </c>
      <c r="E4536" t="s">
        <v>42</v>
      </c>
      <c r="F4536" t="s">
        <v>30</v>
      </c>
      <c r="G4536" s="4">
        <v>10</v>
      </c>
      <c r="H4536" s="1">
        <v>35676</v>
      </c>
      <c r="I4536" s="3" t="s">
        <v>21</v>
      </c>
      <c r="J4536" s="4">
        <v>3</v>
      </c>
    </row>
    <row r="4537" spans="1:10" x14ac:dyDescent="0.35">
      <c r="A4537" s="2" t="s">
        <v>4573</v>
      </c>
      <c r="B4537" s="4">
        <v>40</v>
      </c>
      <c r="C4537" t="s">
        <v>11</v>
      </c>
      <c r="D4537" t="s">
        <v>23</v>
      </c>
      <c r="E4537" t="s">
        <v>29</v>
      </c>
      <c r="F4537" t="s">
        <v>14</v>
      </c>
      <c r="G4537" s="4">
        <v>9</v>
      </c>
      <c r="H4537" s="1">
        <v>20268</v>
      </c>
      <c r="I4537" s="3" t="s">
        <v>15</v>
      </c>
      <c r="J4537" s="4">
        <v>3</v>
      </c>
    </row>
    <row r="4538" spans="1:10" x14ac:dyDescent="0.35">
      <c r="A4538" s="2" t="s">
        <v>4574</v>
      </c>
      <c r="B4538" s="4">
        <v>39</v>
      </c>
      <c r="C4538" t="s">
        <v>17</v>
      </c>
      <c r="D4538" t="s">
        <v>18</v>
      </c>
      <c r="E4538" t="s">
        <v>34</v>
      </c>
      <c r="F4538" t="s">
        <v>14</v>
      </c>
      <c r="G4538" s="4">
        <v>12</v>
      </c>
      <c r="H4538" s="1">
        <v>11751</v>
      </c>
      <c r="I4538" s="3" t="s">
        <v>15</v>
      </c>
      <c r="J4538" s="4">
        <v>5</v>
      </c>
    </row>
    <row r="4539" spans="1:10" x14ac:dyDescent="0.35">
      <c r="A4539" s="2" t="s">
        <v>4575</v>
      </c>
      <c r="B4539" s="4">
        <v>82</v>
      </c>
      <c r="C4539" t="s">
        <v>11</v>
      </c>
      <c r="D4539" t="s">
        <v>18</v>
      </c>
      <c r="E4539" t="s">
        <v>34</v>
      </c>
      <c r="F4539" t="s">
        <v>14</v>
      </c>
      <c r="G4539" s="4">
        <v>12</v>
      </c>
      <c r="H4539" s="1">
        <v>88052</v>
      </c>
      <c r="I4539" s="3" t="s">
        <v>15</v>
      </c>
      <c r="J4539" s="4">
        <v>3</v>
      </c>
    </row>
    <row r="4540" spans="1:10" x14ac:dyDescent="0.35">
      <c r="A4540" s="2" t="s">
        <v>4576</v>
      </c>
      <c r="B4540" s="4">
        <v>37</v>
      </c>
      <c r="C4540" t="s">
        <v>11</v>
      </c>
      <c r="D4540" t="s">
        <v>28</v>
      </c>
      <c r="E4540" t="s">
        <v>19</v>
      </c>
      <c r="F4540" t="s">
        <v>20</v>
      </c>
      <c r="G4540" s="4">
        <v>4</v>
      </c>
      <c r="H4540" s="1">
        <v>77571</v>
      </c>
      <c r="I4540" s="3" t="s">
        <v>15</v>
      </c>
      <c r="J4540" s="4">
        <v>5</v>
      </c>
    </row>
    <row r="4541" spans="1:10" x14ac:dyDescent="0.35">
      <c r="A4541" s="2" t="s">
        <v>4577</v>
      </c>
      <c r="B4541" s="4">
        <v>37</v>
      </c>
      <c r="C4541" t="s">
        <v>17</v>
      </c>
      <c r="D4541" t="s">
        <v>26</v>
      </c>
      <c r="E4541" t="s">
        <v>24</v>
      </c>
      <c r="F4541" t="s">
        <v>20</v>
      </c>
      <c r="G4541" s="4">
        <v>13</v>
      </c>
      <c r="H4541" s="1">
        <v>87283</v>
      </c>
      <c r="I4541" s="3" t="s">
        <v>15</v>
      </c>
      <c r="J4541" s="4">
        <v>1</v>
      </c>
    </row>
    <row r="4542" spans="1:10" x14ac:dyDescent="0.35">
      <c r="A4542" s="2" t="s">
        <v>4578</v>
      </c>
      <c r="B4542" s="4">
        <v>23</v>
      </c>
      <c r="C4542" t="s">
        <v>17</v>
      </c>
      <c r="D4542" t="s">
        <v>36</v>
      </c>
      <c r="E4542" t="s">
        <v>37</v>
      </c>
      <c r="F4542" t="s">
        <v>20</v>
      </c>
      <c r="G4542" s="4">
        <v>12</v>
      </c>
      <c r="H4542" s="1">
        <v>81078</v>
      </c>
      <c r="I4542" s="3" t="s">
        <v>15</v>
      </c>
      <c r="J4542" s="4">
        <v>3</v>
      </c>
    </row>
    <row r="4543" spans="1:10" x14ac:dyDescent="0.35">
      <c r="A4543" s="2" t="s">
        <v>4579</v>
      </c>
      <c r="B4543" s="4">
        <v>22</v>
      </c>
      <c r="C4543" t="s">
        <v>11</v>
      </c>
      <c r="D4543" t="s">
        <v>33</v>
      </c>
      <c r="E4543" t="s">
        <v>53</v>
      </c>
      <c r="F4543" t="s">
        <v>20</v>
      </c>
      <c r="G4543" s="4">
        <v>2</v>
      </c>
      <c r="H4543" s="1">
        <v>32898</v>
      </c>
      <c r="I4543" s="3" t="s">
        <v>21</v>
      </c>
      <c r="J4543" s="4">
        <v>3</v>
      </c>
    </row>
    <row r="4544" spans="1:10" x14ac:dyDescent="0.35">
      <c r="A4544" s="2" t="s">
        <v>4580</v>
      </c>
      <c r="B4544" s="4">
        <v>1</v>
      </c>
      <c r="C4544" t="s">
        <v>11</v>
      </c>
      <c r="D4544" t="s">
        <v>18</v>
      </c>
      <c r="E4544" t="s">
        <v>24</v>
      </c>
      <c r="F4544" t="s">
        <v>30</v>
      </c>
      <c r="G4544" s="4">
        <v>7</v>
      </c>
      <c r="H4544" s="1">
        <v>82783</v>
      </c>
      <c r="I4544" s="3" t="s">
        <v>21</v>
      </c>
      <c r="J4544" s="4">
        <v>3</v>
      </c>
    </row>
    <row r="4545" spans="1:10" x14ac:dyDescent="0.35">
      <c r="A4545" s="2" t="s">
        <v>4581</v>
      </c>
      <c r="B4545" s="4">
        <v>29</v>
      </c>
      <c r="C4545" t="s">
        <v>11</v>
      </c>
      <c r="D4545" t="s">
        <v>39</v>
      </c>
      <c r="E4545" t="s">
        <v>42</v>
      </c>
      <c r="F4545" t="s">
        <v>20</v>
      </c>
      <c r="G4545" s="4">
        <v>4</v>
      </c>
      <c r="H4545" s="1">
        <v>15470</v>
      </c>
      <c r="I4545" s="3" t="s">
        <v>21</v>
      </c>
      <c r="J4545" s="4">
        <v>1</v>
      </c>
    </row>
    <row r="4546" spans="1:10" x14ac:dyDescent="0.35">
      <c r="A4546" s="2" t="s">
        <v>4582</v>
      </c>
      <c r="B4546" s="4">
        <v>75</v>
      </c>
      <c r="C4546" t="s">
        <v>11</v>
      </c>
      <c r="D4546" t="s">
        <v>23</v>
      </c>
      <c r="E4546" t="s">
        <v>37</v>
      </c>
      <c r="F4546" t="s">
        <v>30</v>
      </c>
      <c r="G4546" s="4">
        <v>9</v>
      </c>
      <c r="H4546" s="1">
        <v>20863</v>
      </c>
      <c r="I4546" s="3" t="s">
        <v>15</v>
      </c>
      <c r="J4546" s="4">
        <v>2</v>
      </c>
    </row>
    <row r="4547" spans="1:10" x14ac:dyDescent="0.35">
      <c r="A4547" s="2" t="s">
        <v>4583</v>
      </c>
      <c r="B4547" s="4">
        <v>64</v>
      </c>
      <c r="C4547" t="s">
        <v>11</v>
      </c>
      <c r="D4547" t="s">
        <v>28</v>
      </c>
      <c r="E4547" t="s">
        <v>37</v>
      </c>
      <c r="F4547" t="s">
        <v>30</v>
      </c>
      <c r="G4547" s="4">
        <v>1</v>
      </c>
      <c r="H4547" s="1">
        <v>12928</v>
      </c>
      <c r="I4547" s="3" t="s">
        <v>21</v>
      </c>
      <c r="J4547" s="4">
        <v>5</v>
      </c>
    </row>
    <row r="4548" spans="1:10" x14ac:dyDescent="0.35">
      <c r="A4548" s="2" t="s">
        <v>4584</v>
      </c>
      <c r="B4548" s="4">
        <v>77</v>
      </c>
      <c r="C4548" t="s">
        <v>11</v>
      </c>
      <c r="D4548" t="s">
        <v>39</v>
      </c>
      <c r="E4548" t="s">
        <v>27</v>
      </c>
      <c r="F4548" t="s">
        <v>30</v>
      </c>
      <c r="G4548" s="4">
        <v>10</v>
      </c>
      <c r="H4548" s="1">
        <v>47172</v>
      </c>
      <c r="I4548" s="3" t="s">
        <v>15</v>
      </c>
      <c r="J4548" s="4">
        <v>5</v>
      </c>
    </row>
    <row r="4549" spans="1:10" x14ac:dyDescent="0.35">
      <c r="A4549" s="2" t="s">
        <v>4585</v>
      </c>
      <c r="B4549" s="4">
        <v>65</v>
      </c>
      <c r="C4549" t="s">
        <v>11</v>
      </c>
      <c r="D4549" t="s">
        <v>12</v>
      </c>
      <c r="E4549" t="s">
        <v>19</v>
      </c>
      <c r="F4549" t="s">
        <v>30</v>
      </c>
      <c r="G4549" s="4">
        <v>3</v>
      </c>
      <c r="H4549" s="1">
        <v>92120</v>
      </c>
      <c r="I4549" s="3" t="s">
        <v>15</v>
      </c>
      <c r="J4549" s="4">
        <v>4</v>
      </c>
    </row>
    <row r="4550" spans="1:10" x14ac:dyDescent="0.35">
      <c r="A4550" s="2" t="s">
        <v>4586</v>
      </c>
      <c r="B4550" s="4">
        <v>63</v>
      </c>
      <c r="C4550" t="s">
        <v>17</v>
      </c>
      <c r="D4550" t="s">
        <v>18</v>
      </c>
      <c r="E4550" t="s">
        <v>53</v>
      </c>
      <c r="F4550" t="s">
        <v>14</v>
      </c>
      <c r="G4550" s="4">
        <v>3</v>
      </c>
      <c r="H4550" s="1">
        <v>98064</v>
      </c>
      <c r="I4550" s="3" t="s">
        <v>15</v>
      </c>
      <c r="J4550" s="4">
        <v>1</v>
      </c>
    </row>
    <row r="4551" spans="1:10" x14ac:dyDescent="0.35">
      <c r="A4551" s="2" t="s">
        <v>4587</v>
      </c>
      <c r="B4551" s="4">
        <v>68</v>
      </c>
      <c r="C4551" t="s">
        <v>17</v>
      </c>
      <c r="D4551" t="s">
        <v>12</v>
      </c>
      <c r="E4551" t="s">
        <v>13</v>
      </c>
      <c r="F4551" t="s">
        <v>14</v>
      </c>
      <c r="G4551" s="4">
        <v>1</v>
      </c>
      <c r="H4551" s="1">
        <v>42841</v>
      </c>
      <c r="I4551" s="3" t="s">
        <v>15</v>
      </c>
      <c r="J4551" s="4">
        <v>5</v>
      </c>
    </row>
    <row r="4552" spans="1:10" x14ac:dyDescent="0.35">
      <c r="A4552" s="2" t="s">
        <v>4588</v>
      </c>
      <c r="B4552" s="4">
        <v>34</v>
      </c>
      <c r="C4552" t="s">
        <v>11</v>
      </c>
      <c r="D4552" t="s">
        <v>49</v>
      </c>
      <c r="E4552" t="s">
        <v>29</v>
      </c>
      <c r="F4552" t="s">
        <v>14</v>
      </c>
      <c r="G4552" s="4">
        <v>11</v>
      </c>
      <c r="H4552" s="1">
        <v>59744</v>
      </c>
      <c r="I4552" s="3" t="s">
        <v>21</v>
      </c>
      <c r="J4552" s="4">
        <v>5</v>
      </c>
    </row>
    <row r="4553" spans="1:10" x14ac:dyDescent="0.35">
      <c r="A4553" s="2" t="s">
        <v>4589</v>
      </c>
      <c r="B4553" s="4">
        <v>19</v>
      </c>
      <c r="C4553" t="s">
        <v>11</v>
      </c>
      <c r="D4553" t="s">
        <v>39</v>
      </c>
      <c r="E4553" t="s">
        <v>37</v>
      </c>
      <c r="F4553" t="s">
        <v>20</v>
      </c>
      <c r="G4553" s="4">
        <v>13</v>
      </c>
      <c r="H4553" s="1">
        <v>20886</v>
      </c>
      <c r="I4553" s="3" t="s">
        <v>21</v>
      </c>
      <c r="J4553" s="4">
        <v>1</v>
      </c>
    </row>
    <row r="4554" spans="1:10" x14ac:dyDescent="0.35">
      <c r="A4554" s="2" t="s">
        <v>4590</v>
      </c>
      <c r="B4554" s="4">
        <v>83</v>
      </c>
      <c r="C4554" t="s">
        <v>11</v>
      </c>
      <c r="D4554" t="s">
        <v>28</v>
      </c>
      <c r="E4554" t="s">
        <v>42</v>
      </c>
      <c r="F4554" t="s">
        <v>20</v>
      </c>
      <c r="G4554" s="4">
        <v>5</v>
      </c>
      <c r="H4554" s="1">
        <v>88662</v>
      </c>
      <c r="I4554" s="3" t="s">
        <v>15</v>
      </c>
      <c r="J4554" s="4">
        <v>2</v>
      </c>
    </row>
    <row r="4555" spans="1:10" x14ac:dyDescent="0.35">
      <c r="A4555" s="2" t="s">
        <v>4591</v>
      </c>
      <c r="B4555" s="4">
        <v>87</v>
      </c>
      <c r="C4555" t="s">
        <v>17</v>
      </c>
      <c r="D4555" t="s">
        <v>41</v>
      </c>
      <c r="E4555" t="s">
        <v>13</v>
      </c>
      <c r="F4555" t="s">
        <v>20</v>
      </c>
      <c r="G4555" s="4">
        <v>6</v>
      </c>
      <c r="H4555" s="1">
        <v>68136</v>
      </c>
      <c r="I4555" s="3" t="s">
        <v>15</v>
      </c>
      <c r="J4555" s="4">
        <v>1</v>
      </c>
    </row>
    <row r="4556" spans="1:10" x14ac:dyDescent="0.35">
      <c r="A4556" s="2" t="s">
        <v>4592</v>
      </c>
      <c r="B4556" s="4">
        <v>67</v>
      </c>
      <c r="C4556" t="s">
        <v>11</v>
      </c>
      <c r="D4556" t="s">
        <v>18</v>
      </c>
      <c r="E4556" t="s">
        <v>37</v>
      </c>
      <c r="F4556" t="s">
        <v>20</v>
      </c>
      <c r="G4556" s="4">
        <v>10</v>
      </c>
      <c r="H4556" s="1">
        <v>8958</v>
      </c>
      <c r="I4556" s="3" t="s">
        <v>21</v>
      </c>
      <c r="J4556" s="4">
        <v>5</v>
      </c>
    </row>
    <row r="4557" spans="1:10" x14ac:dyDescent="0.35">
      <c r="A4557" s="2" t="s">
        <v>4593</v>
      </c>
      <c r="B4557" s="4">
        <v>30</v>
      </c>
      <c r="C4557" t="s">
        <v>11</v>
      </c>
      <c r="D4557" t="s">
        <v>18</v>
      </c>
      <c r="E4557" t="s">
        <v>27</v>
      </c>
      <c r="F4557" t="s">
        <v>20</v>
      </c>
      <c r="G4557" s="4">
        <v>3</v>
      </c>
      <c r="H4557" s="1">
        <v>56405</v>
      </c>
      <c r="I4557" s="3" t="s">
        <v>21</v>
      </c>
      <c r="J4557" s="4">
        <v>4</v>
      </c>
    </row>
    <row r="4558" spans="1:10" x14ac:dyDescent="0.35">
      <c r="A4558" s="2" t="s">
        <v>4594</v>
      </c>
      <c r="B4558" s="4">
        <v>4</v>
      </c>
      <c r="C4558" t="s">
        <v>11</v>
      </c>
      <c r="D4558" t="s">
        <v>41</v>
      </c>
      <c r="E4558" t="s">
        <v>42</v>
      </c>
      <c r="F4558" t="s">
        <v>14</v>
      </c>
      <c r="G4558" s="4">
        <v>1</v>
      </c>
      <c r="H4558" s="1">
        <v>56266</v>
      </c>
      <c r="I4558" s="3" t="s">
        <v>15</v>
      </c>
      <c r="J4558" s="4">
        <v>2</v>
      </c>
    </row>
    <row r="4559" spans="1:10" x14ac:dyDescent="0.35">
      <c r="A4559" s="2" t="s">
        <v>4595</v>
      </c>
      <c r="B4559" s="4">
        <v>32</v>
      </c>
      <c r="C4559" t="s">
        <v>11</v>
      </c>
      <c r="D4559" t="s">
        <v>28</v>
      </c>
      <c r="E4559" t="s">
        <v>34</v>
      </c>
      <c r="F4559" t="s">
        <v>30</v>
      </c>
      <c r="G4559" s="4">
        <v>15</v>
      </c>
      <c r="H4559" s="1">
        <v>10427</v>
      </c>
      <c r="I4559" s="3" t="s">
        <v>15</v>
      </c>
      <c r="J4559" s="4">
        <v>2</v>
      </c>
    </row>
    <row r="4560" spans="1:10" x14ac:dyDescent="0.35">
      <c r="A4560" s="2" t="s">
        <v>4596</v>
      </c>
      <c r="B4560" s="4">
        <v>46</v>
      </c>
      <c r="C4560" t="s">
        <v>17</v>
      </c>
      <c r="D4560" t="s">
        <v>23</v>
      </c>
      <c r="E4560" t="s">
        <v>34</v>
      </c>
      <c r="F4560" t="s">
        <v>30</v>
      </c>
      <c r="G4560" s="4">
        <v>13</v>
      </c>
      <c r="H4560" s="1">
        <v>79941</v>
      </c>
      <c r="I4560" s="3" t="s">
        <v>15</v>
      </c>
      <c r="J4560" s="4">
        <v>3</v>
      </c>
    </row>
    <row r="4561" spans="1:10" x14ac:dyDescent="0.35">
      <c r="A4561" s="2" t="s">
        <v>4597</v>
      </c>
      <c r="B4561" s="4">
        <v>15</v>
      </c>
      <c r="C4561" t="s">
        <v>11</v>
      </c>
      <c r="D4561" t="s">
        <v>33</v>
      </c>
      <c r="E4561" t="s">
        <v>42</v>
      </c>
      <c r="F4561" t="s">
        <v>20</v>
      </c>
      <c r="G4561" s="4">
        <v>9</v>
      </c>
      <c r="H4561" s="1">
        <v>65159</v>
      </c>
      <c r="I4561" s="3" t="s">
        <v>15</v>
      </c>
      <c r="J4561" s="4">
        <v>3</v>
      </c>
    </row>
    <row r="4562" spans="1:10" x14ac:dyDescent="0.35">
      <c r="A4562" s="2" t="s">
        <v>4598</v>
      </c>
      <c r="B4562" s="4">
        <v>15</v>
      </c>
      <c r="C4562" t="s">
        <v>11</v>
      </c>
      <c r="D4562" t="s">
        <v>39</v>
      </c>
      <c r="E4562" t="s">
        <v>37</v>
      </c>
      <c r="F4562" t="s">
        <v>20</v>
      </c>
      <c r="G4562" s="4">
        <v>11</v>
      </c>
      <c r="H4562" s="1">
        <v>48257</v>
      </c>
      <c r="I4562" s="3" t="s">
        <v>21</v>
      </c>
      <c r="J4562" s="4">
        <v>1</v>
      </c>
    </row>
    <row r="4563" spans="1:10" x14ac:dyDescent="0.35">
      <c r="A4563" s="2" t="s">
        <v>4599</v>
      </c>
      <c r="B4563" s="4">
        <v>64</v>
      </c>
      <c r="C4563" t="s">
        <v>11</v>
      </c>
      <c r="D4563" t="s">
        <v>33</v>
      </c>
      <c r="E4563" t="s">
        <v>53</v>
      </c>
      <c r="F4563" t="s">
        <v>14</v>
      </c>
      <c r="G4563" s="4">
        <v>2</v>
      </c>
      <c r="H4563" s="1">
        <v>42032</v>
      </c>
      <c r="I4563" s="3" t="s">
        <v>21</v>
      </c>
      <c r="J4563" s="4">
        <v>3</v>
      </c>
    </row>
    <row r="4564" spans="1:10" x14ac:dyDescent="0.35">
      <c r="A4564" s="2" t="s">
        <v>4600</v>
      </c>
      <c r="B4564" s="4">
        <v>38</v>
      </c>
      <c r="C4564" t="s">
        <v>11</v>
      </c>
      <c r="D4564" t="s">
        <v>28</v>
      </c>
      <c r="E4564" t="s">
        <v>19</v>
      </c>
      <c r="F4564" t="s">
        <v>30</v>
      </c>
      <c r="G4564" s="4">
        <v>11</v>
      </c>
      <c r="H4564" s="1">
        <v>90016</v>
      </c>
      <c r="I4564" s="3" t="s">
        <v>15</v>
      </c>
      <c r="J4564" s="4">
        <v>4</v>
      </c>
    </row>
    <row r="4565" spans="1:10" x14ac:dyDescent="0.35">
      <c r="A4565" s="2" t="s">
        <v>4601</v>
      </c>
      <c r="B4565" s="4">
        <v>89</v>
      </c>
      <c r="C4565" t="s">
        <v>11</v>
      </c>
      <c r="D4565" t="s">
        <v>12</v>
      </c>
      <c r="E4565" t="s">
        <v>37</v>
      </c>
      <c r="F4565" t="s">
        <v>14</v>
      </c>
      <c r="G4565" s="4">
        <v>5</v>
      </c>
      <c r="H4565" s="1">
        <v>96954</v>
      </c>
      <c r="I4565" s="3" t="s">
        <v>15</v>
      </c>
      <c r="J4565" s="4">
        <v>1</v>
      </c>
    </row>
    <row r="4566" spans="1:10" x14ac:dyDescent="0.35">
      <c r="A4566" s="2" t="s">
        <v>4602</v>
      </c>
      <c r="B4566" s="4">
        <v>12</v>
      </c>
      <c r="C4566" t="s">
        <v>11</v>
      </c>
      <c r="D4566" t="s">
        <v>36</v>
      </c>
      <c r="E4566" t="s">
        <v>13</v>
      </c>
      <c r="F4566" t="s">
        <v>20</v>
      </c>
      <c r="G4566" s="4">
        <v>7</v>
      </c>
      <c r="H4566" s="1">
        <v>26045</v>
      </c>
      <c r="I4566" s="3" t="s">
        <v>21</v>
      </c>
      <c r="J4566" s="4">
        <v>3</v>
      </c>
    </row>
    <row r="4567" spans="1:10" x14ac:dyDescent="0.35">
      <c r="A4567" s="2" t="s">
        <v>4603</v>
      </c>
      <c r="B4567" s="4">
        <v>87</v>
      </c>
      <c r="C4567" t="s">
        <v>11</v>
      </c>
      <c r="D4567" t="s">
        <v>23</v>
      </c>
      <c r="E4567" t="s">
        <v>13</v>
      </c>
      <c r="F4567" t="s">
        <v>20</v>
      </c>
      <c r="G4567" s="4">
        <v>5</v>
      </c>
      <c r="H4567" s="1">
        <v>40093</v>
      </c>
      <c r="I4567" s="3" t="s">
        <v>21</v>
      </c>
      <c r="J4567" s="4">
        <v>1</v>
      </c>
    </row>
    <row r="4568" spans="1:10" x14ac:dyDescent="0.35">
      <c r="A4568" s="2" t="s">
        <v>4604</v>
      </c>
      <c r="B4568" s="4">
        <v>7</v>
      </c>
      <c r="C4568" t="s">
        <v>17</v>
      </c>
      <c r="D4568" t="s">
        <v>12</v>
      </c>
      <c r="E4568" t="s">
        <v>29</v>
      </c>
      <c r="F4568" t="s">
        <v>20</v>
      </c>
      <c r="G4568" s="4">
        <v>3</v>
      </c>
      <c r="H4568" s="1">
        <v>64515</v>
      </c>
      <c r="I4568" s="3" t="s">
        <v>21</v>
      </c>
      <c r="J4568" s="4">
        <v>5</v>
      </c>
    </row>
    <row r="4569" spans="1:10" x14ac:dyDescent="0.35">
      <c r="A4569" s="2" t="s">
        <v>4605</v>
      </c>
      <c r="B4569" s="4">
        <v>44</v>
      </c>
      <c r="C4569" t="s">
        <v>11</v>
      </c>
      <c r="D4569" t="s">
        <v>36</v>
      </c>
      <c r="E4569" t="s">
        <v>53</v>
      </c>
      <c r="F4569" t="s">
        <v>30</v>
      </c>
      <c r="G4569" s="4">
        <v>9</v>
      </c>
      <c r="H4569" s="1">
        <v>84148</v>
      </c>
      <c r="I4569" s="3" t="s">
        <v>21</v>
      </c>
      <c r="J4569" s="4">
        <v>3</v>
      </c>
    </row>
    <row r="4570" spans="1:10" x14ac:dyDescent="0.35">
      <c r="A4570" s="2" t="s">
        <v>4606</v>
      </c>
      <c r="B4570" s="4">
        <v>84</v>
      </c>
      <c r="C4570" t="s">
        <v>17</v>
      </c>
      <c r="D4570" t="s">
        <v>41</v>
      </c>
      <c r="E4570" t="s">
        <v>27</v>
      </c>
      <c r="F4570" t="s">
        <v>14</v>
      </c>
      <c r="G4570" s="4">
        <v>2</v>
      </c>
      <c r="H4570" s="1">
        <v>26471</v>
      </c>
      <c r="I4570" s="3" t="s">
        <v>21</v>
      </c>
      <c r="J4570" s="4">
        <v>3</v>
      </c>
    </row>
    <row r="4571" spans="1:10" x14ac:dyDescent="0.35">
      <c r="A4571" s="2" t="s">
        <v>4607</v>
      </c>
      <c r="B4571" s="4">
        <v>21</v>
      </c>
      <c r="C4571" t="s">
        <v>11</v>
      </c>
      <c r="D4571" t="s">
        <v>28</v>
      </c>
      <c r="E4571" t="s">
        <v>34</v>
      </c>
      <c r="F4571" t="s">
        <v>14</v>
      </c>
      <c r="G4571" s="4">
        <v>11</v>
      </c>
      <c r="H4571" s="1">
        <v>21284</v>
      </c>
      <c r="I4571" s="3" t="s">
        <v>15</v>
      </c>
      <c r="J4571" s="4">
        <v>5</v>
      </c>
    </row>
    <row r="4572" spans="1:10" x14ac:dyDescent="0.35">
      <c r="A4572" s="2" t="s">
        <v>4608</v>
      </c>
      <c r="B4572" s="4">
        <v>6</v>
      </c>
      <c r="C4572" t="s">
        <v>17</v>
      </c>
      <c r="D4572" t="s">
        <v>49</v>
      </c>
      <c r="E4572" t="s">
        <v>29</v>
      </c>
      <c r="F4572" t="s">
        <v>14</v>
      </c>
      <c r="G4572" s="4">
        <v>15</v>
      </c>
      <c r="H4572" s="1">
        <v>6638</v>
      </c>
      <c r="I4572" s="3" t="s">
        <v>21</v>
      </c>
      <c r="J4572" s="4">
        <v>4</v>
      </c>
    </row>
    <row r="4573" spans="1:10" x14ac:dyDescent="0.35">
      <c r="A4573" s="2" t="s">
        <v>4609</v>
      </c>
      <c r="B4573" s="4">
        <v>43</v>
      </c>
      <c r="C4573" t="s">
        <v>11</v>
      </c>
      <c r="D4573" t="s">
        <v>26</v>
      </c>
      <c r="E4573" t="s">
        <v>24</v>
      </c>
      <c r="F4573" t="s">
        <v>30</v>
      </c>
      <c r="G4573" s="4">
        <v>13</v>
      </c>
      <c r="H4573" s="1">
        <v>74753</v>
      </c>
      <c r="I4573" s="3" t="s">
        <v>15</v>
      </c>
      <c r="J4573" s="4">
        <v>2</v>
      </c>
    </row>
    <row r="4574" spans="1:10" x14ac:dyDescent="0.35">
      <c r="A4574" s="2" t="s">
        <v>4610</v>
      </c>
      <c r="B4574" s="4">
        <v>44</v>
      </c>
      <c r="C4574" t="s">
        <v>17</v>
      </c>
      <c r="D4574" t="s">
        <v>36</v>
      </c>
      <c r="E4574" t="s">
        <v>24</v>
      </c>
      <c r="F4574" t="s">
        <v>30</v>
      </c>
      <c r="G4574" s="4">
        <v>4</v>
      </c>
      <c r="H4574" s="1">
        <v>69829</v>
      </c>
      <c r="I4574" s="3" t="s">
        <v>21</v>
      </c>
      <c r="J4574" s="4">
        <v>5</v>
      </c>
    </row>
    <row r="4575" spans="1:10" x14ac:dyDescent="0.35">
      <c r="A4575" s="2" t="s">
        <v>4611</v>
      </c>
      <c r="B4575" s="4">
        <v>70</v>
      </c>
      <c r="C4575" t="s">
        <v>17</v>
      </c>
      <c r="D4575" t="s">
        <v>41</v>
      </c>
      <c r="E4575" t="s">
        <v>65</v>
      </c>
      <c r="F4575" t="s">
        <v>14</v>
      </c>
      <c r="G4575" s="4">
        <v>15</v>
      </c>
      <c r="H4575" s="1">
        <v>92050</v>
      </c>
      <c r="I4575" s="3" t="s">
        <v>15</v>
      </c>
      <c r="J4575" s="4">
        <v>4</v>
      </c>
    </row>
    <row r="4576" spans="1:10" x14ac:dyDescent="0.35">
      <c r="A4576" s="2" t="s">
        <v>4612</v>
      </c>
      <c r="B4576" s="4">
        <v>48</v>
      </c>
      <c r="C4576" t="s">
        <v>17</v>
      </c>
      <c r="D4576" t="s">
        <v>23</v>
      </c>
      <c r="E4576" t="s">
        <v>13</v>
      </c>
      <c r="F4576" t="s">
        <v>14</v>
      </c>
      <c r="G4576" s="4">
        <v>2</v>
      </c>
      <c r="H4576" s="1">
        <v>69285</v>
      </c>
      <c r="I4576" s="3" t="s">
        <v>15</v>
      </c>
      <c r="J4576" s="4">
        <v>5</v>
      </c>
    </row>
    <row r="4577" spans="1:10" x14ac:dyDescent="0.35">
      <c r="A4577" s="2" t="s">
        <v>4613</v>
      </c>
      <c r="B4577" s="4">
        <v>61</v>
      </c>
      <c r="C4577" t="s">
        <v>11</v>
      </c>
      <c r="D4577" t="s">
        <v>28</v>
      </c>
      <c r="E4577" t="s">
        <v>29</v>
      </c>
      <c r="F4577" t="s">
        <v>20</v>
      </c>
      <c r="G4577" s="4">
        <v>9</v>
      </c>
      <c r="H4577" s="1">
        <v>92648</v>
      </c>
      <c r="I4577" s="3" t="s">
        <v>21</v>
      </c>
      <c r="J4577" s="4">
        <v>3</v>
      </c>
    </row>
    <row r="4578" spans="1:10" x14ac:dyDescent="0.35">
      <c r="A4578" s="2" t="s">
        <v>4614</v>
      </c>
      <c r="B4578" s="4">
        <v>47</v>
      </c>
      <c r="C4578" t="s">
        <v>17</v>
      </c>
      <c r="D4578" t="s">
        <v>41</v>
      </c>
      <c r="E4578" t="s">
        <v>65</v>
      </c>
      <c r="F4578" t="s">
        <v>20</v>
      </c>
      <c r="G4578" s="4">
        <v>1</v>
      </c>
      <c r="H4578" s="1">
        <v>53698</v>
      </c>
      <c r="I4578" s="3" t="s">
        <v>15</v>
      </c>
      <c r="J4578" s="4">
        <v>4</v>
      </c>
    </row>
    <row r="4579" spans="1:10" x14ac:dyDescent="0.35">
      <c r="A4579" s="2" t="s">
        <v>4615</v>
      </c>
      <c r="B4579" s="4">
        <v>22</v>
      </c>
      <c r="C4579" t="s">
        <v>17</v>
      </c>
      <c r="D4579" t="s">
        <v>23</v>
      </c>
      <c r="E4579" t="s">
        <v>42</v>
      </c>
      <c r="F4579" t="s">
        <v>14</v>
      </c>
      <c r="G4579" s="4">
        <v>11</v>
      </c>
      <c r="H4579" s="1">
        <v>84441</v>
      </c>
      <c r="I4579" s="3" t="s">
        <v>21</v>
      </c>
      <c r="J4579" s="4">
        <v>3</v>
      </c>
    </row>
    <row r="4580" spans="1:10" x14ac:dyDescent="0.35">
      <c r="A4580" s="2" t="s">
        <v>4616</v>
      </c>
      <c r="B4580" s="4">
        <v>71</v>
      </c>
      <c r="C4580" t="s">
        <v>11</v>
      </c>
      <c r="D4580" t="s">
        <v>18</v>
      </c>
      <c r="E4580" t="s">
        <v>24</v>
      </c>
      <c r="F4580" t="s">
        <v>20</v>
      </c>
      <c r="G4580" s="4">
        <v>14</v>
      </c>
      <c r="H4580" s="1">
        <v>20443</v>
      </c>
      <c r="I4580" s="3" t="s">
        <v>21</v>
      </c>
      <c r="J4580" s="4">
        <v>2</v>
      </c>
    </row>
    <row r="4581" spans="1:10" x14ac:dyDescent="0.35">
      <c r="A4581" s="2" t="s">
        <v>4617</v>
      </c>
      <c r="B4581" s="4">
        <v>7</v>
      </c>
      <c r="C4581" t="s">
        <v>17</v>
      </c>
      <c r="D4581" t="s">
        <v>12</v>
      </c>
      <c r="E4581" t="s">
        <v>53</v>
      </c>
      <c r="F4581" t="s">
        <v>30</v>
      </c>
      <c r="G4581" s="4">
        <v>2</v>
      </c>
      <c r="H4581" s="1">
        <v>36423</v>
      </c>
      <c r="I4581" s="3" t="s">
        <v>15</v>
      </c>
      <c r="J4581" s="4">
        <v>1</v>
      </c>
    </row>
    <row r="4582" spans="1:10" x14ac:dyDescent="0.35">
      <c r="A4582" s="2" t="s">
        <v>4618</v>
      </c>
      <c r="B4582" s="4">
        <v>24</v>
      </c>
      <c r="C4582" t="s">
        <v>17</v>
      </c>
      <c r="D4582" t="s">
        <v>23</v>
      </c>
      <c r="E4582" t="s">
        <v>37</v>
      </c>
      <c r="F4582" t="s">
        <v>30</v>
      </c>
      <c r="G4582" s="4">
        <v>15</v>
      </c>
      <c r="H4582" s="1">
        <v>93364</v>
      </c>
      <c r="I4582" s="3" t="s">
        <v>21</v>
      </c>
      <c r="J4582" s="4">
        <v>2</v>
      </c>
    </row>
    <row r="4583" spans="1:10" x14ac:dyDescent="0.35">
      <c r="A4583" s="2" t="s">
        <v>4619</v>
      </c>
      <c r="B4583" s="4">
        <v>30</v>
      </c>
      <c r="C4583" t="s">
        <v>11</v>
      </c>
      <c r="D4583" t="s">
        <v>28</v>
      </c>
      <c r="E4583" t="s">
        <v>24</v>
      </c>
      <c r="F4583" t="s">
        <v>30</v>
      </c>
      <c r="G4583" s="4">
        <v>13</v>
      </c>
      <c r="H4583" s="1">
        <v>55832</v>
      </c>
      <c r="I4583" s="3" t="s">
        <v>15</v>
      </c>
      <c r="J4583" s="4">
        <v>5</v>
      </c>
    </row>
    <row r="4584" spans="1:10" x14ac:dyDescent="0.35">
      <c r="A4584" s="2" t="s">
        <v>4620</v>
      </c>
      <c r="B4584" s="4">
        <v>12</v>
      </c>
      <c r="C4584" t="s">
        <v>17</v>
      </c>
      <c r="D4584" t="s">
        <v>23</v>
      </c>
      <c r="E4584" t="s">
        <v>34</v>
      </c>
      <c r="F4584" t="s">
        <v>30</v>
      </c>
      <c r="G4584" s="4">
        <v>6</v>
      </c>
      <c r="H4584" s="1">
        <v>84635</v>
      </c>
      <c r="I4584" s="3" t="s">
        <v>15</v>
      </c>
      <c r="J4584" s="4">
        <v>1</v>
      </c>
    </row>
    <row r="4585" spans="1:10" x14ac:dyDescent="0.35">
      <c r="A4585" s="2" t="s">
        <v>4621</v>
      </c>
      <c r="B4585" s="4">
        <v>90</v>
      </c>
      <c r="C4585" t="s">
        <v>17</v>
      </c>
      <c r="D4585" t="s">
        <v>39</v>
      </c>
      <c r="E4585" t="s">
        <v>34</v>
      </c>
      <c r="F4585" t="s">
        <v>30</v>
      </c>
      <c r="G4585" s="4">
        <v>3</v>
      </c>
      <c r="H4585" s="1">
        <v>9736</v>
      </c>
      <c r="I4585" s="3" t="s">
        <v>21</v>
      </c>
      <c r="J4585" s="4">
        <v>5</v>
      </c>
    </row>
    <row r="4586" spans="1:10" x14ac:dyDescent="0.35">
      <c r="A4586" s="2" t="s">
        <v>4622</v>
      </c>
      <c r="B4586" s="4">
        <v>62</v>
      </c>
      <c r="C4586" t="s">
        <v>11</v>
      </c>
      <c r="D4586" t="s">
        <v>28</v>
      </c>
      <c r="E4586" t="s">
        <v>29</v>
      </c>
      <c r="F4586" t="s">
        <v>30</v>
      </c>
      <c r="G4586" s="4">
        <v>9</v>
      </c>
      <c r="H4586" s="1">
        <v>98263</v>
      </c>
      <c r="I4586" s="3" t="s">
        <v>21</v>
      </c>
      <c r="J4586" s="4">
        <v>2</v>
      </c>
    </row>
    <row r="4587" spans="1:10" x14ac:dyDescent="0.35">
      <c r="A4587" s="2" t="s">
        <v>4623</v>
      </c>
      <c r="B4587" s="4">
        <v>90</v>
      </c>
      <c r="C4587" t="s">
        <v>17</v>
      </c>
      <c r="D4587" t="s">
        <v>39</v>
      </c>
      <c r="E4587" t="s">
        <v>29</v>
      </c>
      <c r="F4587" t="s">
        <v>20</v>
      </c>
      <c r="G4587" s="4">
        <v>10</v>
      </c>
      <c r="H4587" s="1">
        <v>18088</v>
      </c>
      <c r="I4587" s="3" t="s">
        <v>15</v>
      </c>
      <c r="J4587" s="4">
        <v>4</v>
      </c>
    </row>
    <row r="4588" spans="1:10" x14ac:dyDescent="0.35">
      <c r="A4588" s="2" t="s">
        <v>4624</v>
      </c>
      <c r="B4588" s="4">
        <v>82</v>
      </c>
      <c r="C4588" t="s">
        <v>17</v>
      </c>
      <c r="D4588" t="s">
        <v>41</v>
      </c>
      <c r="E4588" t="s">
        <v>13</v>
      </c>
      <c r="F4588" t="s">
        <v>20</v>
      </c>
      <c r="G4588" s="4">
        <v>13</v>
      </c>
      <c r="H4588" s="1">
        <v>17386</v>
      </c>
      <c r="I4588" s="3" t="s">
        <v>15</v>
      </c>
      <c r="J4588" s="4">
        <v>3</v>
      </c>
    </row>
    <row r="4589" spans="1:10" x14ac:dyDescent="0.35">
      <c r="A4589" s="2" t="s">
        <v>4625</v>
      </c>
      <c r="B4589" s="4">
        <v>58</v>
      </c>
      <c r="C4589" t="s">
        <v>17</v>
      </c>
      <c r="D4589" t="s">
        <v>41</v>
      </c>
      <c r="E4589" t="s">
        <v>19</v>
      </c>
      <c r="F4589" t="s">
        <v>30</v>
      </c>
      <c r="G4589" s="4">
        <v>15</v>
      </c>
      <c r="H4589" s="1">
        <v>35150</v>
      </c>
      <c r="I4589" s="3" t="s">
        <v>21</v>
      </c>
      <c r="J4589" s="4">
        <v>1</v>
      </c>
    </row>
    <row r="4590" spans="1:10" x14ac:dyDescent="0.35">
      <c r="A4590" s="2" t="s">
        <v>4626</v>
      </c>
      <c r="B4590" s="4">
        <v>57</v>
      </c>
      <c r="C4590" t="s">
        <v>11</v>
      </c>
      <c r="D4590" t="s">
        <v>36</v>
      </c>
      <c r="E4590" t="s">
        <v>37</v>
      </c>
      <c r="F4590" t="s">
        <v>30</v>
      </c>
      <c r="G4590" s="4">
        <v>8</v>
      </c>
      <c r="H4590" s="1">
        <v>42171</v>
      </c>
      <c r="I4590" s="3" t="s">
        <v>15</v>
      </c>
      <c r="J4590" s="4">
        <v>3</v>
      </c>
    </row>
    <row r="4591" spans="1:10" x14ac:dyDescent="0.35">
      <c r="A4591" s="2" t="s">
        <v>4627</v>
      </c>
      <c r="B4591" s="4">
        <v>21</v>
      </c>
      <c r="C4591" t="s">
        <v>17</v>
      </c>
      <c r="D4591" t="s">
        <v>33</v>
      </c>
      <c r="E4591" t="s">
        <v>19</v>
      </c>
      <c r="F4591" t="s">
        <v>14</v>
      </c>
      <c r="G4591" s="4">
        <v>11</v>
      </c>
      <c r="H4591" s="1">
        <v>60882</v>
      </c>
      <c r="I4591" s="3" t="s">
        <v>15</v>
      </c>
      <c r="J4591" s="4">
        <v>4</v>
      </c>
    </row>
    <row r="4592" spans="1:10" x14ac:dyDescent="0.35">
      <c r="A4592" s="2" t="s">
        <v>4628</v>
      </c>
      <c r="B4592" s="4">
        <v>70</v>
      </c>
      <c r="C4592" t="s">
        <v>11</v>
      </c>
      <c r="D4592" t="s">
        <v>36</v>
      </c>
      <c r="E4592" t="s">
        <v>13</v>
      </c>
      <c r="F4592" t="s">
        <v>20</v>
      </c>
      <c r="G4592" s="4">
        <v>7</v>
      </c>
      <c r="H4592" s="1">
        <v>25589</v>
      </c>
      <c r="I4592" s="3" t="s">
        <v>21</v>
      </c>
      <c r="J4592" s="4">
        <v>3</v>
      </c>
    </row>
    <row r="4593" spans="1:10" x14ac:dyDescent="0.35">
      <c r="A4593" s="2" t="s">
        <v>4629</v>
      </c>
      <c r="B4593" s="4">
        <v>60</v>
      </c>
      <c r="C4593" t="s">
        <v>17</v>
      </c>
      <c r="D4593" t="s">
        <v>41</v>
      </c>
      <c r="E4593" t="s">
        <v>42</v>
      </c>
      <c r="F4593" t="s">
        <v>14</v>
      </c>
      <c r="G4593" s="4">
        <v>8</v>
      </c>
      <c r="H4593" s="1">
        <v>23421</v>
      </c>
      <c r="I4593" s="3" t="s">
        <v>21</v>
      </c>
      <c r="J4593" s="4">
        <v>1</v>
      </c>
    </row>
    <row r="4594" spans="1:10" x14ac:dyDescent="0.35">
      <c r="A4594" s="2" t="s">
        <v>4630</v>
      </c>
      <c r="B4594" s="4">
        <v>13</v>
      </c>
      <c r="C4594" t="s">
        <v>11</v>
      </c>
      <c r="D4594" t="s">
        <v>12</v>
      </c>
      <c r="E4594" t="s">
        <v>42</v>
      </c>
      <c r="F4594" t="s">
        <v>14</v>
      </c>
      <c r="G4594" s="4">
        <v>4</v>
      </c>
      <c r="H4594" s="1">
        <v>21918</v>
      </c>
      <c r="I4594" s="3" t="s">
        <v>15</v>
      </c>
      <c r="J4594" s="4">
        <v>3</v>
      </c>
    </row>
    <row r="4595" spans="1:10" x14ac:dyDescent="0.35">
      <c r="A4595" s="2" t="s">
        <v>4631</v>
      </c>
      <c r="B4595" s="4">
        <v>20</v>
      </c>
      <c r="C4595" t="s">
        <v>17</v>
      </c>
      <c r="D4595" t="s">
        <v>23</v>
      </c>
      <c r="E4595" t="s">
        <v>19</v>
      </c>
      <c r="F4595" t="s">
        <v>14</v>
      </c>
      <c r="G4595" s="4">
        <v>7</v>
      </c>
      <c r="H4595" s="1">
        <v>28484</v>
      </c>
      <c r="I4595" s="3" t="s">
        <v>15</v>
      </c>
      <c r="J4595" s="4">
        <v>1</v>
      </c>
    </row>
    <row r="4596" spans="1:10" x14ac:dyDescent="0.35">
      <c r="A4596" s="2" t="s">
        <v>4632</v>
      </c>
      <c r="B4596" s="4">
        <v>34</v>
      </c>
      <c r="C4596" t="s">
        <v>17</v>
      </c>
      <c r="D4596" t="s">
        <v>33</v>
      </c>
      <c r="E4596" t="s">
        <v>65</v>
      </c>
      <c r="F4596" t="s">
        <v>20</v>
      </c>
      <c r="G4596" s="4">
        <v>11</v>
      </c>
      <c r="H4596" s="1">
        <v>92286</v>
      </c>
      <c r="I4596" s="3" t="s">
        <v>21</v>
      </c>
      <c r="J4596" s="4">
        <v>3</v>
      </c>
    </row>
    <row r="4597" spans="1:10" x14ac:dyDescent="0.35">
      <c r="A4597" s="2" t="s">
        <v>4633</v>
      </c>
      <c r="B4597" s="4">
        <v>84</v>
      </c>
      <c r="C4597" t="s">
        <v>17</v>
      </c>
      <c r="D4597" t="s">
        <v>26</v>
      </c>
      <c r="E4597" t="s">
        <v>53</v>
      </c>
      <c r="F4597" t="s">
        <v>30</v>
      </c>
      <c r="G4597" s="4">
        <v>4</v>
      </c>
      <c r="H4597" s="1">
        <v>17494</v>
      </c>
      <c r="I4597" s="3" t="s">
        <v>15</v>
      </c>
      <c r="J4597" s="4">
        <v>1</v>
      </c>
    </row>
    <row r="4598" spans="1:10" x14ac:dyDescent="0.35">
      <c r="A4598" s="2" t="s">
        <v>4634</v>
      </c>
      <c r="B4598" s="4">
        <v>35</v>
      </c>
      <c r="C4598" t="s">
        <v>17</v>
      </c>
      <c r="D4598" t="s">
        <v>39</v>
      </c>
      <c r="E4598" t="s">
        <v>34</v>
      </c>
      <c r="F4598" t="s">
        <v>30</v>
      </c>
      <c r="G4598" s="4">
        <v>15</v>
      </c>
      <c r="H4598" s="1">
        <v>10068</v>
      </c>
      <c r="I4598" s="3" t="s">
        <v>15</v>
      </c>
      <c r="J4598" s="4">
        <v>1</v>
      </c>
    </row>
    <row r="4599" spans="1:10" x14ac:dyDescent="0.35">
      <c r="A4599" s="2" t="s">
        <v>4635</v>
      </c>
      <c r="B4599" s="4">
        <v>6</v>
      </c>
      <c r="C4599" t="s">
        <v>11</v>
      </c>
      <c r="D4599" t="s">
        <v>23</v>
      </c>
      <c r="E4599" t="s">
        <v>29</v>
      </c>
      <c r="F4599" t="s">
        <v>30</v>
      </c>
      <c r="G4599" s="4">
        <v>11</v>
      </c>
      <c r="H4599" s="1">
        <v>30896</v>
      </c>
      <c r="I4599" s="3" t="s">
        <v>21</v>
      </c>
      <c r="J4599" s="4">
        <v>3</v>
      </c>
    </row>
    <row r="4600" spans="1:10" x14ac:dyDescent="0.35">
      <c r="A4600" s="2" t="s">
        <v>4636</v>
      </c>
      <c r="B4600" s="4">
        <v>55</v>
      </c>
      <c r="C4600" t="s">
        <v>11</v>
      </c>
      <c r="D4600" t="s">
        <v>12</v>
      </c>
      <c r="E4600" t="s">
        <v>27</v>
      </c>
      <c r="F4600" t="s">
        <v>30</v>
      </c>
      <c r="G4600" s="4">
        <v>12</v>
      </c>
      <c r="H4600" s="1">
        <v>7518</v>
      </c>
      <c r="I4600" s="3" t="s">
        <v>15</v>
      </c>
      <c r="J4600" s="4">
        <v>4</v>
      </c>
    </row>
    <row r="4601" spans="1:10" x14ac:dyDescent="0.35">
      <c r="A4601" s="2" t="s">
        <v>4637</v>
      </c>
      <c r="B4601" s="4">
        <v>30</v>
      </c>
      <c r="C4601" t="s">
        <v>11</v>
      </c>
      <c r="D4601" t="s">
        <v>36</v>
      </c>
      <c r="E4601" t="s">
        <v>34</v>
      </c>
      <c r="F4601" t="s">
        <v>14</v>
      </c>
      <c r="G4601" s="4">
        <v>11</v>
      </c>
      <c r="H4601" s="1">
        <v>10087</v>
      </c>
      <c r="I4601" s="3" t="s">
        <v>21</v>
      </c>
      <c r="J4601" s="4">
        <v>1</v>
      </c>
    </row>
    <row r="4602" spans="1:10" x14ac:dyDescent="0.35">
      <c r="A4602" s="2" t="s">
        <v>4638</v>
      </c>
      <c r="B4602" s="4">
        <v>26</v>
      </c>
      <c r="C4602" t="s">
        <v>11</v>
      </c>
      <c r="D4602" t="s">
        <v>18</v>
      </c>
      <c r="E4602" t="s">
        <v>13</v>
      </c>
      <c r="F4602" t="s">
        <v>30</v>
      </c>
      <c r="G4602" s="4">
        <v>4</v>
      </c>
      <c r="H4602" s="1">
        <v>50533</v>
      </c>
      <c r="I4602" s="3" t="s">
        <v>15</v>
      </c>
      <c r="J4602" s="4">
        <v>1</v>
      </c>
    </row>
    <row r="4603" spans="1:10" x14ac:dyDescent="0.35">
      <c r="A4603" s="2" t="s">
        <v>4639</v>
      </c>
      <c r="B4603" s="4">
        <v>32</v>
      </c>
      <c r="C4603" t="s">
        <v>17</v>
      </c>
      <c r="D4603" t="s">
        <v>26</v>
      </c>
      <c r="E4603" t="s">
        <v>13</v>
      </c>
      <c r="F4603" t="s">
        <v>20</v>
      </c>
      <c r="G4603" s="4">
        <v>6</v>
      </c>
      <c r="H4603" s="1">
        <v>95541</v>
      </c>
      <c r="I4603" s="3" t="s">
        <v>21</v>
      </c>
      <c r="J4603" s="4">
        <v>4</v>
      </c>
    </row>
    <row r="4604" spans="1:10" x14ac:dyDescent="0.35">
      <c r="A4604" s="2" t="s">
        <v>4640</v>
      </c>
      <c r="B4604" s="4">
        <v>11</v>
      </c>
      <c r="C4604" t="s">
        <v>11</v>
      </c>
      <c r="D4604" t="s">
        <v>36</v>
      </c>
      <c r="E4604" t="s">
        <v>27</v>
      </c>
      <c r="F4604" t="s">
        <v>30</v>
      </c>
      <c r="G4604" s="4">
        <v>9</v>
      </c>
      <c r="H4604" s="1">
        <v>89217</v>
      </c>
      <c r="I4604" s="3" t="s">
        <v>15</v>
      </c>
      <c r="J4604" s="4">
        <v>2</v>
      </c>
    </row>
    <row r="4605" spans="1:10" x14ac:dyDescent="0.35">
      <c r="A4605" s="2" t="s">
        <v>4641</v>
      </c>
      <c r="B4605" s="4">
        <v>40</v>
      </c>
      <c r="C4605" t="s">
        <v>11</v>
      </c>
      <c r="D4605" t="s">
        <v>28</v>
      </c>
      <c r="E4605" t="s">
        <v>53</v>
      </c>
      <c r="F4605" t="s">
        <v>20</v>
      </c>
      <c r="G4605" s="4">
        <v>10</v>
      </c>
      <c r="H4605" s="1">
        <v>17286</v>
      </c>
      <c r="I4605" s="3" t="s">
        <v>21</v>
      </c>
      <c r="J4605" s="4">
        <v>2</v>
      </c>
    </row>
    <row r="4606" spans="1:10" x14ac:dyDescent="0.35">
      <c r="A4606" s="2" t="s">
        <v>4642</v>
      </c>
      <c r="B4606" s="4">
        <v>70</v>
      </c>
      <c r="C4606" t="s">
        <v>17</v>
      </c>
      <c r="D4606" t="s">
        <v>41</v>
      </c>
      <c r="E4606" t="s">
        <v>19</v>
      </c>
      <c r="F4606" t="s">
        <v>14</v>
      </c>
      <c r="G4606" s="4">
        <v>10</v>
      </c>
      <c r="H4606" s="1">
        <v>96704</v>
      </c>
      <c r="I4606" s="3" t="s">
        <v>15</v>
      </c>
      <c r="J4606" s="4">
        <v>5</v>
      </c>
    </row>
    <row r="4607" spans="1:10" x14ac:dyDescent="0.35">
      <c r="A4607" s="2" t="s">
        <v>4643</v>
      </c>
      <c r="B4607" s="4">
        <v>19</v>
      </c>
      <c r="C4607" t="s">
        <v>17</v>
      </c>
      <c r="D4607" t="s">
        <v>49</v>
      </c>
      <c r="E4607" t="s">
        <v>65</v>
      </c>
      <c r="F4607" t="s">
        <v>30</v>
      </c>
      <c r="G4607" s="4">
        <v>8</v>
      </c>
      <c r="H4607" s="1">
        <v>39026</v>
      </c>
      <c r="I4607" s="3" t="s">
        <v>21</v>
      </c>
      <c r="J4607" s="4">
        <v>3</v>
      </c>
    </row>
    <row r="4608" spans="1:10" x14ac:dyDescent="0.35">
      <c r="A4608" s="2" t="s">
        <v>4644</v>
      </c>
      <c r="B4608" s="4">
        <v>61</v>
      </c>
      <c r="C4608" t="s">
        <v>11</v>
      </c>
      <c r="D4608" t="s">
        <v>23</v>
      </c>
      <c r="E4608" t="s">
        <v>19</v>
      </c>
      <c r="F4608" t="s">
        <v>20</v>
      </c>
      <c r="G4608" s="4">
        <v>12</v>
      </c>
      <c r="H4608" s="1">
        <v>97622</v>
      </c>
      <c r="I4608" s="3" t="s">
        <v>21</v>
      </c>
      <c r="J4608" s="4">
        <v>3</v>
      </c>
    </row>
    <row r="4609" spans="1:10" x14ac:dyDescent="0.35">
      <c r="A4609" s="2" t="s">
        <v>4645</v>
      </c>
      <c r="B4609" s="4">
        <v>42</v>
      </c>
      <c r="C4609" t="s">
        <v>11</v>
      </c>
      <c r="D4609" t="s">
        <v>23</v>
      </c>
      <c r="E4609" t="s">
        <v>13</v>
      </c>
      <c r="F4609" t="s">
        <v>30</v>
      </c>
      <c r="G4609" s="4">
        <v>2</v>
      </c>
      <c r="H4609" s="1">
        <v>20478</v>
      </c>
      <c r="I4609" s="3" t="s">
        <v>15</v>
      </c>
      <c r="J4609" s="4">
        <v>5</v>
      </c>
    </row>
    <row r="4610" spans="1:10" x14ac:dyDescent="0.35">
      <c r="A4610" s="2" t="s">
        <v>4646</v>
      </c>
      <c r="B4610" s="4">
        <v>5</v>
      </c>
      <c r="C4610" t="s">
        <v>11</v>
      </c>
      <c r="D4610" t="s">
        <v>18</v>
      </c>
      <c r="E4610" t="s">
        <v>37</v>
      </c>
      <c r="F4610" t="s">
        <v>14</v>
      </c>
      <c r="G4610" s="4">
        <v>11</v>
      </c>
      <c r="H4610" s="1">
        <v>44688</v>
      </c>
      <c r="I4610" s="3" t="s">
        <v>15</v>
      </c>
      <c r="J4610" s="4">
        <v>1</v>
      </c>
    </row>
    <row r="4611" spans="1:10" x14ac:dyDescent="0.35">
      <c r="A4611" s="2" t="s">
        <v>4647</v>
      </c>
      <c r="B4611" s="4">
        <v>86</v>
      </c>
      <c r="C4611" t="s">
        <v>17</v>
      </c>
      <c r="D4611" t="s">
        <v>49</v>
      </c>
      <c r="E4611" t="s">
        <v>65</v>
      </c>
      <c r="F4611" t="s">
        <v>30</v>
      </c>
      <c r="G4611" s="4">
        <v>2</v>
      </c>
      <c r="H4611" s="1">
        <v>26765</v>
      </c>
      <c r="I4611" s="3" t="s">
        <v>15</v>
      </c>
      <c r="J4611" s="4">
        <v>4</v>
      </c>
    </row>
    <row r="4612" spans="1:10" x14ac:dyDescent="0.35">
      <c r="A4612" s="2" t="s">
        <v>4648</v>
      </c>
      <c r="B4612" s="4">
        <v>87</v>
      </c>
      <c r="C4612" t="s">
        <v>17</v>
      </c>
      <c r="D4612" t="s">
        <v>41</v>
      </c>
      <c r="E4612" t="s">
        <v>13</v>
      </c>
      <c r="F4612" t="s">
        <v>30</v>
      </c>
      <c r="G4612" s="4">
        <v>15</v>
      </c>
      <c r="H4612" s="1">
        <v>33201</v>
      </c>
      <c r="I4612" s="3" t="s">
        <v>21</v>
      </c>
      <c r="J4612" s="4">
        <v>4</v>
      </c>
    </row>
    <row r="4613" spans="1:10" x14ac:dyDescent="0.35">
      <c r="A4613" s="2" t="s">
        <v>4649</v>
      </c>
      <c r="B4613" s="4">
        <v>40</v>
      </c>
      <c r="C4613" t="s">
        <v>11</v>
      </c>
      <c r="D4613" t="s">
        <v>18</v>
      </c>
      <c r="E4613" t="s">
        <v>27</v>
      </c>
      <c r="F4613" t="s">
        <v>14</v>
      </c>
      <c r="G4613" s="4">
        <v>6</v>
      </c>
      <c r="H4613" s="1">
        <v>12833</v>
      </c>
      <c r="I4613" s="3" t="s">
        <v>15</v>
      </c>
      <c r="J4613" s="4">
        <v>3</v>
      </c>
    </row>
    <row r="4614" spans="1:10" x14ac:dyDescent="0.35">
      <c r="A4614" s="2" t="s">
        <v>4650</v>
      </c>
      <c r="B4614" s="4">
        <v>87</v>
      </c>
      <c r="C4614" t="s">
        <v>11</v>
      </c>
      <c r="D4614" t="s">
        <v>39</v>
      </c>
      <c r="E4614" t="s">
        <v>34</v>
      </c>
      <c r="F4614" t="s">
        <v>14</v>
      </c>
      <c r="G4614" s="4">
        <v>7</v>
      </c>
      <c r="H4614" s="1">
        <v>36792</v>
      </c>
      <c r="I4614" s="3" t="s">
        <v>21</v>
      </c>
      <c r="J4614" s="4">
        <v>1</v>
      </c>
    </row>
    <row r="4615" spans="1:10" x14ac:dyDescent="0.35">
      <c r="A4615" s="2" t="s">
        <v>4651</v>
      </c>
      <c r="B4615" s="4">
        <v>46</v>
      </c>
      <c r="C4615" t="s">
        <v>11</v>
      </c>
      <c r="D4615" t="s">
        <v>49</v>
      </c>
      <c r="E4615" t="s">
        <v>13</v>
      </c>
      <c r="F4615" t="s">
        <v>14</v>
      </c>
      <c r="G4615" s="4">
        <v>2</v>
      </c>
      <c r="H4615" s="1">
        <v>48986</v>
      </c>
      <c r="I4615" s="3" t="s">
        <v>21</v>
      </c>
      <c r="J4615" s="4">
        <v>5</v>
      </c>
    </row>
    <row r="4616" spans="1:10" x14ac:dyDescent="0.35">
      <c r="A4616" s="2" t="s">
        <v>4652</v>
      </c>
      <c r="B4616" s="4">
        <v>52</v>
      </c>
      <c r="C4616" t="s">
        <v>11</v>
      </c>
      <c r="D4616" t="s">
        <v>49</v>
      </c>
      <c r="E4616" t="s">
        <v>34</v>
      </c>
      <c r="F4616" t="s">
        <v>30</v>
      </c>
      <c r="G4616" s="4">
        <v>4</v>
      </c>
      <c r="H4616" s="1">
        <v>52299</v>
      </c>
      <c r="I4616" s="3" t="s">
        <v>21</v>
      </c>
      <c r="J4616" s="4">
        <v>3</v>
      </c>
    </row>
    <row r="4617" spans="1:10" x14ac:dyDescent="0.35">
      <c r="A4617" s="2" t="s">
        <v>4653</v>
      </c>
      <c r="B4617" s="4">
        <v>43</v>
      </c>
      <c r="C4617" t="s">
        <v>11</v>
      </c>
      <c r="D4617" t="s">
        <v>23</v>
      </c>
      <c r="E4617" t="s">
        <v>34</v>
      </c>
      <c r="F4617" t="s">
        <v>20</v>
      </c>
      <c r="G4617" s="4">
        <v>11</v>
      </c>
      <c r="H4617" s="1">
        <v>77786</v>
      </c>
      <c r="I4617" s="3" t="s">
        <v>21</v>
      </c>
      <c r="J4617" s="4">
        <v>5</v>
      </c>
    </row>
    <row r="4618" spans="1:10" x14ac:dyDescent="0.35">
      <c r="A4618" s="2" t="s">
        <v>4654</v>
      </c>
      <c r="B4618" s="4">
        <v>43</v>
      </c>
      <c r="C4618" t="s">
        <v>17</v>
      </c>
      <c r="D4618" t="s">
        <v>26</v>
      </c>
      <c r="E4618" t="s">
        <v>42</v>
      </c>
      <c r="F4618" t="s">
        <v>20</v>
      </c>
      <c r="G4618" s="4">
        <v>12</v>
      </c>
      <c r="H4618" s="1">
        <v>28470</v>
      </c>
      <c r="I4618" s="3" t="s">
        <v>21</v>
      </c>
      <c r="J4618" s="4">
        <v>5</v>
      </c>
    </row>
    <row r="4619" spans="1:10" x14ac:dyDescent="0.35">
      <c r="A4619" s="2" t="s">
        <v>4655</v>
      </c>
      <c r="B4619" s="4">
        <v>49</v>
      </c>
      <c r="C4619" t="s">
        <v>11</v>
      </c>
      <c r="D4619" t="s">
        <v>28</v>
      </c>
      <c r="E4619" t="s">
        <v>34</v>
      </c>
      <c r="F4619" t="s">
        <v>30</v>
      </c>
      <c r="G4619" s="4">
        <v>5</v>
      </c>
      <c r="H4619" s="1">
        <v>72806</v>
      </c>
      <c r="I4619" s="3" t="s">
        <v>21</v>
      </c>
      <c r="J4619" s="4">
        <v>5</v>
      </c>
    </row>
    <row r="4620" spans="1:10" x14ac:dyDescent="0.35">
      <c r="A4620" s="2" t="s">
        <v>4656</v>
      </c>
      <c r="B4620" s="4">
        <v>22</v>
      </c>
      <c r="C4620" t="s">
        <v>11</v>
      </c>
      <c r="D4620" t="s">
        <v>39</v>
      </c>
      <c r="E4620" t="s">
        <v>29</v>
      </c>
      <c r="F4620" t="s">
        <v>14</v>
      </c>
      <c r="G4620" s="4">
        <v>10</v>
      </c>
      <c r="H4620" s="1">
        <v>51322</v>
      </c>
      <c r="I4620" s="3" t="s">
        <v>15</v>
      </c>
      <c r="J4620" s="4">
        <v>5</v>
      </c>
    </row>
    <row r="4621" spans="1:10" x14ac:dyDescent="0.35">
      <c r="A4621" s="2" t="s">
        <v>4657</v>
      </c>
      <c r="B4621" s="4">
        <v>55</v>
      </c>
      <c r="C4621" t="s">
        <v>11</v>
      </c>
      <c r="D4621" t="s">
        <v>12</v>
      </c>
      <c r="E4621" t="s">
        <v>53</v>
      </c>
      <c r="F4621" t="s">
        <v>20</v>
      </c>
      <c r="G4621" s="4">
        <v>11</v>
      </c>
      <c r="H4621" s="1">
        <v>74893</v>
      </c>
      <c r="I4621" s="3" t="s">
        <v>15</v>
      </c>
      <c r="J4621" s="4">
        <v>1</v>
      </c>
    </row>
    <row r="4622" spans="1:10" x14ac:dyDescent="0.35">
      <c r="A4622" s="2" t="s">
        <v>4658</v>
      </c>
      <c r="B4622" s="4">
        <v>1</v>
      </c>
      <c r="C4622" t="s">
        <v>17</v>
      </c>
      <c r="D4622" t="s">
        <v>33</v>
      </c>
      <c r="E4622" t="s">
        <v>53</v>
      </c>
      <c r="F4622" t="s">
        <v>30</v>
      </c>
      <c r="G4622" s="4">
        <v>11</v>
      </c>
      <c r="H4622" s="1">
        <v>66902</v>
      </c>
      <c r="I4622" s="3" t="s">
        <v>15</v>
      </c>
      <c r="J4622" s="4">
        <v>3</v>
      </c>
    </row>
    <row r="4623" spans="1:10" x14ac:dyDescent="0.35">
      <c r="A4623" s="2" t="s">
        <v>4659</v>
      </c>
      <c r="B4623" s="4">
        <v>63</v>
      </c>
      <c r="C4623" t="s">
        <v>17</v>
      </c>
      <c r="D4623" t="s">
        <v>36</v>
      </c>
      <c r="E4623" t="s">
        <v>19</v>
      </c>
      <c r="F4623" t="s">
        <v>30</v>
      </c>
      <c r="G4623" s="4">
        <v>14</v>
      </c>
      <c r="H4623" s="1">
        <v>22754</v>
      </c>
      <c r="I4623" s="3" t="s">
        <v>21</v>
      </c>
      <c r="J4623" s="4">
        <v>3</v>
      </c>
    </row>
    <row r="4624" spans="1:10" x14ac:dyDescent="0.35">
      <c r="A4624" s="2" t="s">
        <v>4660</v>
      </c>
      <c r="B4624" s="4">
        <v>6</v>
      </c>
      <c r="C4624" t="s">
        <v>17</v>
      </c>
      <c r="D4624" t="s">
        <v>12</v>
      </c>
      <c r="E4624" t="s">
        <v>27</v>
      </c>
      <c r="F4624" t="s">
        <v>14</v>
      </c>
      <c r="G4624" s="4">
        <v>4</v>
      </c>
      <c r="H4624" s="1">
        <v>13392</v>
      </c>
      <c r="I4624" s="3" t="s">
        <v>15</v>
      </c>
      <c r="J4624" s="4">
        <v>1</v>
      </c>
    </row>
    <row r="4625" spans="1:10" x14ac:dyDescent="0.35">
      <c r="A4625" s="2" t="s">
        <v>4661</v>
      </c>
      <c r="B4625" s="4">
        <v>9</v>
      </c>
      <c r="C4625" t="s">
        <v>17</v>
      </c>
      <c r="D4625" t="s">
        <v>49</v>
      </c>
      <c r="E4625" t="s">
        <v>53</v>
      </c>
      <c r="F4625" t="s">
        <v>14</v>
      </c>
      <c r="G4625" s="4">
        <v>7</v>
      </c>
      <c r="H4625" s="1">
        <v>5288</v>
      </c>
      <c r="I4625" s="3" t="s">
        <v>15</v>
      </c>
      <c r="J4625" s="4">
        <v>2</v>
      </c>
    </row>
    <row r="4626" spans="1:10" x14ac:dyDescent="0.35">
      <c r="A4626" s="2" t="s">
        <v>4662</v>
      </c>
      <c r="B4626" s="4">
        <v>9</v>
      </c>
      <c r="C4626" t="s">
        <v>11</v>
      </c>
      <c r="D4626" t="s">
        <v>49</v>
      </c>
      <c r="E4626" t="s">
        <v>37</v>
      </c>
      <c r="F4626" t="s">
        <v>30</v>
      </c>
      <c r="G4626" s="4">
        <v>9</v>
      </c>
      <c r="H4626" s="1">
        <v>72930</v>
      </c>
      <c r="I4626" s="3" t="s">
        <v>21</v>
      </c>
      <c r="J4626" s="4">
        <v>2</v>
      </c>
    </row>
    <row r="4627" spans="1:10" x14ac:dyDescent="0.35">
      <c r="A4627" s="2" t="s">
        <v>4663</v>
      </c>
      <c r="B4627" s="4">
        <v>50</v>
      </c>
      <c r="C4627" t="s">
        <v>11</v>
      </c>
      <c r="D4627" t="s">
        <v>12</v>
      </c>
      <c r="E4627" t="s">
        <v>13</v>
      </c>
      <c r="F4627" t="s">
        <v>30</v>
      </c>
      <c r="G4627" s="4">
        <v>14</v>
      </c>
      <c r="H4627" s="1">
        <v>84974</v>
      </c>
      <c r="I4627" s="3" t="s">
        <v>15</v>
      </c>
      <c r="J4627" s="4">
        <v>2</v>
      </c>
    </row>
    <row r="4628" spans="1:10" x14ac:dyDescent="0.35">
      <c r="A4628" s="2" t="s">
        <v>4664</v>
      </c>
      <c r="B4628" s="4">
        <v>74</v>
      </c>
      <c r="C4628" t="s">
        <v>17</v>
      </c>
      <c r="D4628" t="s">
        <v>12</v>
      </c>
      <c r="E4628" t="s">
        <v>65</v>
      </c>
      <c r="F4628" t="s">
        <v>14</v>
      </c>
      <c r="G4628" s="4">
        <v>8</v>
      </c>
      <c r="H4628" s="1">
        <v>52963</v>
      </c>
      <c r="I4628" s="3" t="s">
        <v>21</v>
      </c>
      <c r="J4628" s="4">
        <v>3</v>
      </c>
    </row>
    <row r="4629" spans="1:10" x14ac:dyDescent="0.35">
      <c r="A4629" s="2" t="s">
        <v>4665</v>
      </c>
      <c r="B4629" s="4">
        <v>49</v>
      </c>
      <c r="C4629" t="s">
        <v>11</v>
      </c>
      <c r="D4629" t="s">
        <v>39</v>
      </c>
      <c r="E4629" t="s">
        <v>19</v>
      </c>
      <c r="F4629" t="s">
        <v>14</v>
      </c>
      <c r="G4629" s="4">
        <v>9</v>
      </c>
      <c r="H4629" s="1">
        <v>95180</v>
      </c>
      <c r="I4629" s="3" t="s">
        <v>21</v>
      </c>
      <c r="J4629" s="4">
        <v>3</v>
      </c>
    </row>
    <row r="4630" spans="1:10" x14ac:dyDescent="0.35">
      <c r="A4630" s="2" t="s">
        <v>4666</v>
      </c>
      <c r="B4630" s="4">
        <v>10</v>
      </c>
      <c r="C4630" t="s">
        <v>11</v>
      </c>
      <c r="D4630" t="s">
        <v>26</v>
      </c>
      <c r="E4630" t="s">
        <v>53</v>
      </c>
      <c r="F4630" t="s">
        <v>14</v>
      </c>
      <c r="G4630" s="4">
        <v>12</v>
      </c>
      <c r="H4630" s="1">
        <v>91494</v>
      </c>
      <c r="I4630" s="3" t="s">
        <v>15</v>
      </c>
      <c r="J4630" s="4">
        <v>4</v>
      </c>
    </row>
    <row r="4631" spans="1:10" x14ac:dyDescent="0.35">
      <c r="A4631" s="2" t="s">
        <v>4667</v>
      </c>
      <c r="B4631" s="4">
        <v>18</v>
      </c>
      <c r="C4631" t="s">
        <v>11</v>
      </c>
      <c r="D4631" t="s">
        <v>18</v>
      </c>
      <c r="E4631" t="s">
        <v>42</v>
      </c>
      <c r="F4631" t="s">
        <v>14</v>
      </c>
      <c r="G4631" s="4">
        <v>7</v>
      </c>
      <c r="H4631" s="1">
        <v>51128</v>
      </c>
      <c r="I4631" s="3" t="s">
        <v>21</v>
      </c>
      <c r="J4631" s="4">
        <v>5</v>
      </c>
    </row>
    <row r="4632" spans="1:10" x14ac:dyDescent="0.35">
      <c r="A4632" s="2" t="s">
        <v>4668</v>
      </c>
      <c r="B4632" s="4">
        <v>81</v>
      </c>
      <c r="C4632" t="s">
        <v>17</v>
      </c>
      <c r="D4632" t="s">
        <v>18</v>
      </c>
      <c r="E4632" t="s">
        <v>24</v>
      </c>
      <c r="F4632" t="s">
        <v>30</v>
      </c>
      <c r="G4632" s="4">
        <v>11</v>
      </c>
      <c r="H4632" s="1">
        <v>11459</v>
      </c>
      <c r="I4632" s="3" t="s">
        <v>15</v>
      </c>
      <c r="J4632" s="4">
        <v>4</v>
      </c>
    </row>
    <row r="4633" spans="1:10" x14ac:dyDescent="0.35">
      <c r="A4633" s="2" t="s">
        <v>4669</v>
      </c>
      <c r="B4633" s="4">
        <v>40</v>
      </c>
      <c r="C4633" t="s">
        <v>17</v>
      </c>
      <c r="D4633" t="s">
        <v>28</v>
      </c>
      <c r="E4633" t="s">
        <v>19</v>
      </c>
      <c r="F4633" t="s">
        <v>14</v>
      </c>
      <c r="G4633" s="4">
        <v>2</v>
      </c>
      <c r="H4633" s="1">
        <v>54033</v>
      </c>
      <c r="I4633" s="3" t="s">
        <v>15</v>
      </c>
      <c r="J4633" s="4">
        <v>2</v>
      </c>
    </row>
    <row r="4634" spans="1:10" x14ac:dyDescent="0.35">
      <c r="A4634" s="2" t="s">
        <v>4670</v>
      </c>
      <c r="B4634" s="4">
        <v>54</v>
      </c>
      <c r="C4634" t="s">
        <v>17</v>
      </c>
      <c r="D4634" t="s">
        <v>33</v>
      </c>
      <c r="E4634" t="s">
        <v>19</v>
      </c>
      <c r="F4634" t="s">
        <v>14</v>
      </c>
      <c r="G4634" s="4">
        <v>15</v>
      </c>
      <c r="H4634" s="1">
        <v>80976</v>
      </c>
      <c r="I4634" s="3" t="s">
        <v>15</v>
      </c>
      <c r="J4634" s="4">
        <v>2</v>
      </c>
    </row>
    <row r="4635" spans="1:10" x14ac:dyDescent="0.35">
      <c r="A4635" s="2" t="s">
        <v>4671</v>
      </c>
      <c r="B4635" s="4">
        <v>7</v>
      </c>
      <c r="C4635" t="s">
        <v>17</v>
      </c>
      <c r="D4635" t="s">
        <v>49</v>
      </c>
      <c r="E4635" t="s">
        <v>37</v>
      </c>
      <c r="F4635" t="s">
        <v>30</v>
      </c>
      <c r="G4635" s="4">
        <v>4</v>
      </c>
      <c r="H4635" s="1">
        <v>23137</v>
      </c>
      <c r="I4635" s="3" t="s">
        <v>21</v>
      </c>
      <c r="J4635" s="4">
        <v>3</v>
      </c>
    </row>
    <row r="4636" spans="1:10" x14ac:dyDescent="0.35">
      <c r="A4636" s="2" t="s">
        <v>4672</v>
      </c>
      <c r="B4636" s="4">
        <v>89</v>
      </c>
      <c r="C4636" t="s">
        <v>17</v>
      </c>
      <c r="D4636" t="s">
        <v>33</v>
      </c>
      <c r="E4636" t="s">
        <v>37</v>
      </c>
      <c r="F4636" t="s">
        <v>30</v>
      </c>
      <c r="G4636" s="4">
        <v>15</v>
      </c>
      <c r="H4636" s="1">
        <v>48749</v>
      </c>
      <c r="I4636" s="3" t="s">
        <v>21</v>
      </c>
      <c r="J4636" s="4">
        <v>2</v>
      </c>
    </row>
    <row r="4637" spans="1:10" x14ac:dyDescent="0.35">
      <c r="A4637" s="2" t="s">
        <v>4673</v>
      </c>
      <c r="B4637" s="4">
        <v>49</v>
      </c>
      <c r="C4637" t="s">
        <v>17</v>
      </c>
      <c r="D4637" t="s">
        <v>18</v>
      </c>
      <c r="E4637" t="s">
        <v>65</v>
      </c>
      <c r="F4637" t="s">
        <v>14</v>
      </c>
      <c r="G4637" s="4">
        <v>14</v>
      </c>
      <c r="H4637" s="1">
        <v>32022</v>
      </c>
      <c r="I4637" s="3" t="s">
        <v>21</v>
      </c>
      <c r="J4637" s="4">
        <v>4</v>
      </c>
    </row>
    <row r="4638" spans="1:10" x14ac:dyDescent="0.35">
      <c r="A4638" s="2" t="s">
        <v>4674</v>
      </c>
      <c r="B4638" s="4">
        <v>81</v>
      </c>
      <c r="C4638" t="s">
        <v>17</v>
      </c>
      <c r="D4638" t="s">
        <v>26</v>
      </c>
      <c r="E4638" t="s">
        <v>65</v>
      </c>
      <c r="F4638" t="s">
        <v>30</v>
      </c>
      <c r="G4638" s="4">
        <v>8</v>
      </c>
      <c r="H4638" s="1">
        <v>55793</v>
      </c>
      <c r="I4638" s="3" t="s">
        <v>15</v>
      </c>
      <c r="J4638" s="4">
        <v>2</v>
      </c>
    </row>
    <row r="4639" spans="1:10" x14ac:dyDescent="0.35">
      <c r="A4639" s="2" t="s">
        <v>4675</v>
      </c>
      <c r="B4639" s="4">
        <v>54</v>
      </c>
      <c r="C4639" t="s">
        <v>17</v>
      </c>
      <c r="D4639" t="s">
        <v>36</v>
      </c>
      <c r="E4639" t="s">
        <v>13</v>
      </c>
      <c r="F4639" t="s">
        <v>30</v>
      </c>
      <c r="G4639" s="4">
        <v>5</v>
      </c>
      <c r="H4639" s="1">
        <v>77275</v>
      </c>
      <c r="I4639" s="3" t="s">
        <v>21</v>
      </c>
      <c r="J4639" s="4">
        <v>4</v>
      </c>
    </row>
    <row r="4640" spans="1:10" x14ac:dyDescent="0.35">
      <c r="A4640" s="2" t="s">
        <v>4676</v>
      </c>
      <c r="B4640" s="4">
        <v>67</v>
      </c>
      <c r="C4640" t="s">
        <v>17</v>
      </c>
      <c r="D4640" t="s">
        <v>23</v>
      </c>
      <c r="E4640" t="s">
        <v>53</v>
      </c>
      <c r="F4640" t="s">
        <v>14</v>
      </c>
      <c r="G4640" s="4">
        <v>15</v>
      </c>
      <c r="H4640" s="1">
        <v>66114</v>
      </c>
      <c r="I4640" s="3" t="s">
        <v>21</v>
      </c>
      <c r="J4640" s="4">
        <v>4</v>
      </c>
    </row>
    <row r="4641" spans="1:10" x14ac:dyDescent="0.35">
      <c r="A4641" s="2" t="s">
        <v>4677</v>
      </c>
      <c r="B4641" s="4">
        <v>4</v>
      </c>
      <c r="C4641" t="s">
        <v>11</v>
      </c>
      <c r="D4641" t="s">
        <v>41</v>
      </c>
      <c r="E4641" t="s">
        <v>27</v>
      </c>
      <c r="F4641" t="s">
        <v>20</v>
      </c>
      <c r="G4641" s="4">
        <v>4</v>
      </c>
      <c r="H4641" s="1">
        <v>11348</v>
      </c>
      <c r="I4641" s="3" t="s">
        <v>15</v>
      </c>
      <c r="J4641" s="4">
        <v>5</v>
      </c>
    </row>
    <row r="4642" spans="1:10" x14ac:dyDescent="0.35">
      <c r="A4642" s="2" t="s">
        <v>4678</v>
      </c>
      <c r="B4642" s="4">
        <v>37</v>
      </c>
      <c r="C4642" t="s">
        <v>11</v>
      </c>
      <c r="D4642" t="s">
        <v>33</v>
      </c>
      <c r="E4642" t="s">
        <v>42</v>
      </c>
      <c r="F4642" t="s">
        <v>30</v>
      </c>
      <c r="G4642" s="4">
        <v>4</v>
      </c>
      <c r="H4642" s="1">
        <v>32302</v>
      </c>
      <c r="I4642" s="3" t="s">
        <v>15</v>
      </c>
      <c r="J4642" s="4">
        <v>3</v>
      </c>
    </row>
    <row r="4643" spans="1:10" x14ac:dyDescent="0.35">
      <c r="A4643" s="2" t="s">
        <v>4679</v>
      </c>
      <c r="B4643" s="4">
        <v>39</v>
      </c>
      <c r="C4643" t="s">
        <v>17</v>
      </c>
      <c r="D4643" t="s">
        <v>12</v>
      </c>
      <c r="E4643" t="s">
        <v>42</v>
      </c>
      <c r="F4643" t="s">
        <v>30</v>
      </c>
      <c r="G4643" s="4">
        <v>12</v>
      </c>
      <c r="H4643" s="1">
        <v>92256</v>
      </c>
      <c r="I4643" s="3" t="s">
        <v>15</v>
      </c>
      <c r="J4643" s="4">
        <v>5</v>
      </c>
    </row>
    <row r="4644" spans="1:10" x14ac:dyDescent="0.35">
      <c r="A4644" s="2" t="s">
        <v>4680</v>
      </c>
      <c r="B4644" s="4">
        <v>84</v>
      </c>
      <c r="C4644" t="s">
        <v>11</v>
      </c>
      <c r="D4644" t="s">
        <v>28</v>
      </c>
      <c r="E4644" t="s">
        <v>37</v>
      </c>
      <c r="F4644" t="s">
        <v>30</v>
      </c>
      <c r="G4644" s="4">
        <v>10</v>
      </c>
      <c r="H4644" s="1">
        <v>11789</v>
      </c>
      <c r="I4644" s="3" t="s">
        <v>15</v>
      </c>
      <c r="J4644" s="4">
        <v>5</v>
      </c>
    </row>
    <row r="4645" spans="1:10" x14ac:dyDescent="0.35">
      <c r="A4645" s="2" t="s">
        <v>4681</v>
      </c>
      <c r="B4645" s="4">
        <v>35</v>
      </c>
      <c r="C4645" t="s">
        <v>17</v>
      </c>
      <c r="D4645" t="s">
        <v>33</v>
      </c>
      <c r="E4645" t="s">
        <v>42</v>
      </c>
      <c r="F4645" t="s">
        <v>30</v>
      </c>
      <c r="G4645" s="4">
        <v>1</v>
      </c>
      <c r="H4645" s="1">
        <v>26848</v>
      </c>
      <c r="I4645" s="3" t="s">
        <v>21</v>
      </c>
      <c r="J4645" s="4">
        <v>4</v>
      </c>
    </row>
    <row r="4646" spans="1:10" x14ac:dyDescent="0.35">
      <c r="A4646" s="2" t="s">
        <v>4682</v>
      </c>
      <c r="B4646" s="4">
        <v>13</v>
      </c>
      <c r="C4646" t="s">
        <v>11</v>
      </c>
      <c r="D4646" t="s">
        <v>33</v>
      </c>
      <c r="E4646" t="s">
        <v>53</v>
      </c>
      <c r="F4646" t="s">
        <v>20</v>
      </c>
      <c r="G4646" s="4">
        <v>6</v>
      </c>
      <c r="H4646" s="1">
        <v>50562</v>
      </c>
      <c r="I4646" s="3" t="s">
        <v>15</v>
      </c>
      <c r="J4646" s="4">
        <v>5</v>
      </c>
    </row>
    <row r="4647" spans="1:10" x14ac:dyDescent="0.35">
      <c r="A4647" s="2" t="s">
        <v>4683</v>
      </c>
      <c r="B4647" s="4">
        <v>82</v>
      </c>
      <c r="C4647" t="s">
        <v>17</v>
      </c>
      <c r="D4647" t="s">
        <v>39</v>
      </c>
      <c r="E4647" t="s">
        <v>29</v>
      </c>
      <c r="F4647" t="s">
        <v>14</v>
      </c>
      <c r="G4647" s="4">
        <v>7</v>
      </c>
      <c r="H4647" s="1">
        <v>40875</v>
      </c>
      <c r="I4647" s="3" t="s">
        <v>21</v>
      </c>
      <c r="J4647" s="4">
        <v>2</v>
      </c>
    </row>
    <row r="4648" spans="1:10" x14ac:dyDescent="0.35">
      <c r="A4648" s="2" t="s">
        <v>4684</v>
      </c>
      <c r="B4648" s="4">
        <v>63</v>
      </c>
      <c r="C4648" t="s">
        <v>11</v>
      </c>
      <c r="D4648" t="s">
        <v>18</v>
      </c>
      <c r="E4648" t="s">
        <v>42</v>
      </c>
      <c r="F4648" t="s">
        <v>20</v>
      </c>
      <c r="G4648" s="4">
        <v>12</v>
      </c>
      <c r="H4648" s="1">
        <v>79910</v>
      </c>
      <c r="I4648" s="3" t="s">
        <v>15</v>
      </c>
      <c r="J4648" s="4">
        <v>2</v>
      </c>
    </row>
    <row r="4649" spans="1:10" x14ac:dyDescent="0.35">
      <c r="A4649" s="2" t="s">
        <v>4685</v>
      </c>
      <c r="B4649" s="4">
        <v>31</v>
      </c>
      <c r="C4649" t="s">
        <v>11</v>
      </c>
      <c r="D4649" t="s">
        <v>18</v>
      </c>
      <c r="E4649" t="s">
        <v>19</v>
      </c>
      <c r="F4649" t="s">
        <v>20</v>
      </c>
      <c r="G4649" s="4">
        <v>14</v>
      </c>
      <c r="H4649" s="1">
        <v>38935</v>
      </c>
      <c r="I4649" s="3" t="s">
        <v>15</v>
      </c>
      <c r="J4649" s="4">
        <v>2</v>
      </c>
    </row>
    <row r="4650" spans="1:10" x14ac:dyDescent="0.35">
      <c r="A4650" s="2" t="s">
        <v>4686</v>
      </c>
      <c r="B4650" s="4">
        <v>80</v>
      </c>
      <c r="C4650" t="s">
        <v>11</v>
      </c>
      <c r="D4650" t="s">
        <v>36</v>
      </c>
      <c r="E4650" t="s">
        <v>53</v>
      </c>
      <c r="F4650" t="s">
        <v>14</v>
      </c>
      <c r="G4650" s="4">
        <v>11</v>
      </c>
      <c r="H4650" s="1">
        <v>41831</v>
      </c>
      <c r="I4650" s="3" t="s">
        <v>15</v>
      </c>
      <c r="J4650" s="4">
        <v>2</v>
      </c>
    </row>
    <row r="4651" spans="1:10" x14ac:dyDescent="0.35">
      <c r="A4651" s="2" t="s">
        <v>4687</v>
      </c>
      <c r="B4651" s="4">
        <v>36</v>
      </c>
      <c r="C4651" t="s">
        <v>11</v>
      </c>
      <c r="D4651" t="s">
        <v>28</v>
      </c>
      <c r="E4651" t="s">
        <v>37</v>
      </c>
      <c r="F4651" t="s">
        <v>14</v>
      </c>
      <c r="G4651" s="4">
        <v>12</v>
      </c>
      <c r="H4651" s="1">
        <v>59043</v>
      </c>
      <c r="I4651" s="3" t="s">
        <v>15</v>
      </c>
      <c r="J4651" s="4">
        <v>3</v>
      </c>
    </row>
    <row r="4652" spans="1:10" x14ac:dyDescent="0.35">
      <c r="A4652" s="2" t="s">
        <v>4688</v>
      </c>
      <c r="B4652" s="4">
        <v>46</v>
      </c>
      <c r="C4652" t="s">
        <v>17</v>
      </c>
      <c r="D4652" t="s">
        <v>36</v>
      </c>
      <c r="E4652" t="s">
        <v>29</v>
      </c>
      <c r="F4652" t="s">
        <v>20</v>
      </c>
      <c r="G4652" s="4">
        <v>8</v>
      </c>
      <c r="H4652" s="1">
        <v>91067</v>
      </c>
      <c r="I4652" s="3" t="s">
        <v>15</v>
      </c>
      <c r="J4652" s="4">
        <v>1</v>
      </c>
    </row>
    <row r="4653" spans="1:10" x14ac:dyDescent="0.35">
      <c r="A4653" s="2" t="s">
        <v>4689</v>
      </c>
      <c r="B4653" s="4">
        <v>33</v>
      </c>
      <c r="C4653" t="s">
        <v>17</v>
      </c>
      <c r="D4653" t="s">
        <v>49</v>
      </c>
      <c r="E4653" t="s">
        <v>27</v>
      </c>
      <c r="F4653" t="s">
        <v>30</v>
      </c>
      <c r="G4653" s="4">
        <v>14</v>
      </c>
      <c r="H4653" s="1">
        <v>44755</v>
      </c>
      <c r="I4653" s="3" t="s">
        <v>21</v>
      </c>
      <c r="J4653" s="4">
        <v>5</v>
      </c>
    </row>
    <row r="4654" spans="1:10" x14ac:dyDescent="0.35">
      <c r="A4654" s="2" t="s">
        <v>4690</v>
      </c>
      <c r="B4654" s="4">
        <v>47</v>
      </c>
      <c r="C4654" t="s">
        <v>11</v>
      </c>
      <c r="D4654" t="s">
        <v>49</v>
      </c>
      <c r="E4654" t="s">
        <v>27</v>
      </c>
      <c r="F4654" t="s">
        <v>20</v>
      </c>
      <c r="G4654" s="4">
        <v>1</v>
      </c>
      <c r="H4654" s="1">
        <v>47926</v>
      </c>
      <c r="I4654" s="3" t="s">
        <v>21</v>
      </c>
      <c r="J4654" s="4">
        <v>1</v>
      </c>
    </row>
    <row r="4655" spans="1:10" x14ac:dyDescent="0.35">
      <c r="A4655" s="2" t="s">
        <v>4691</v>
      </c>
      <c r="B4655" s="4">
        <v>65</v>
      </c>
      <c r="C4655" t="s">
        <v>11</v>
      </c>
      <c r="D4655" t="s">
        <v>33</v>
      </c>
      <c r="E4655" t="s">
        <v>37</v>
      </c>
      <c r="F4655" t="s">
        <v>14</v>
      </c>
      <c r="G4655" s="4">
        <v>11</v>
      </c>
      <c r="H4655" s="1">
        <v>28751</v>
      </c>
      <c r="I4655" s="3" t="s">
        <v>21</v>
      </c>
      <c r="J4655" s="4">
        <v>4</v>
      </c>
    </row>
    <row r="4656" spans="1:10" x14ac:dyDescent="0.35">
      <c r="A4656" s="2" t="s">
        <v>4692</v>
      </c>
      <c r="B4656" s="4">
        <v>74</v>
      </c>
      <c r="C4656" t="s">
        <v>11</v>
      </c>
      <c r="D4656" t="s">
        <v>23</v>
      </c>
      <c r="E4656" t="s">
        <v>29</v>
      </c>
      <c r="F4656" t="s">
        <v>20</v>
      </c>
      <c r="G4656" s="4">
        <v>8</v>
      </c>
      <c r="H4656" s="1">
        <v>55566</v>
      </c>
      <c r="I4656" s="3" t="s">
        <v>15</v>
      </c>
      <c r="J4656" s="4">
        <v>5</v>
      </c>
    </row>
    <row r="4657" spans="1:10" x14ac:dyDescent="0.35">
      <c r="A4657" s="2" t="s">
        <v>4693</v>
      </c>
      <c r="B4657" s="4">
        <v>56</v>
      </c>
      <c r="C4657" t="s">
        <v>17</v>
      </c>
      <c r="D4657" t="s">
        <v>49</v>
      </c>
      <c r="E4657" t="s">
        <v>53</v>
      </c>
      <c r="F4657" t="s">
        <v>14</v>
      </c>
      <c r="G4657" s="4">
        <v>15</v>
      </c>
      <c r="H4657" s="1">
        <v>45135</v>
      </c>
      <c r="I4657" s="3" t="s">
        <v>15</v>
      </c>
      <c r="J4657" s="4">
        <v>1</v>
      </c>
    </row>
    <row r="4658" spans="1:10" x14ac:dyDescent="0.35">
      <c r="A4658" s="2" t="s">
        <v>4694</v>
      </c>
      <c r="B4658" s="4">
        <v>86</v>
      </c>
      <c r="C4658" t="s">
        <v>17</v>
      </c>
      <c r="D4658" t="s">
        <v>18</v>
      </c>
      <c r="E4658" t="s">
        <v>27</v>
      </c>
      <c r="F4658" t="s">
        <v>20</v>
      </c>
      <c r="G4658" s="4">
        <v>14</v>
      </c>
      <c r="H4658" s="1">
        <v>12317</v>
      </c>
      <c r="I4658" s="3" t="s">
        <v>15</v>
      </c>
      <c r="J4658" s="4">
        <v>3</v>
      </c>
    </row>
    <row r="4659" spans="1:10" x14ac:dyDescent="0.35">
      <c r="A4659" s="2" t="s">
        <v>4695</v>
      </c>
      <c r="B4659" s="4">
        <v>40</v>
      </c>
      <c r="C4659" t="s">
        <v>17</v>
      </c>
      <c r="D4659" t="s">
        <v>12</v>
      </c>
      <c r="E4659" t="s">
        <v>27</v>
      </c>
      <c r="F4659" t="s">
        <v>20</v>
      </c>
      <c r="G4659" s="4">
        <v>14</v>
      </c>
      <c r="H4659" s="1">
        <v>46992</v>
      </c>
      <c r="I4659" s="3" t="s">
        <v>15</v>
      </c>
      <c r="J4659" s="4">
        <v>3</v>
      </c>
    </row>
    <row r="4660" spans="1:10" x14ac:dyDescent="0.35">
      <c r="A4660" s="2" t="s">
        <v>4696</v>
      </c>
      <c r="B4660" s="4">
        <v>78</v>
      </c>
      <c r="C4660" t="s">
        <v>17</v>
      </c>
      <c r="D4660" t="s">
        <v>36</v>
      </c>
      <c r="E4660" t="s">
        <v>19</v>
      </c>
      <c r="F4660" t="s">
        <v>20</v>
      </c>
      <c r="G4660" s="4">
        <v>3</v>
      </c>
      <c r="H4660" s="1">
        <v>78141</v>
      </c>
      <c r="I4660" s="3" t="s">
        <v>15</v>
      </c>
      <c r="J4660" s="4">
        <v>2</v>
      </c>
    </row>
    <row r="4661" spans="1:10" x14ac:dyDescent="0.35">
      <c r="A4661" s="2" t="s">
        <v>4697</v>
      </c>
      <c r="B4661" s="4">
        <v>8</v>
      </c>
      <c r="C4661" t="s">
        <v>17</v>
      </c>
      <c r="D4661" t="s">
        <v>23</v>
      </c>
      <c r="E4661" t="s">
        <v>24</v>
      </c>
      <c r="F4661" t="s">
        <v>14</v>
      </c>
      <c r="G4661" s="4">
        <v>3</v>
      </c>
      <c r="H4661" s="1">
        <v>98312</v>
      </c>
      <c r="I4661" s="3" t="s">
        <v>15</v>
      </c>
      <c r="J4661" s="4">
        <v>2</v>
      </c>
    </row>
    <row r="4662" spans="1:10" x14ac:dyDescent="0.35">
      <c r="A4662" s="2" t="s">
        <v>4698</v>
      </c>
      <c r="B4662" s="4">
        <v>3</v>
      </c>
      <c r="C4662" t="s">
        <v>11</v>
      </c>
      <c r="D4662" t="s">
        <v>23</v>
      </c>
      <c r="E4662" t="s">
        <v>29</v>
      </c>
      <c r="F4662" t="s">
        <v>30</v>
      </c>
      <c r="G4662" s="4">
        <v>15</v>
      </c>
      <c r="H4662" s="1">
        <v>98829</v>
      </c>
      <c r="I4662" s="3" t="s">
        <v>21</v>
      </c>
      <c r="J4662" s="4">
        <v>5</v>
      </c>
    </row>
    <row r="4663" spans="1:10" x14ac:dyDescent="0.35">
      <c r="A4663" s="2" t="s">
        <v>4699</v>
      </c>
      <c r="B4663" s="4">
        <v>6</v>
      </c>
      <c r="C4663" t="s">
        <v>11</v>
      </c>
      <c r="D4663" t="s">
        <v>18</v>
      </c>
      <c r="E4663" t="s">
        <v>34</v>
      </c>
      <c r="F4663" t="s">
        <v>30</v>
      </c>
      <c r="G4663" s="4">
        <v>13</v>
      </c>
      <c r="H4663" s="1">
        <v>47492</v>
      </c>
      <c r="I4663" s="3" t="s">
        <v>21</v>
      </c>
      <c r="J4663" s="4">
        <v>2</v>
      </c>
    </row>
    <row r="4664" spans="1:10" x14ac:dyDescent="0.35">
      <c r="A4664" s="2" t="s">
        <v>4700</v>
      </c>
      <c r="B4664" s="4">
        <v>43</v>
      </c>
      <c r="C4664" t="s">
        <v>17</v>
      </c>
      <c r="D4664" t="s">
        <v>26</v>
      </c>
      <c r="E4664" t="s">
        <v>24</v>
      </c>
      <c r="F4664" t="s">
        <v>14</v>
      </c>
      <c r="G4664" s="4">
        <v>5</v>
      </c>
      <c r="H4664" s="1">
        <v>36592</v>
      </c>
      <c r="I4664" s="3" t="s">
        <v>15</v>
      </c>
      <c r="J4664" s="4">
        <v>3</v>
      </c>
    </row>
    <row r="4665" spans="1:10" x14ac:dyDescent="0.35">
      <c r="A4665" s="2" t="s">
        <v>4701</v>
      </c>
      <c r="B4665" s="4">
        <v>83</v>
      </c>
      <c r="C4665" t="s">
        <v>11</v>
      </c>
      <c r="D4665" t="s">
        <v>41</v>
      </c>
      <c r="E4665" t="s">
        <v>53</v>
      </c>
      <c r="F4665" t="s">
        <v>30</v>
      </c>
      <c r="G4665" s="4">
        <v>12</v>
      </c>
      <c r="H4665" s="1">
        <v>7375</v>
      </c>
      <c r="I4665" s="3" t="s">
        <v>21</v>
      </c>
      <c r="J4665" s="4">
        <v>2</v>
      </c>
    </row>
    <row r="4666" spans="1:10" x14ac:dyDescent="0.35">
      <c r="A4666" s="2" t="s">
        <v>4702</v>
      </c>
      <c r="B4666" s="4">
        <v>15</v>
      </c>
      <c r="C4666" t="s">
        <v>11</v>
      </c>
      <c r="D4666" t="s">
        <v>36</v>
      </c>
      <c r="E4666" t="s">
        <v>42</v>
      </c>
      <c r="F4666" t="s">
        <v>20</v>
      </c>
      <c r="G4666" s="4">
        <v>11</v>
      </c>
      <c r="H4666" s="1">
        <v>19757</v>
      </c>
      <c r="I4666" s="3" t="s">
        <v>21</v>
      </c>
      <c r="J4666" s="4">
        <v>2</v>
      </c>
    </row>
    <row r="4667" spans="1:10" x14ac:dyDescent="0.35">
      <c r="A4667" s="2" t="s">
        <v>4703</v>
      </c>
      <c r="B4667" s="4">
        <v>65</v>
      </c>
      <c r="C4667" t="s">
        <v>17</v>
      </c>
      <c r="D4667" t="s">
        <v>28</v>
      </c>
      <c r="E4667" t="s">
        <v>53</v>
      </c>
      <c r="F4667" t="s">
        <v>30</v>
      </c>
      <c r="G4667" s="4">
        <v>3</v>
      </c>
      <c r="H4667" s="1">
        <v>11772</v>
      </c>
      <c r="I4667" s="3" t="s">
        <v>21</v>
      </c>
      <c r="J4667" s="4">
        <v>5</v>
      </c>
    </row>
    <row r="4668" spans="1:10" x14ac:dyDescent="0.35">
      <c r="A4668" s="2" t="s">
        <v>4704</v>
      </c>
      <c r="B4668" s="4">
        <v>68</v>
      </c>
      <c r="C4668" t="s">
        <v>11</v>
      </c>
      <c r="D4668" t="s">
        <v>12</v>
      </c>
      <c r="E4668" t="s">
        <v>27</v>
      </c>
      <c r="F4668" t="s">
        <v>14</v>
      </c>
      <c r="G4668" s="4">
        <v>5</v>
      </c>
      <c r="H4668" s="1">
        <v>99687</v>
      </c>
      <c r="I4668" s="3" t="s">
        <v>15</v>
      </c>
      <c r="J4668" s="4">
        <v>4</v>
      </c>
    </row>
    <row r="4669" spans="1:10" x14ac:dyDescent="0.35">
      <c r="A4669" s="2" t="s">
        <v>4705</v>
      </c>
      <c r="B4669" s="4">
        <v>86</v>
      </c>
      <c r="C4669" t="s">
        <v>17</v>
      </c>
      <c r="D4669" t="s">
        <v>41</v>
      </c>
      <c r="E4669" t="s">
        <v>65</v>
      </c>
      <c r="F4669" t="s">
        <v>20</v>
      </c>
      <c r="G4669" s="4">
        <v>2</v>
      </c>
      <c r="H4669" s="1">
        <v>28244</v>
      </c>
      <c r="I4669" s="3" t="s">
        <v>15</v>
      </c>
      <c r="J4669" s="4">
        <v>1</v>
      </c>
    </row>
    <row r="4670" spans="1:10" x14ac:dyDescent="0.35">
      <c r="A4670" s="2" t="s">
        <v>4706</v>
      </c>
      <c r="B4670" s="4">
        <v>10</v>
      </c>
      <c r="C4670" t="s">
        <v>11</v>
      </c>
      <c r="D4670" t="s">
        <v>28</v>
      </c>
      <c r="E4670" t="s">
        <v>37</v>
      </c>
      <c r="F4670" t="s">
        <v>14</v>
      </c>
      <c r="G4670" s="4">
        <v>5</v>
      </c>
      <c r="H4670" s="1">
        <v>18426</v>
      </c>
      <c r="I4670" s="3" t="s">
        <v>15</v>
      </c>
      <c r="J4670" s="4">
        <v>3</v>
      </c>
    </row>
    <row r="4671" spans="1:10" x14ac:dyDescent="0.35">
      <c r="A4671" s="2" t="s">
        <v>4707</v>
      </c>
      <c r="B4671" s="4">
        <v>80</v>
      </c>
      <c r="C4671" t="s">
        <v>17</v>
      </c>
      <c r="D4671" t="s">
        <v>41</v>
      </c>
      <c r="E4671" t="s">
        <v>19</v>
      </c>
      <c r="F4671" t="s">
        <v>30</v>
      </c>
      <c r="G4671" s="4">
        <v>9</v>
      </c>
      <c r="H4671" s="1">
        <v>33892</v>
      </c>
      <c r="I4671" s="3" t="s">
        <v>15</v>
      </c>
      <c r="J4671" s="4">
        <v>4</v>
      </c>
    </row>
    <row r="4672" spans="1:10" x14ac:dyDescent="0.35">
      <c r="A4672" s="2" t="s">
        <v>4708</v>
      </c>
      <c r="B4672" s="4">
        <v>39</v>
      </c>
      <c r="C4672" t="s">
        <v>11</v>
      </c>
      <c r="D4672" t="s">
        <v>49</v>
      </c>
      <c r="E4672" t="s">
        <v>65</v>
      </c>
      <c r="F4672" t="s">
        <v>14</v>
      </c>
      <c r="G4672" s="4">
        <v>10</v>
      </c>
      <c r="H4672" s="1">
        <v>91911</v>
      </c>
      <c r="I4672" s="3" t="s">
        <v>15</v>
      </c>
      <c r="J4672" s="4">
        <v>1</v>
      </c>
    </row>
    <row r="4673" spans="1:10" x14ac:dyDescent="0.35">
      <c r="A4673" s="2" t="s">
        <v>4709</v>
      </c>
      <c r="B4673" s="4">
        <v>49</v>
      </c>
      <c r="C4673" t="s">
        <v>11</v>
      </c>
      <c r="D4673" t="s">
        <v>49</v>
      </c>
      <c r="E4673" t="s">
        <v>34</v>
      </c>
      <c r="F4673" t="s">
        <v>20</v>
      </c>
      <c r="G4673" s="4">
        <v>9</v>
      </c>
      <c r="H4673" s="1">
        <v>79606</v>
      </c>
      <c r="I4673" s="3" t="s">
        <v>21</v>
      </c>
      <c r="J4673" s="4">
        <v>1</v>
      </c>
    </row>
    <row r="4674" spans="1:10" x14ac:dyDescent="0.35">
      <c r="A4674" s="2" t="s">
        <v>4710</v>
      </c>
      <c r="B4674" s="4">
        <v>67</v>
      </c>
      <c r="C4674" t="s">
        <v>17</v>
      </c>
      <c r="D4674" t="s">
        <v>28</v>
      </c>
      <c r="E4674" t="s">
        <v>29</v>
      </c>
      <c r="F4674" t="s">
        <v>20</v>
      </c>
      <c r="G4674" s="4">
        <v>15</v>
      </c>
      <c r="H4674" s="1">
        <v>57973</v>
      </c>
      <c r="I4674" s="3" t="s">
        <v>15</v>
      </c>
      <c r="J4674" s="4">
        <v>1</v>
      </c>
    </row>
    <row r="4675" spans="1:10" x14ac:dyDescent="0.35">
      <c r="A4675" s="2" t="s">
        <v>4711</v>
      </c>
      <c r="B4675" s="4">
        <v>52</v>
      </c>
      <c r="C4675" t="s">
        <v>17</v>
      </c>
      <c r="D4675" t="s">
        <v>23</v>
      </c>
      <c r="E4675" t="s">
        <v>27</v>
      </c>
      <c r="F4675" t="s">
        <v>30</v>
      </c>
      <c r="G4675" s="4">
        <v>14</v>
      </c>
      <c r="H4675" s="1">
        <v>74716</v>
      </c>
      <c r="I4675" s="3" t="s">
        <v>15</v>
      </c>
      <c r="J4675" s="4">
        <v>3</v>
      </c>
    </row>
    <row r="4676" spans="1:10" x14ac:dyDescent="0.35">
      <c r="A4676" s="2" t="s">
        <v>4712</v>
      </c>
      <c r="B4676" s="4">
        <v>54</v>
      </c>
      <c r="C4676" t="s">
        <v>17</v>
      </c>
      <c r="D4676" t="s">
        <v>39</v>
      </c>
      <c r="E4676" t="s">
        <v>53</v>
      </c>
      <c r="F4676" t="s">
        <v>30</v>
      </c>
      <c r="G4676" s="4">
        <v>1</v>
      </c>
      <c r="H4676" s="1">
        <v>92667</v>
      </c>
      <c r="I4676" s="3" t="s">
        <v>15</v>
      </c>
      <c r="J4676" s="4">
        <v>1</v>
      </c>
    </row>
    <row r="4677" spans="1:10" x14ac:dyDescent="0.35">
      <c r="A4677" s="2" t="s">
        <v>4713</v>
      </c>
      <c r="B4677" s="4">
        <v>16</v>
      </c>
      <c r="C4677" t="s">
        <v>17</v>
      </c>
      <c r="D4677" t="s">
        <v>23</v>
      </c>
      <c r="E4677" t="s">
        <v>13</v>
      </c>
      <c r="F4677" t="s">
        <v>20</v>
      </c>
      <c r="G4677" s="4">
        <v>6</v>
      </c>
      <c r="H4677" s="1">
        <v>60837</v>
      </c>
      <c r="I4677" s="3" t="s">
        <v>21</v>
      </c>
      <c r="J4677" s="4">
        <v>4</v>
      </c>
    </row>
    <row r="4678" spans="1:10" x14ac:dyDescent="0.35">
      <c r="A4678" s="2" t="s">
        <v>4714</v>
      </c>
      <c r="B4678" s="4">
        <v>43</v>
      </c>
      <c r="C4678" t="s">
        <v>11</v>
      </c>
      <c r="D4678" t="s">
        <v>33</v>
      </c>
      <c r="E4678" t="s">
        <v>37</v>
      </c>
      <c r="F4678" t="s">
        <v>30</v>
      </c>
      <c r="G4678" s="4">
        <v>10</v>
      </c>
      <c r="H4678" s="1">
        <v>34546</v>
      </c>
      <c r="I4678" s="3" t="s">
        <v>15</v>
      </c>
      <c r="J4678" s="4">
        <v>3</v>
      </c>
    </row>
    <row r="4679" spans="1:10" x14ac:dyDescent="0.35">
      <c r="A4679" s="2" t="s">
        <v>4715</v>
      </c>
      <c r="B4679" s="4">
        <v>3</v>
      </c>
      <c r="C4679" t="s">
        <v>17</v>
      </c>
      <c r="D4679" t="s">
        <v>33</v>
      </c>
      <c r="E4679" t="s">
        <v>37</v>
      </c>
      <c r="F4679" t="s">
        <v>14</v>
      </c>
      <c r="G4679" s="4">
        <v>10</v>
      </c>
      <c r="H4679" s="1">
        <v>6778</v>
      </c>
      <c r="I4679" s="3" t="s">
        <v>15</v>
      </c>
      <c r="J4679" s="4">
        <v>1</v>
      </c>
    </row>
    <row r="4680" spans="1:10" x14ac:dyDescent="0.35">
      <c r="A4680" s="2" t="s">
        <v>4716</v>
      </c>
      <c r="B4680" s="4">
        <v>43</v>
      </c>
      <c r="C4680" t="s">
        <v>17</v>
      </c>
      <c r="D4680" t="s">
        <v>49</v>
      </c>
      <c r="E4680" t="s">
        <v>27</v>
      </c>
      <c r="F4680" t="s">
        <v>20</v>
      </c>
      <c r="G4680" s="4">
        <v>9</v>
      </c>
      <c r="H4680" s="1">
        <v>44395</v>
      </c>
      <c r="I4680" s="3" t="s">
        <v>15</v>
      </c>
      <c r="J4680" s="4">
        <v>5</v>
      </c>
    </row>
    <row r="4681" spans="1:10" x14ac:dyDescent="0.35">
      <c r="A4681" s="2" t="s">
        <v>4717</v>
      </c>
      <c r="B4681" s="4">
        <v>85</v>
      </c>
      <c r="C4681" t="s">
        <v>17</v>
      </c>
      <c r="D4681" t="s">
        <v>49</v>
      </c>
      <c r="E4681" t="s">
        <v>19</v>
      </c>
      <c r="F4681" t="s">
        <v>30</v>
      </c>
      <c r="G4681" s="4">
        <v>3</v>
      </c>
      <c r="H4681" s="1">
        <v>70560</v>
      </c>
      <c r="I4681" s="3" t="s">
        <v>15</v>
      </c>
      <c r="J4681" s="4">
        <v>2</v>
      </c>
    </row>
    <row r="4682" spans="1:10" x14ac:dyDescent="0.35">
      <c r="A4682" s="2" t="s">
        <v>4718</v>
      </c>
      <c r="B4682" s="4">
        <v>77</v>
      </c>
      <c r="C4682" t="s">
        <v>17</v>
      </c>
      <c r="D4682" t="s">
        <v>23</v>
      </c>
      <c r="E4682" t="s">
        <v>19</v>
      </c>
      <c r="F4682" t="s">
        <v>20</v>
      </c>
      <c r="G4682" s="4">
        <v>15</v>
      </c>
      <c r="H4682" s="1">
        <v>86330</v>
      </c>
      <c r="I4682" s="3" t="s">
        <v>15</v>
      </c>
      <c r="J4682" s="4">
        <v>5</v>
      </c>
    </row>
    <row r="4683" spans="1:10" x14ac:dyDescent="0.35">
      <c r="A4683" s="2" t="s">
        <v>4719</v>
      </c>
      <c r="B4683" s="4">
        <v>35</v>
      </c>
      <c r="C4683" t="s">
        <v>11</v>
      </c>
      <c r="D4683" t="s">
        <v>26</v>
      </c>
      <c r="E4683" t="s">
        <v>37</v>
      </c>
      <c r="F4683" t="s">
        <v>14</v>
      </c>
      <c r="G4683" s="4">
        <v>2</v>
      </c>
      <c r="H4683" s="1">
        <v>21990</v>
      </c>
      <c r="I4683" s="3" t="s">
        <v>15</v>
      </c>
      <c r="J4683" s="4">
        <v>5</v>
      </c>
    </row>
    <row r="4684" spans="1:10" x14ac:dyDescent="0.35">
      <c r="A4684" s="2" t="s">
        <v>4720</v>
      </c>
      <c r="B4684" s="4">
        <v>79</v>
      </c>
      <c r="C4684" t="s">
        <v>11</v>
      </c>
      <c r="D4684" t="s">
        <v>41</v>
      </c>
      <c r="E4684" t="s">
        <v>24</v>
      </c>
      <c r="F4684" t="s">
        <v>14</v>
      </c>
      <c r="G4684" s="4">
        <v>9</v>
      </c>
      <c r="H4684" s="1">
        <v>18420</v>
      </c>
      <c r="I4684" s="3" t="s">
        <v>15</v>
      </c>
      <c r="J4684" s="4">
        <v>5</v>
      </c>
    </row>
    <row r="4685" spans="1:10" x14ac:dyDescent="0.35">
      <c r="A4685" s="2" t="s">
        <v>4721</v>
      </c>
      <c r="B4685" s="4">
        <v>35</v>
      </c>
      <c r="C4685" t="s">
        <v>11</v>
      </c>
      <c r="D4685" t="s">
        <v>36</v>
      </c>
      <c r="E4685" t="s">
        <v>19</v>
      </c>
      <c r="F4685" t="s">
        <v>14</v>
      </c>
      <c r="G4685" s="4">
        <v>8</v>
      </c>
      <c r="H4685" s="1">
        <v>79029</v>
      </c>
      <c r="I4685" s="3" t="s">
        <v>15</v>
      </c>
      <c r="J4685" s="4">
        <v>1</v>
      </c>
    </row>
    <row r="4686" spans="1:10" x14ac:dyDescent="0.35">
      <c r="A4686" s="2" t="s">
        <v>4722</v>
      </c>
      <c r="B4686" s="4">
        <v>42</v>
      </c>
      <c r="C4686" t="s">
        <v>17</v>
      </c>
      <c r="D4686" t="s">
        <v>36</v>
      </c>
      <c r="E4686" t="s">
        <v>34</v>
      </c>
      <c r="F4686" t="s">
        <v>14</v>
      </c>
      <c r="G4686" s="4">
        <v>7</v>
      </c>
      <c r="H4686" s="1">
        <v>29436</v>
      </c>
      <c r="I4686" s="3" t="s">
        <v>15</v>
      </c>
      <c r="J4686" s="4">
        <v>4</v>
      </c>
    </row>
    <row r="4687" spans="1:10" x14ac:dyDescent="0.35">
      <c r="A4687" s="2" t="s">
        <v>4723</v>
      </c>
      <c r="B4687" s="4">
        <v>38</v>
      </c>
      <c r="C4687" t="s">
        <v>17</v>
      </c>
      <c r="D4687" t="s">
        <v>49</v>
      </c>
      <c r="E4687" t="s">
        <v>53</v>
      </c>
      <c r="F4687" t="s">
        <v>30</v>
      </c>
      <c r="G4687" s="4">
        <v>7</v>
      </c>
      <c r="H4687" s="1">
        <v>43527</v>
      </c>
      <c r="I4687" s="3" t="s">
        <v>15</v>
      </c>
      <c r="J4687" s="4">
        <v>1</v>
      </c>
    </row>
    <row r="4688" spans="1:10" x14ac:dyDescent="0.35">
      <c r="A4688" s="2" t="s">
        <v>4724</v>
      </c>
      <c r="B4688" s="4">
        <v>88</v>
      </c>
      <c r="C4688" t="s">
        <v>11</v>
      </c>
      <c r="D4688" t="s">
        <v>41</v>
      </c>
      <c r="E4688" t="s">
        <v>19</v>
      </c>
      <c r="F4688" t="s">
        <v>30</v>
      </c>
      <c r="G4688" s="4">
        <v>14</v>
      </c>
      <c r="H4688" s="1">
        <v>74099</v>
      </c>
      <c r="I4688" s="3" t="s">
        <v>15</v>
      </c>
      <c r="J4688" s="4">
        <v>4</v>
      </c>
    </row>
    <row r="4689" spans="1:10" x14ac:dyDescent="0.35">
      <c r="A4689" s="2" t="s">
        <v>4725</v>
      </c>
      <c r="B4689" s="4">
        <v>69</v>
      </c>
      <c r="C4689" t="s">
        <v>11</v>
      </c>
      <c r="D4689" t="s">
        <v>33</v>
      </c>
      <c r="E4689" t="s">
        <v>19</v>
      </c>
      <c r="F4689" t="s">
        <v>30</v>
      </c>
      <c r="G4689" s="4">
        <v>11</v>
      </c>
      <c r="H4689" s="1">
        <v>96961</v>
      </c>
      <c r="I4689" s="3" t="s">
        <v>21</v>
      </c>
      <c r="J4689" s="4">
        <v>4</v>
      </c>
    </row>
    <row r="4690" spans="1:10" x14ac:dyDescent="0.35">
      <c r="A4690" s="2" t="s">
        <v>4726</v>
      </c>
      <c r="B4690" s="4">
        <v>50</v>
      </c>
      <c r="C4690" t="s">
        <v>11</v>
      </c>
      <c r="D4690" t="s">
        <v>41</v>
      </c>
      <c r="E4690" t="s">
        <v>29</v>
      </c>
      <c r="F4690" t="s">
        <v>30</v>
      </c>
      <c r="G4690" s="4">
        <v>9</v>
      </c>
      <c r="H4690" s="1">
        <v>54004</v>
      </c>
      <c r="I4690" s="3" t="s">
        <v>15</v>
      </c>
      <c r="J4690" s="4">
        <v>2</v>
      </c>
    </row>
    <row r="4691" spans="1:10" x14ac:dyDescent="0.35">
      <c r="A4691" s="2" t="s">
        <v>4727</v>
      </c>
      <c r="B4691" s="4">
        <v>44</v>
      </c>
      <c r="C4691" t="s">
        <v>17</v>
      </c>
      <c r="D4691" t="s">
        <v>18</v>
      </c>
      <c r="E4691" t="s">
        <v>27</v>
      </c>
      <c r="F4691" t="s">
        <v>20</v>
      </c>
      <c r="G4691" s="4">
        <v>12</v>
      </c>
      <c r="H4691" s="1">
        <v>92840</v>
      </c>
      <c r="I4691" s="3" t="s">
        <v>21</v>
      </c>
      <c r="J4691" s="4">
        <v>3</v>
      </c>
    </row>
    <row r="4692" spans="1:10" x14ac:dyDescent="0.35">
      <c r="A4692" s="2" t="s">
        <v>4728</v>
      </c>
      <c r="B4692" s="4">
        <v>15</v>
      </c>
      <c r="C4692" t="s">
        <v>11</v>
      </c>
      <c r="D4692" t="s">
        <v>36</v>
      </c>
      <c r="E4692" t="s">
        <v>27</v>
      </c>
      <c r="F4692" t="s">
        <v>30</v>
      </c>
      <c r="G4692" s="4">
        <v>10</v>
      </c>
      <c r="H4692" s="1">
        <v>67676</v>
      </c>
      <c r="I4692" s="3" t="s">
        <v>15</v>
      </c>
      <c r="J4692" s="4">
        <v>1</v>
      </c>
    </row>
    <row r="4693" spans="1:10" x14ac:dyDescent="0.35">
      <c r="A4693" s="2" t="s">
        <v>4729</v>
      </c>
      <c r="B4693" s="4">
        <v>70</v>
      </c>
      <c r="C4693" t="s">
        <v>11</v>
      </c>
      <c r="D4693" t="s">
        <v>41</v>
      </c>
      <c r="E4693" t="s">
        <v>19</v>
      </c>
      <c r="F4693" t="s">
        <v>30</v>
      </c>
      <c r="G4693" s="4">
        <v>8</v>
      </c>
      <c r="H4693" s="1">
        <v>41573</v>
      </c>
      <c r="I4693" s="3" t="s">
        <v>21</v>
      </c>
      <c r="J4693" s="4">
        <v>2</v>
      </c>
    </row>
    <row r="4694" spans="1:10" x14ac:dyDescent="0.35">
      <c r="A4694" s="2" t="s">
        <v>4730</v>
      </c>
      <c r="B4694" s="4">
        <v>54</v>
      </c>
      <c r="C4694" t="s">
        <v>11</v>
      </c>
      <c r="D4694" t="s">
        <v>28</v>
      </c>
      <c r="E4694" t="s">
        <v>19</v>
      </c>
      <c r="F4694" t="s">
        <v>30</v>
      </c>
      <c r="G4694" s="4">
        <v>4</v>
      </c>
      <c r="H4694" s="1">
        <v>76731</v>
      </c>
      <c r="I4694" s="3" t="s">
        <v>15</v>
      </c>
      <c r="J4694" s="4">
        <v>1</v>
      </c>
    </row>
    <row r="4695" spans="1:10" x14ac:dyDescent="0.35">
      <c r="A4695" s="2" t="s">
        <v>4731</v>
      </c>
      <c r="B4695" s="4">
        <v>66</v>
      </c>
      <c r="C4695" t="s">
        <v>17</v>
      </c>
      <c r="D4695" t="s">
        <v>33</v>
      </c>
      <c r="E4695" t="s">
        <v>37</v>
      </c>
      <c r="F4695" t="s">
        <v>20</v>
      </c>
      <c r="G4695" s="4">
        <v>3</v>
      </c>
      <c r="H4695" s="1">
        <v>31025</v>
      </c>
      <c r="I4695" s="3" t="s">
        <v>15</v>
      </c>
      <c r="J4695" s="4">
        <v>1</v>
      </c>
    </row>
    <row r="4696" spans="1:10" x14ac:dyDescent="0.35">
      <c r="A4696" s="2" t="s">
        <v>4732</v>
      </c>
      <c r="B4696" s="4">
        <v>37</v>
      </c>
      <c r="C4696" t="s">
        <v>17</v>
      </c>
      <c r="D4696" t="s">
        <v>36</v>
      </c>
      <c r="E4696" t="s">
        <v>27</v>
      </c>
      <c r="F4696" t="s">
        <v>14</v>
      </c>
      <c r="G4696" s="4">
        <v>5</v>
      </c>
      <c r="H4696" s="1">
        <v>58450</v>
      </c>
      <c r="I4696" s="3" t="s">
        <v>15</v>
      </c>
      <c r="J4696" s="4">
        <v>5</v>
      </c>
    </row>
    <row r="4697" spans="1:10" x14ac:dyDescent="0.35">
      <c r="A4697" s="2" t="s">
        <v>4733</v>
      </c>
      <c r="B4697" s="4">
        <v>70</v>
      </c>
      <c r="C4697" t="s">
        <v>17</v>
      </c>
      <c r="D4697" t="s">
        <v>18</v>
      </c>
      <c r="E4697" t="s">
        <v>65</v>
      </c>
      <c r="F4697" t="s">
        <v>20</v>
      </c>
      <c r="G4697" s="4">
        <v>10</v>
      </c>
      <c r="H4697" s="1">
        <v>70662</v>
      </c>
      <c r="I4697" s="3" t="s">
        <v>15</v>
      </c>
      <c r="J4697" s="4">
        <v>2</v>
      </c>
    </row>
    <row r="4698" spans="1:10" x14ac:dyDescent="0.35">
      <c r="A4698" s="2" t="s">
        <v>4734</v>
      </c>
      <c r="B4698" s="4">
        <v>18</v>
      </c>
      <c r="C4698" t="s">
        <v>17</v>
      </c>
      <c r="D4698" t="s">
        <v>23</v>
      </c>
      <c r="E4698" t="s">
        <v>53</v>
      </c>
      <c r="F4698" t="s">
        <v>14</v>
      </c>
      <c r="G4698" s="4">
        <v>14</v>
      </c>
      <c r="H4698" s="1">
        <v>64153</v>
      </c>
      <c r="I4698" s="3" t="s">
        <v>15</v>
      </c>
      <c r="J4698" s="4">
        <v>3</v>
      </c>
    </row>
    <row r="4699" spans="1:10" x14ac:dyDescent="0.35">
      <c r="A4699" s="2" t="s">
        <v>4735</v>
      </c>
      <c r="B4699" s="4">
        <v>4</v>
      </c>
      <c r="C4699" t="s">
        <v>17</v>
      </c>
      <c r="D4699" t="s">
        <v>39</v>
      </c>
      <c r="E4699" t="s">
        <v>27</v>
      </c>
      <c r="F4699" t="s">
        <v>30</v>
      </c>
      <c r="G4699" s="4">
        <v>10</v>
      </c>
      <c r="H4699" s="1">
        <v>86284</v>
      </c>
      <c r="I4699" s="3" t="s">
        <v>21</v>
      </c>
      <c r="J4699" s="4">
        <v>2</v>
      </c>
    </row>
    <row r="4700" spans="1:10" x14ac:dyDescent="0.35">
      <c r="A4700" s="2" t="s">
        <v>4736</v>
      </c>
      <c r="B4700" s="4">
        <v>60</v>
      </c>
      <c r="C4700" t="s">
        <v>11</v>
      </c>
      <c r="D4700" t="s">
        <v>18</v>
      </c>
      <c r="E4700" t="s">
        <v>29</v>
      </c>
      <c r="F4700" t="s">
        <v>14</v>
      </c>
      <c r="G4700" s="4">
        <v>6</v>
      </c>
      <c r="H4700" s="1">
        <v>45237</v>
      </c>
      <c r="I4700" s="3" t="s">
        <v>21</v>
      </c>
      <c r="J4700" s="4">
        <v>2</v>
      </c>
    </row>
    <row r="4701" spans="1:10" x14ac:dyDescent="0.35">
      <c r="A4701" s="2" t="s">
        <v>4737</v>
      </c>
      <c r="B4701" s="4">
        <v>78</v>
      </c>
      <c r="C4701" t="s">
        <v>11</v>
      </c>
      <c r="D4701" t="s">
        <v>49</v>
      </c>
      <c r="E4701" t="s">
        <v>29</v>
      </c>
      <c r="F4701" t="s">
        <v>30</v>
      </c>
      <c r="G4701" s="4">
        <v>12</v>
      </c>
      <c r="H4701" s="1">
        <v>43388</v>
      </c>
      <c r="I4701" s="3" t="s">
        <v>21</v>
      </c>
      <c r="J4701" s="4">
        <v>1</v>
      </c>
    </row>
    <row r="4702" spans="1:10" x14ac:dyDescent="0.35">
      <c r="A4702" s="2" t="s">
        <v>4738</v>
      </c>
      <c r="B4702" s="4">
        <v>68</v>
      </c>
      <c r="C4702" t="s">
        <v>11</v>
      </c>
      <c r="D4702" t="s">
        <v>33</v>
      </c>
      <c r="E4702" t="s">
        <v>24</v>
      </c>
      <c r="F4702" t="s">
        <v>30</v>
      </c>
      <c r="G4702" s="4">
        <v>12</v>
      </c>
      <c r="H4702" s="1">
        <v>36479</v>
      </c>
      <c r="I4702" s="3" t="s">
        <v>21</v>
      </c>
      <c r="J4702" s="4">
        <v>3</v>
      </c>
    </row>
    <row r="4703" spans="1:10" x14ac:dyDescent="0.35">
      <c r="A4703" s="2" t="s">
        <v>4739</v>
      </c>
      <c r="B4703" s="4">
        <v>41</v>
      </c>
      <c r="C4703" t="s">
        <v>17</v>
      </c>
      <c r="D4703" t="s">
        <v>23</v>
      </c>
      <c r="E4703" t="s">
        <v>29</v>
      </c>
      <c r="F4703" t="s">
        <v>30</v>
      </c>
      <c r="G4703" s="4">
        <v>9</v>
      </c>
      <c r="H4703" s="1">
        <v>53796</v>
      </c>
      <c r="I4703" s="3" t="s">
        <v>21</v>
      </c>
      <c r="J4703" s="4">
        <v>5</v>
      </c>
    </row>
    <row r="4704" spans="1:10" x14ac:dyDescent="0.35">
      <c r="A4704" s="2" t="s">
        <v>4740</v>
      </c>
      <c r="B4704" s="4">
        <v>20</v>
      </c>
      <c r="C4704" t="s">
        <v>11</v>
      </c>
      <c r="D4704" t="s">
        <v>18</v>
      </c>
      <c r="E4704" t="s">
        <v>19</v>
      </c>
      <c r="F4704" t="s">
        <v>30</v>
      </c>
      <c r="G4704" s="4">
        <v>7</v>
      </c>
      <c r="H4704" s="1">
        <v>73901</v>
      </c>
      <c r="I4704" s="3" t="s">
        <v>21</v>
      </c>
      <c r="J4704" s="4">
        <v>5</v>
      </c>
    </row>
    <row r="4705" spans="1:10" x14ac:dyDescent="0.35">
      <c r="A4705" s="2" t="s">
        <v>4741</v>
      </c>
      <c r="B4705" s="4">
        <v>13</v>
      </c>
      <c r="C4705" t="s">
        <v>11</v>
      </c>
      <c r="D4705" t="s">
        <v>18</v>
      </c>
      <c r="E4705" t="s">
        <v>19</v>
      </c>
      <c r="F4705" t="s">
        <v>30</v>
      </c>
      <c r="G4705" s="4">
        <v>11</v>
      </c>
      <c r="H4705" s="1">
        <v>68168</v>
      </c>
      <c r="I4705" s="3" t="s">
        <v>15</v>
      </c>
      <c r="J4705" s="4">
        <v>3</v>
      </c>
    </row>
    <row r="4706" spans="1:10" x14ac:dyDescent="0.35">
      <c r="A4706" s="2" t="s">
        <v>4742</v>
      </c>
      <c r="B4706" s="4">
        <v>75</v>
      </c>
      <c r="C4706" t="s">
        <v>11</v>
      </c>
      <c r="D4706" t="s">
        <v>49</v>
      </c>
      <c r="E4706" t="s">
        <v>53</v>
      </c>
      <c r="F4706" t="s">
        <v>30</v>
      </c>
      <c r="G4706" s="4">
        <v>9</v>
      </c>
      <c r="H4706" s="1">
        <v>7731</v>
      </c>
      <c r="I4706" s="3" t="s">
        <v>15</v>
      </c>
      <c r="J4706" s="4">
        <v>1</v>
      </c>
    </row>
    <row r="4707" spans="1:10" x14ac:dyDescent="0.35">
      <c r="A4707" s="2" t="s">
        <v>4743</v>
      </c>
      <c r="B4707" s="4">
        <v>68</v>
      </c>
      <c r="C4707" t="s">
        <v>17</v>
      </c>
      <c r="D4707" t="s">
        <v>18</v>
      </c>
      <c r="E4707" t="s">
        <v>65</v>
      </c>
      <c r="F4707" t="s">
        <v>30</v>
      </c>
      <c r="G4707" s="4">
        <v>12</v>
      </c>
      <c r="H4707" s="1">
        <v>79895</v>
      </c>
      <c r="I4707" s="3" t="s">
        <v>21</v>
      </c>
      <c r="J4707" s="4">
        <v>1</v>
      </c>
    </row>
    <row r="4708" spans="1:10" x14ac:dyDescent="0.35">
      <c r="A4708" s="2" t="s">
        <v>4744</v>
      </c>
      <c r="B4708" s="4">
        <v>4</v>
      </c>
      <c r="C4708" t="s">
        <v>11</v>
      </c>
      <c r="D4708" t="s">
        <v>36</v>
      </c>
      <c r="E4708" t="s">
        <v>53</v>
      </c>
      <c r="F4708" t="s">
        <v>30</v>
      </c>
      <c r="G4708" s="4">
        <v>5</v>
      </c>
      <c r="H4708" s="1">
        <v>88019</v>
      </c>
      <c r="I4708" s="3" t="s">
        <v>21</v>
      </c>
      <c r="J4708" s="4">
        <v>3</v>
      </c>
    </row>
    <row r="4709" spans="1:10" x14ac:dyDescent="0.35">
      <c r="A4709" s="2" t="s">
        <v>4745</v>
      </c>
      <c r="B4709" s="4">
        <v>52</v>
      </c>
      <c r="C4709" t="s">
        <v>11</v>
      </c>
      <c r="D4709" t="s">
        <v>12</v>
      </c>
      <c r="E4709" t="s">
        <v>34</v>
      </c>
      <c r="F4709" t="s">
        <v>20</v>
      </c>
      <c r="G4709" s="4">
        <v>6</v>
      </c>
      <c r="H4709" s="1">
        <v>99216</v>
      </c>
      <c r="I4709" s="3" t="s">
        <v>21</v>
      </c>
      <c r="J4709" s="4">
        <v>2</v>
      </c>
    </row>
    <row r="4710" spans="1:10" x14ac:dyDescent="0.35">
      <c r="A4710" s="2" t="s">
        <v>4746</v>
      </c>
      <c r="B4710" s="4">
        <v>2</v>
      </c>
      <c r="C4710" t="s">
        <v>11</v>
      </c>
      <c r="D4710" t="s">
        <v>23</v>
      </c>
      <c r="E4710" t="s">
        <v>42</v>
      </c>
      <c r="F4710" t="s">
        <v>14</v>
      </c>
      <c r="G4710" s="4">
        <v>9</v>
      </c>
      <c r="H4710" s="1">
        <v>90508</v>
      </c>
      <c r="I4710" s="3" t="s">
        <v>21</v>
      </c>
      <c r="J4710" s="4">
        <v>1</v>
      </c>
    </row>
    <row r="4711" spans="1:10" x14ac:dyDescent="0.35">
      <c r="A4711" s="2" t="s">
        <v>4747</v>
      </c>
      <c r="B4711" s="4">
        <v>80</v>
      </c>
      <c r="C4711" t="s">
        <v>17</v>
      </c>
      <c r="D4711" t="s">
        <v>18</v>
      </c>
      <c r="E4711" t="s">
        <v>29</v>
      </c>
      <c r="F4711" t="s">
        <v>20</v>
      </c>
      <c r="G4711" s="4">
        <v>10</v>
      </c>
      <c r="H4711" s="1">
        <v>11384</v>
      </c>
      <c r="I4711" s="3" t="s">
        <v>15</v>
      </c>
      <c r="J4711" s="4">
        <v>5</v>
      </c>
    </row>
    <row r="4712" spans="1:10" x14ac:dyDescent="0.35">
      <c r="A4712" s="2" t="s">
        <v>4748</v>
      </c>
      <c r="B4712" s="4">
        <v>90</v>
      </c>
      <c r="C4712" t="s">
        <v>11</v>
      </c>
      <c r="D4712" t="s">
        <v>18</v>
      </c>
      <c r="E4712" t="s">
        <v>19</v>
      </c>
      <c r="F4712" t="s">
        <v>14</v>
      </c>
      <c r="G4712" s="4">
        <v>15</v>
      </c>
      <c r="H4712" s="1">
        <v>68114</v>
      </c>
      <c r="I4712" s="3" t="s">
        <v>15</v>
      </c>
      <c r="J4712" s="4">
        <v>2</v>
      </c>
    </row>
    <row r="4713" spans="1:10" x14ac:dyDescent="0.35">
      <c r="A4713" s="2" t="s">
        <v>4749</v>
      </c>
      <c r="B4713" s="4">
        <v>73</v>
      </c>
      <c r="C4713" t="s">
        <v>17</v>
      </c>
      <c r="D4713" t="s">
        <v>28</v>
      </c>
      <c r="E4713" t="s">
        <v>13</v>
      </c>
      <c r="F4713" t="s">
        <v>14</v>
      </c>
      <c r="G4713" s="4">
        <v>12</v>
      </c>
      <c r="H4713" s="1">
        <v>22043</v>
      </c>
      <c r="I4713" s="3" t="s">
        <v>21</v>
      </c>
      <c r="J4713" s="4">
        <v>2</v>
      </c>
    </row>
    <row r="4714" spans="1:10" x14ac:dyDescent="0.35">
      <c r="A4714" s="2" t="s">
        <v>4750</v>
      </c>
      <c r="B4714" s="4">
        <v>39</v>
      </c>
      <c r="C4714" t="s">
        <v>17</v>
      </c>
      <c r="D4714" t="s">
        <v>33</v>
      </c>
      <c r="E4714" t="s">
        <v>29</v>
      </c>
      <c r="F4714" t="s">
        <v>30</v>
      </c>
      <c r="G4714" s="4">
        <v>10</v>
      </c>
      <c r="H4714" s="1">
        <v>75370</v>
      </c>
      <c r="I4714" s="3" t="s">
        <v>21</v>
      </c>
      <c r="J4714" s="4">
        <v>4</v>
      </c>
    </row>
    <row r="4715" spans="1:10" x14ac:dyDescent="0.35">
      <c r="A4715" s="2" t="s">
        <v>4751</v>
      </c>
      <c r="B4715" s="4">
        <v>69</v>
      </c>
      <c r="C4715" t="s">
        <v>11</v>
      </c>
      <c r="D4715" t="s">
        <v>41</v>
      </c>
      <c r="E4715" t="s">
        <v>13</v>
      </c>
      <c r="F4715" t="s">
        <v>30</v>
      </c>
      <c r="G4715" s="4">
        <v>13</v>
      </c>
      <c r="H4715" s="1">
        <v>12405</v>
      </c>
      <c r="I4715" s="3" t="s">
        <v>21</v>
      </c>
      <c r="J4715" s="4">
        <v>5</v>
      </c>
    </row>
    <row r="4716" spans="1:10" x14ac:dyDescent="0.35">
      <c r="A4716" s="2" t="s">
        <v>4752</v>
      </c>
      <c r="B4716" s="4">
        <v>5</v>
      </c>
      <c r="C4716" t="s">
        <v>11</v>
      </c>
      <c r="D4716" t="s">
        <v>41</v>
      </c>
      <c r="E4716" t="s">
        <v>27</v>
      </c>
      <c r="F4716" t="s">
        <v>14</v>
      </c>
      <c r="G4716" s="4">
        <v>1</v>
      </c>
      <c r="H4716" s="1">
        <v>40439</v>
      </c>
      <c r="I4716" s="3" t="s">
        <v>15</v>
      </c>
      <c r="J4716" s="4">
        <v>5</v>
      </c>
    </row>
    <row r="4717" spans="1:10" x14ac:dyDescent="0.35">
      <c r="A4717" s="2" t="s">
        <v>4753</v>
      </c>
      <c r="B4717" s="4">
        <v>23</v>
      </c>
      <c r="C4717" t="s">
        <v>17</v>
      </c>
      <c r="D4717" t="s">
        <v>33</v>
      </c>
      <c r="E4717" t="s">
        <v>13</v>
      </c>
      <c r="F4717" t="s">
        <v>30</v>
      </c>
      <c r="G4717" s="4">
        <v>8</v>
      </c>
      <c r="H4717" s="1">
        <v>23157</v>
      </c>
      <c r="I4717" s="3" t="s">
        <v>21</v>
      </c>
      <c r="J4717" s="4">
        <v>3</v>
      </c>
    </row>
    <row r="4718" spans="1:10" x14ac:dyDescent="0.35">
      <c r="A4718" s="2" t="s">
        <v>4754</v>
      </c>
      <c r="B4718" s="4">
        <v>44</v>
      </c>
      <c r="C4718" t="s">
        <v>17</v>
      </c>
      <c r="D4718" t="s">
        <v>39</v>
      </c>
      <c r="E4718" t="s">
        <v>19</v>
      </c>
      <c r="F4718" t="s">
        <v>20</v>
      </c>
      <c r="G4718" s="4">
        <v>6</v>
      </c>
      <c r="H4718" s="1">
        <v>14068</v>
      </c>
      <c r="I4718" s="3" t="s">
        <v>21</v>
      </c>
      <c r="J4718" s="4">
        <v>1</v>
      </c>
    </row>
    <row r="4719" spans="1:10" x14ac:dyDescent="0.35">
      <c r="A4719" s="2" t="s">
        <v>4755</v>
      </c>
      <c r="B4719" s="4">
        <v>35</v>
      </c>
      <c r="C4719" t="s">
        <v>17</v>
      </c>
      <c r="D4719" t="s">
        <v>39</v>
      </c>
      <c r="E4719" t="s">
        <v>34</v>
      </c>
      <c r="F4719" t="s">
        <v>14</v>
      </c>
      <c r="G4719" s="4">
        <v>6</v>
      </c>
      <c r="H4719" s="1">
        <v>26016</v>
      </c>
      <c r="I4719" s="3" t="s">
        <v>21</v>
      </c>
      <c r="J4719" s="4">
        <v>4</v>
      </c>
    </row>
    <row r="4720" spans="1:10" x14ac:dyDescent="0.35">
      <c r="A4720" s="2" t="s">
        <v>4756</v>
      </c>
      <c r="B4720" s="4">
        <v>43</v>
      </c>
      <c r="C4720" t="s">
        <v>11</v>
      </c>
      <c r="D4720" t="s">
        <v>26</v>
      </c>
      <c r="E4720" t="s">
        <v>65</v>
      </c>
      <c r="F4720" t="s">
        <v>30</v>
      </c>
      <c r="G4720" s="4">
        <v>8</v>
      </c>
      <c r="H4720" s="1">
        <v>12019</v>
      </c>
      <c r="I4720" s="3" t="s">
        <v>15</v>
      </c>
      <c r="J4720" s="4">
        <v>4</v>
      </c>
    </row>
    <row r="4721" spans="1:10" x14ac:dyDescent="0.35">
      <c r="A4721" s="2" t="s">
        <v>4757</v>
      </c>
      <c r="B4721" s="4">
        <v>66</v>
      </c>
      <c r="C4721" t="s">
        <v>11</v>
      </c>
      <c r="D4721" t="s">
        <v>39</v>
      </c>
      <c r="E4721" t="s">
        <v>34</v>
      </c>
      <c r="F4721" t="s">
        <v>30</v>
      </c>
      <c r="G4721" s="4">
        <v>5</v>
      </c>
      <c r="H4721" s="1">
        <v>47499</v>
      </c>
      <c r="I4721" s="3" t="s">
        <v>15</v>
      </c>
      <c r="J4721" s="4">
        <v>3</v>
      </c>
    </row>
    <row r="4722" spans="1:10" x14ac:dyDescent="0.35">
      <c r="A4722" s="2" t="s">
        <v>4758</v>
      </c>
      <c r="B4722" s="4">
        <v>8</v>
      </c>
      <c r="C4722" t="s">
        <v>17</v>
      </c>
      <c r="D4722" t="s">
        <v>41</v>
      </c>
      <c r="E4722" t="s">
        <v>27</v>
      </c>
      <c r="F4722" t="s">
        <v>20</v>
      </c>
      <c r="G4722" s="4">
        <v>10</v>
      </c>
      <c r="H4722" s="1">
        <v>89018</v>
      </c>
      <c r="I4722" s="3" t="s">
        <v>15</v>
      </c>
      <c r="J4722" s="4">
        <v>5</v>
      </c>
    </row>
    <row r="4723" spans="1:10" x14ac:dyDescent="0.35">
      <c r="A4723" s="2" t="s">
        <v>4759</v>
      </c>
      <c r="B4723" s="4">
        <v>34</v>
      </c>
      <c r="C4723" t="s">
        <v>11</v>
      </c>
      <c r="D4723" t="s">
        <v>23</v>
      </c>
      <c r="E4723" t="s">
        <v>37</v>
      </c>
      <c r="F4723" t="s">
        <v>30</v>
      </c>
      <c r="G4723" s="4">
        <v>11</v>
      </c>
      <c r="H4723" s="1">
        <v>20406</v>
      </c>
      <c r="I4723" s="3" t="s">
        <v>15</v>
      </c>
      <c r="J4723" s="4">
        <v>2</v>
      </c>
    </row>
    <row r="4724" spans="1:10" x14ac:dyDescent="0.35">
      <c r="A4724" s="2" t="s">
        <v>4760</v>
      </c>
      <c r="B4724" s="4">
        <v>83</v>
      </c>
      <c r="C4724" t="s">
        <v>17</v>
      </c>
      <c r="D4724" t="s">
        <v>33</v>
      </c>
      <c r="E4724" t="s">
        <v>53</v>
      </c>
      <c r="F4724" t="s">
        <v>20</v>
      </c>
      <c r="G4724" s="4">
        <v>4</v>
      </c>
      <c r="H4724" s="1">
        <v>99357</v>
      </c>
      <c r="I4724" s="3" t="s">
        <v>15</v>
      </c>
      <c r="J4724" s="4">
        <v>1</v>
      </c>
    </row>
    <row r="4725" spans="1:10" x14ac:dyDescent="0.35">
      <c r="A4725" s="2" t="s">
        <v>4761</v>
      </c>
      <c r="B4725" s="4">
        <v>70</v>
      </c>
      <c r="C4725" t="s">
        <v>11</v>
      </c>
      <c r="D4725" t="s">
        <v>18</v>
      </c>
      <c r="E4725" t="s">
        <v>19</v>
      </c>
      <c r="F4725" t="s">
        <v>20</v>
      </c>
      <c r="G4725" s="4">
        <v>14</v>
      </c>
      <c r="H4725" s="1">
        <v>46844</v>
      </c>
      <c r="I4725" s="3" t="s">
        <v>15</v>
      </c>
      <c r="J4725" s="4">
        <v>3</v>
      </c>
    </row>
    <row r="4726" spans="1:10" x14ac:dyDescent="0.35">
      <c r="A4726" s="2" t="s">
        <v>4762</v>
      </c>
      <c r="B4726" s="4">
        <v>70</v>
      </c>
      <c r="C4726" t="s">
        <v>17</v>
      </c>
      <c r="D4726" t="s">
        <v>39</v>
      </c>
      <c r="E4726" t="s">
        <v>29</v>
      </c>
      <c r="F4726" t="s">
        <v>14</v>
      </c>
      <c r="G4726" s="4">
        <v>8</v>
      </c>
      <c r="H4726" s="1">
        <v>26501</v>
      </c>
      <c r="I4726" s="3" t="s">
        <v>15</v>
      </c>
      <c r="J4726" s="4">
        <v>5</v>
      </c>
    </row>
    <row r="4727" spans="1:10" x14ac:dyDescent="0.35">
      <c r="A4727" s="2" t="s">
        <v>4763</v>
      </c>
      <c r="B4727" s="4">
        <v>57</v>
      </c>
      <c r="C4727" t="s">
        <v>17</v>
      </c>
      <c r="D4727" t="s">
        <v>12</v>
      </c>
      <c r="E4727" t="s">
        <v>53</v>
      </c>
      <c r="F4727" t="s">
        <v>30</v>
      </c>
      <c r="G4727" s="4">
        <v>12</v>
      </c>
      <c r="H4727" s="1">
        <v>91439</v>
      </c>
      <c r="I4727" s="3" t="s">
        <v>21</v>
      </c>
      <c r="J4727" s="4">
        <v>3</v>
      </c>
    </row>
    <row r="4728" spans="1:10" x14ac:dyDescent="0.35">
      <c r="A4728" s="2" t="s">
        <v>4764</v>
      </c>
      <c r="B4728" s="4">
        <v>85</v>
      </c>
      <c r="C4728" t="s">
        <v>17</v>
      </c>
      <c r="D4728" t="s">
        <v>41</v>
      </c>
      <c r="E4728" t="s">
        <v>42</v>
      </c>
      <c r="F4728" t="s">
        <v>30</v>
      </c>
      <c r="G4728" s="4">
        <v>13</v>
      </c>
      <c r="H4728" s="1">
        <v>21181</v>
      </c>
      <c r="I4728" s="3" t="s">
        <v>15</v>
      </c>
      <c r="J4728" s="4">
        <v>3</v>
      </c>
    </row>
    <row r="4729" spans="1:10" x14ac:dyDescent="0.35">
      <c r="A4729" s="2" t="s">
        <v>4765</v>
      </c>
      <c r="B4729" s="4">
        <v>54</v>
      </c>
      <c r="C4729" t="s">
        <v>11</v>
      </c>
      <c r="D4729" t="s">
        <v>39</v>
      </c>
      <c r="E4729" t="s">
        <v>53</v>
      </c>
      <c r="F4729" t="s">
        <v>30</v>
      </c>
      <c r="G4729" s="4">
        <v>12</v>
      </c>
      <c r="H4729" s="1">
        <v>80536</v>
      </c>
      <c r="I4729" s="3" t="s">
        <v>15</v>
      </c>
      <c r="J4729" s="4">
        <v>1</v>
      </c>
    </row>
    <row r="4730" spans="1:10" x14ac:dyDescent="0.35">
      <c r="A4730" s="2" t="s">
        <v>4766</v>
      </c>
      <c r="B4730" s="4">
        <v>28</v>
      </c>
      <c r="C4730" t="s">
        <v>17</v>
      </c>
      <c r="D4730" t="s">
        <v>39</v>
      </c>
      <c r="E4730" t="s">
        <v>13</v>
      </c>
      <c r="F4730" t="s">
        <v>14</v>
      </c>
      <c r="G4730" s="4">
        <v>9</v>
      </c>
      <c r="H4730" s="1">
        <v>25196</v>
      </c>
      <c r="I4730" s="3" t="s">
        <v>21</v>
      </c>
      <c r="J4730" s="4">
        <v>3</v>
      </c>
    </row>
    <row r="4731" spans="1:10" x14ac:dyDescent="0.35">
      <c r="A4731" s="2" t="s">
        <v>4767</v>
      </c>
      <c r="B4731" s="4">
        <v>65</v>
      </c>
      <c r="C4731" t="s">
        <v>11</v>
      </c>
      <c r="D4731" t="s">
        <v>41</v>
      </c>
      <c r="E4731" t="s">
        <v>13</v>
      </c>
      <c r="F4731" t="s">
        <v>20</v>
      </c>
      <c r="G4731" s="4">
        <v>6</v>
      </c>
      <c r="H4731" s="1">
        <v>73483</v>
      </c>
      <c r="I4731" s="3" t="s">
        <v>21</v>
      </c>
      <c r="J4731" s="4">
        <v>2</v>
      </c>
    </row>
    <row r="4732" spans="1:10" x14ac:dyDescent="0.35">
      <c r="A4732" s="2" t="s">
        <v>4768</v>
      </c>
      <c r="B4732" s="4">
        <v>90</v>
      </c>
      <c r="C4732" t="s">
        <v>11</v>
      </c>
      <c r="D4732" t="s">
        <v>49</v>
      </c>
      <c r="E4732" t="s">
        <v>19</v>
      </c>
      <c r="F4732" t="s">
        <v>14</v>
      </c>
      <c r="G4732" s="4">
        <v>15</v>
      </c>
      <c r="H4732" s="1">
        <v>87539</v>
      </c>
      <c r="I4732" s="3" t="s">
        <v>21</v>
      </c>
      <c r="J4732" s="4">
        <v>2</v>
      </c>
    </row>
    <row r="4733" spans="1:10" x14ac:dyDescent="0.35">
      <c r="A4733" s="2" t="s">
        <v>4769</v>
      </c>
      <c r="B4733" s="4">
        <v>42</v>
      </c>
      <c r="C4733" t="s">
        <v>17</v>
      </c>
      <c r="D4733" t="s">
        <v>39</v>
      </c>
      <c r="E4733" t="s">
        <v>13</v>
      </c>
      <c r="F4733" t="s">
        <v>14</v>
      </c>
      <c r="G4733" s="4">
        <v>3</v>
      </c>
      <c r="H4733" s="1">
        <v>50043</v>
      </c>
      <c r="I4733" s="3" t="s">
        <v>15</v>
      </c>
      <c r="J4733" s="4">
        <v>3</v>
      </c>
    </row>
    <row r="4734" spans="1:10" x14ac:dyDescent="0.35">
      <c r="A4734" s="2" t="s">
        <v>4770</v>
      </c>
      <c r="B4734" s="4">
        <v>44</v>
      </c>
      <c r="C4734" t="s">
        <v>17</v>
      </c>
      <c r="D4734" t="s">
        <v>33</v>
      </c>
      <c r="E4734" t="s">
        <v>24</v>
      </c>
      <c r="F4734" t="s">
        <v>30</v>
      </c>
      <c r="G4734" s="4">
        <v>11</v>
      </c>
      <c r="H4734" s="1">
        <v>53156</v>
      </c>
      <c r="I4734" s="3" t="s">
        <v>21</v>
      </c>
      <c r="J4734" s="4">
        <v>2</v>
      </c>
    </row>
    <row r="4735" spans="1:10" x14ac:dyDescent="0.35">
      <c r="A4735" s="2" t="s">
        <v>4771</v>
      </c>
      <c r="B4735" s="4">
        <v>60</v>
      </c>
      <c r="C4735" t="s">
        <v>17</v>
      </c>
      <c r="D4735" t="s">
        <v>49</v>
      </c>
      <c r="E4735" t="s">
        <v>29</v>
      </c>
      <c r="F4735" t="s">
        <v>30</v>
      </c>
      <c r="G4735" s="4">
        <v>13</v>
      </c>
      <c r="H4735" s="1">
        <v>59126</v>
      </c>
      <c r="I4735" s="3" t="s">
        <v>15</v>
      </c>
      <c r="J4735" s="4">
        <v>2</v>
      </c>
    </row>
    <row r="4736" spans="1:10" x14ac:dyDescent="0.35">
      <c r="A4736" s="2" t="s">
        <v>4772</v>
      </c>
      <c r="B4736" s="4">
        <v>26</v>
      </c>
      <c r="C4736" t="s">
        <v>11</v>
      </c>
      <c r="D4736" t="s">
        <v>41</v>
      </c>
      <c r="E4736" t="s">
        <v>34</v>
      </c>
      <c r="F4736" t="s">
        <v>30</v>
      </c>
      <c r="G4736" s="4">
        <v>6</v>
      </c>
      <c r="H4736" s="1">
        <v>39833</v>
      </c>
      <c r="I4736" s="3" t="s">
        <v>21</v>
      </c>
      <c r="J4736" s="4">
        <v>3</v>
      </c>
    </row>
    <row r="4737" spans="1:10" x14ac:dyDescent="0.35">
      <c r="A4737" s="2" t="s">
        <v>4773</v>
      </c>
      <c r="B4737" s="4">
        <v>10</v>
      </c>
      <c r="C4737" t="s">
        <v>11</v>
      </c>
      <c r="D4737" t="s">
        <v>23</v>
      </c>
      <c r="E4737" t="s">
        <v>34</v>
      </c>
      <c r="F4737" t="s">
        <v>14</v>
      </c>
      <c r="G4737" s="4">
        <v>2</v>
      </c>
      <c r="H4737" s="1">
        <v>99527</v>
      </c>
      <c r="I4737" s="3" t="s">
        <v>15</v>
      </c>
      <c r="J4737" s="4">
        <v>4</v>
      </c>
    </row>
    <row r="4738" spans="1:10" x14ac:dyDescent="0.35">
      <c r="A4738" s="2" t="s">
        <v>4774</v>
      </c>
      <c r="B4738" s="4">
        <v>55</v>
      </c>
      <c r="C4738" t="s">
        <v>17</v>
      </c>
      <c r="D4738" t="s">
        <v>18</v>
      </c>
      <c r="E4738" t="s">
        <v>13</v>
      </c>
      <c r="F4738" t="s">
        <v>30</v>
      </c>
      <c r="G4738" s="4">
        <v>7</v>
      </c>
      <c r="H4738" s="1">
        <v>54955</v>
      </c>
      <c r="I4738" s="3" t="s">
        <v>15</v>
      </c>
      <c r="J4738" s="4">
        <v>3</v>
      </c>
    </row>
    <row r="4739" spans="1:10" x14ac:dyDescent="0.35">
      <c r="A4739" s="2" t="s">
        <v>4775</v>
      </c>
      <c r="B4739" s="4">
        <v>70</v>
      </c>
      <c r="C4739" t="s">
        <v>11</v>
      </c>
      <c r="D4739" t="s">
        <v>49</v>
      </c>
      <c r="E4739" t="s">
        <v>37</v>
      </c>
      <c r="F4739" t="s">
        <v>20</v>
      </c>
      <c r="G4739" s="4">
        <v>13</v>
      </c>
      <c r="H4739" s="1">
        <v>8692</v>
      </c>
      <c r="I4739" s="3" t="s">
        <v>21</v>
      </c>
      <c r="J4739" s="4">
        <v>3</v>
      </c>
    </row>
    <row r="4740" spans="1:10" x14ac:dyDescent="0.35">
      <c r="A4740" s="2" t="s">
        <v>4776</v>
      </c>
      <c r="B4740" s="4">
        <v>8</v>
      </c>
      <c r="C4740" t="s">
        <v>11</v>
      </c>
      <c r="D4740" t="s">
        <v>39</v>
      </c>
      <c r="E4740" t="s">
        <v>13</v>
      </c>
      <c r="F4740" t="s">
        <v>14</v>
      </c>
      <c r="G4740" s="4">
        <v>12</v>
      </c>
      <c r="H4740" s="1">
        <v>7026</v>
      </c>
      <c r="I4740" s="3" t="s">
        <v>15</v>
      </c>
      <c r="J4740" s="4">
        <v>4</v>
      </c>
    </row>
    <row r="4741" spans="1:10" x14ac:dyDescent="0.35">
      <c r="A4741" s="2" t="s">
        <v>4777</v>
      </c>
      <c r="B4741" s="4">
        <v>40</v>
      </c>
      <c r="C4741" t="s">
        <v>11</v>
      </c>
      <c r="D4741" t="s">
        <v>36</v>
      </c>
      <c r="E4741" t="s">
        <v>27</v>
      </c>
      <c r="F4741" t="s">
        <v>14</v>
      </c>
      <c r="G4741" s="4">
        <v>14</v>
      </c>
      <c r="H4741" s="1">
        <v>32036</v>
      </c>
      <c r="I4741" s="3" t="s">
        <v>15</v>
      </c>
      <c r="J4741" s="4">
        <v>3</v>
      </c>
    </row>
    <row r="4742" spans="1:10" x14ac:dyDescent="0.35">
      <c r="A4742" s="2" t="s">
        <v>4778</v>
      </c>
      <c r="B4742" s="4">
        <v>7</v>
      </c>
      <c r="C4742" t="s">
        <v>11</v>
      </c>
      <c r="D4742" t="s">
        <v>18</v>
      </c>
      <c r="E4742" t="s">
        <v>34</v>
      </c>
      <c r="F4742" t="s">
        <v>20</v>
      </c>
      <c r="G4742" s="4">
        <v>1</v>
      </c>
      <c r="H4742" s="1">
        <v>69266</v>
      </c>
      <c r="I4742" s="3" t="s">
        <v>15</v>
      </c>
      <c r="J4742" s="4">
        <v>1</v>
      </c>
    </row>
    <row r="4743" spans="1:10" x14ac:dyDescent="0.35">
      <c r="A4743" s="2" t="s">
        <v>4779</v>
      </c>
      <c r="B4743" s="4">
        <v>49</v>
      </c>
      <c r="C4743" t="s">
        <v>17</v>
      </c>
      <c r="D4743" t="s">
        <v>36</v>
      </c>
      <c r="E4743" t="s">
        <v>13</v>
      </c>
      <c r="F4743" t="s">
        <v>30</v>
      </c>
      <c r="G4743" s="4">
        <v>9</v>
      </c>
      <c r="H4743" s="1">
        <v>90512</v>
      </c>
      <c r="I4743" s="3" t="s">
        <v>15</v>
      </c>
      <c r="J4743" s="4">
        <v>5</v>
      </c>
    </row>
    <row r="4744" spans="1:10" x14ac:dyDescent="0.35">
      <c r="A4744" s="2" t="s">
        <v>4780</v>
      </c>
      <c r="B4744" s="4">
        <v>69</v>
      </c>
      <c r="C4744" t="s">
        <v>17</v>
      </c>
      <c r="D4744" t="s">
        <v>23</v>
      </c>
      <c r="E4744" t="s">
        <v>19</v>
      </c>
      <c r="F4744" t="s">
        <v>20</v>
      </c>
      <c r="G4744" s="4">
        <v>6</v>
      </c>
      <c r="H4744" s="1">
        <v>37983</v>
      </c>
      <c r="I4744" s="3" t="s">
        <v>15</v>
      </c>
      <c r="J4744" s="4">
        <v>3</v>
      </c>
    </row>
    <row r="4745" spans="1:10" x14ac:dyDescent="0.35">
      <c r="A4745" s="2" t="s">
        <v>4781</v>
      </c>
      <c r="B4745" s="4">
        <v>46</v>
      </c>
      <c r="C4745" t="s">
        <v>17</v>
      </c>
      <c r="D4745" t="s">
        <v>26</v>
      </c>
      <c r="E4745" t="s">
        <v>29</v>
      </c>
      <c r="F4745" t="s">
        <v>20</v>
      </c>
      <c r="G4745" s="4">
        <v>13</v>
      </c>
      <c r="H4745" s="1">
        <v>78827</v>
      </c>
      <c r="I4745" s="3" t="s">
        <v>15</v>
      </c>
      <c r="J4745" s="4">
        <v>3</v>
      </c>
    </row>
    <row r="4746" spans="1:10" x14ac:dyDescent="0.35">
      <c r="A4746" s="2" t="s">
        <v>4782</v>
      </c>
      <c r="B4746" s="4">
        <v>68</v>
      </c>
      <c r="C4746" t="s">
        <v>11</v>
      </c>
      <c r="D4746" t="s">
        <v>18</v>
      </c>
      <c r="E4746" t="s">
        <v>65</v>
      </c>
      <c r="F4746" t="s">
        <v>30</v>
      </c>
      <c r="G4746" s="4">
        <v>2</v>
      </c>
      <c r="H4746" s="1">
        <v>26467</v>
      </c>
      <c r="I4746" s="3" t="s">
        <v>21</v>
      </c>
      <c r="J4746" s="4">
        <v>5</v>
      </c>
    </row>
    <row r="4747" spans="1:10" x14ac:dyDescent="0.35">
      <c r="A4747" s="2" t="s">
        <v>4783</v>
      </c>
      <c r="B4747" s="4">
        <v>3</v>
      </c>
      <c r="C4747" t="s">
        <v>11</v>
      </c>
      <c r="D4747" t="s">
        <v>12</v>
      </c>
      <c r="E4747" t="s">
        <v>24</v>
      </c>
      <c r="F4747" t="s">
        <v>20</v>
      </c>
      <c r="G4747" s="4">
        <v>1</v>
      </c>
      <c r="H4747" s="1">
        <v>72669</v>
      </c>
      <c r="I4747" s="3" t="s">
        <v>21</v>
      </c>
      <c r="J4747" s="4">
        <v>5</v>
      </c>
    </row>
    <row r="4748" spans="1:10" x14ac:dyDescent="0.35">
      <c r="A4748" s="2" t="s">
        <v>4784</v>
      </c>
      <c r="B4748" s="4">
        <v>54</v>
      </c>
      <c r="C4748" t="s">
        <v>17</v>
      </c>
      <c r="D4748" t="s">
        <v>36</v>
      </c>
      <c r="E4748" t="s">
        <v>24</v>
      </c>
      <c r="F4748" t="s">
        <v>20</v>
      </c>
      <c r="G4748" s="4">
        <v>12</v>
      </c>
      <c r="H4748" s="1">
        <v>93641</v>
      </c>
      <c r="I4748" s="3" t="s">
        <v>21</v>
      </c>
      <c r="J4748" s="4">
        <v>3</v>
      </c>
    </row>
    <row r="4749" spans="1:10" x14ac:dyDescent="0.35">
      <c r="A4749" s="2" t="s">
        <v>4785</v>
      </c>
      <c r="B4749" s="4">
        <v>46</v>
      </c>
      <c r="C4749" t="s">
        <v>17</v>
      </c>
      <c r="D4749" t="s">
        <v>39</v>
      </c>
      <c r="E4749" t="s">
        <v>19</v>
      </c>
      <c r="F4749" t="s">
        <v>14</v>
      </c>
      <c r="G4749" s="4">
        <v>11</v>
      </c>
      <c r="H4749" s="1">
        <v>46862</v>
      </c>
      <c r="I4749" s="3" t="s">
        <v>15</v>
      </c>
      <c r="J4749" s="4">
        <v>4</v>
      </c>
    </row>
    <row r="4750" spans="1:10" x14ac:dyDescent="0.35">
      <c r="A4750" s="2" t="s">
        <v>4786</v>
      </c>
      <c r="B4750" s="4">
        <v>4</v>
      </c>
      <c r="C4750" t="s">
        <v>17</v>
      </c>
      <c r="D4750" t="s">
        <v>12</v>
      </c>
      <c r="E4750" t="s">
        <v>29</v>
      </c>
      <c r="F4750" t="s">
        <v>20</v>
      </c>
      <c r="G4750" s="4">
        <v>14</v>
      </c>
      <c r="H4750" s="1">
        <v>38224</v>
      </c>
      <c r="I4750" s="3" t="s">
        <v>21</v>
      </c>
      <c r="J4750" s="4">
        <v>3</v>
      </c>
    </row>
    <row r="4751" spans="1:10" x14ac:dyDescent="0.35">
      <c r="A4751" s="2" t="s">
        <v>4787</v>
      </c>
      <c r="B4751" s="4">
        <v>51</v>
      </c>
      <c r="C4751" t="s">
        <v>11</v>
      </c>
      <c r="D4751" t="s">
        <v>33</v>
      </c>
      <c r="E4751" t="s">
        <v>42</v>
      </c>
      <c r="F4751" t="s">
        <v>30</v>
      </c>
      <c r="G4751" s="4">
        <v>8</v>
      </c>
      <c r="H4751" s="1">
        <v>81014</v>
      </c>
      <c r="I4751" s="3" t="s">
        <v>21</v>
      </c>
      <c r="J4751" s="4">
        <v>5</v>
      </c>
    </row>
    <row r="4752" spans="1:10" x14ac:dyDescent="0.35">
      <c r="A4752" s="2" t="s">
        <v>4788</v>
      </c>
      <c r="B4752" s="4">
        <v>23</v>
      </c>
      <c r="C4752" t="s">
        <v>17</v>
      </c>
      <c r="D4752" t="s">
        <v>36</v>
      </c>
      <c r="E4752" t="s">
        <v>53</v>
      </c>
      <c r="F4752" t="s">
        <v>30</v>
      </c>
      <c r="G4752" s="4">
        <v>7</v>
      </c>
      <c r="H4752" s="1">
        <v>93368</v>
      </c>
      <c r="I4752" s="3" t="s">
        <v>21</v>
      </c>
      <c r="J4752" s="4">
        <v>4</v>
      </c>
    </row>
    <row r="4753" spans="1:10" x14ac:dyDescent="0.35">
      <c r="A4753" s="2" t="s">
        <v>4789</v>
      </c>
      <c r="B4753" s="4">
        <v>17</v>
      </c>
      <c r="C4753" t="s">
        <v>17</v>
      </c>
      <c r="D4753" t="s">
        <v>36</v>
      </c>
      <c r="E4753" t="s">
        <v>34</v>
      </c>
      <c r="F4753" t="s">
        <v>14</v>
      </c>
      <c r="G4753" s="4">
        <v>5</v>
      </c>
      <c r="H4753" s="1">
        <v>59644</v>
      </c>
      <c r="I4753" s="3" t="s">
        <v>15</v>
      </c>
      <c r="J4753" s="4">
        <v>3</v>
      </c>
    </row>
    <row r="4754" spans="1:10" x14ac:dyDescent="0.35">
      <c r="A4754" s="2" t="s">
        <v>4790</v>
      </c>
      <c r="B4754" s="4">
        <v>14</v>
      </c>
      <c r="C4754" t="s">
        <v>11</v>
      </c>
      <c r="D4754" t="s">
        <v>12</v>
      </c>
      <c r="E4754" t="s">
        <v>65</v>
      </c>
      <c r="F4754" t="s">
        <v>20</v>
      </c>
      <c r="G4754" s="4">
        <v>15</v>
      </c>
      <c r="H4754" s="1">
        <v>6557</v>
      </c>
      <c r="I4754" s="3" t="s">
        <v>21</v>
      </c>
      <c r="J4754" s="4">
        <v>5</v>
      </c>
    </row>
    <row r="4755" spans="1:10" x14ac:dyDescent="0.35">
      <c r="A4755" s="2" t="s">
        <v>4791</v>
      </c>
      <c r="B4755" s="4">
        <v>17</v>
      </c>
      <c r="C4755" t="s">
        <v>11</v>
      </c>
      <c r="D4755" t="s">
        <v>12</v>
      </c>
      <c r="E4755" t="s">
        <v>24</v>
      </c>
      <c r="F4755" t="s">
        <v>30</v>
      </c>
      <c r="G4755" s="4">
        <v>4</v>
      </c>
      <c r="H4755" s="1">
        <v>63356</v>
      </c>
      <c r="I4755" s="3" t="s">
        <v>15</v>
      </c>
      <c r="J4755" s="4">
        <v>2</v>
      </c>
    </row>
    <row r="4756" spans="1:10" x14ac:dyDescent="0.35">
      <c r="A4756" s="2" t="s">
        <v>4792</v>
      </c>
      <c r="B4756" s="4">
        <v>75</v>
      </c>
      <c r="C4756" t="s">
        <v>11</v>
      </c>
      <c r="D4756" t="s">
        <v>26</v>
      </c>
      <c r="E4756" t="s">
        <v>65</v>
      </c>
      <c r="F4756" t="s">
        <v>14</v>
      </c>
      <c r="G4756" s="4">
        <v>6</v>
      </c>
      <c r="H4756" s="1">
        <v>30478</v>
      </c>
      <c r="I4756" s="3" t="s">
        <v>15</v>
      </c>
      <c r="J4756" s="4">
        <v>3</v>
      </c>
    </row>
    <row r="4757" spans="1:10" x14ac:dyDescent="0.35">
      <c r="A4757" s="2" t="s">
        <v>4793</v>
      </c>
      <c r="B4757" s="4">
        <v>25</v>
      </c>
      <c r="C4757" t="s">
        <v>17</v>
      </c>
      <c r="D4757" t="s">
        <v>26</v>
      </c>
      <c r="E4757" t="s">
        <v>42</v>
      </c>
      <c r="F4757" t="s">
        <v>14</v>
      </c>
      <c r="G4757" s="4">
        <v>11</v>
      </c>
      <c r="H4757" s="1">
        <v>94724</v>
      </c>
      <c r="I4757" s="3" t="s">
        <v>21</v>
      </c>
      <c r="J4757" s="4">
        <v>1</v>
      </c>
    </row>
    <row r="4758" spans="1:10" x14ac:dyDescent="0.35">
      <c r="A4758" s="2" t="s">
        <v>4794</v>
      </c>
      <c r="B4758" s="4">
        <v>74</v>
      </c>
      <c r="C4758" t="s">
        <v>17</v>
      </c>
      <c r="D4758" t="s">
        <v>49</v>
      </c>
      <c r="E4758" t="s">
        <v>53</v>
      </c>
      <c r="F4758" t="s">
        <v>20</v>
      </c>
      <c r="G4758" s="4">
        <v>15</v>
      </c>
      <c r="H4758" s="1">
        <v>41845</v>
      </c>
      <c r="I4758" s="3" t="s">
        <v>15</v>
      </c>
      <c r="J4758" s="4">
        <v>1</v>
      </c>
    </row>
    <row r="4759" spans="1:10" x14ac:dyDescent="0.35">
      <c r="A4759" s="2" t="s">
        <v>4795</v>
      </c>
      <c r="B4759" s="4">
        <v>7</v>
      </c>
      <c r="C4759" t="s">
        <v>11</v>
      </c>
      <c r="D4759" t="s">
        <v>23</v>
      </c>
      <c r="E4759" t="s">
        <v>65</v>
      </c>
      <c r="F4759" t="s">
        <v>30</v>
      </c>
      <c r="G4759" s="4">
        <v>11</v>
      </c>
      <c r="H4759" s="1">
        <v>78380</v>
      </c>
      <c r="I4759" s="3" t="s">
        <v>15</v>
      </c>
      <c r="J4759" s="4">
        <v>2</v>
      </c>
    </row>
    <row r="4760" spans="1:10" x14ac:dyDescent="0.35">
      <c r="A4760" s="2" t="s">
        <v>4796</v>
      </c>
      <c r="B4760" s="4">
        <v>50</v>
      </c>
      <c r="C4760" t="s">
        <v>11</v>
      </c>
      <c r="D4760" t="s">
        <v>39</v>
      </c>
      <c r="E4760" t="s">
        <v>34</v>
      </c>
      <c r="F4760" t="s">
        <v>30</v>
      </c>
      <c r="G4760" s="4">
        <v>7</v>
      </c>
      <c r="H4760" s="1">
        <v>19547</v>
      </c>
      <c r="I4760" s="3" t="s">
        <v>15</v>
      </c>
      <c r="J4760" s="4">
        <v>2</v>
      </c>
    </row>
    <row r="4761" spans="1:10" x14ac:dyDescent="0.35">
      <c r="A4761" s="2" t="s">
        <v>4797</v>
      </c>
      <c r="B4761" s="4">
        <v>35</v>
      </c>
      <c r="C4761" t="s">
        <v>17</v>
      </c>
      <c r="D4761" t="s">
        <v>41</v>
      </c>
      <c r="E4761" t="s">
        <v>42</v>
      </c>
      <c r="F4761" t="s">
        <v>30</v>
      </c>
      <c r="G4761" s="4">
        <v>11</v>
      </c>
      <c r="H4761" s="1">
        <v>32394</v>
      </c>
      <c r="I4761" s="3" t="s">
        <v>15</v>
      </c>
      <c r="J4761" s="4">
        <v>1</v>
      </c>
    </row>
    <row r="4762" spans="1:10" x14ac:dyDescent="0.35">
      <c r="A4762" s="2" t="s">
        <v>4798</v>
      </c>
      <c r="B4762" s="4">
        <v>87</v>
      </c>
      <c r="C4762" t="s">
        <v>17</v>
      </c>
      <c r="D4762" t="s">
        <v>12</v>
      </c>
      <c r="E4762" t="s">
        <v>13</v>
      </c>
      <c r="F4762" t="s">
        <v>20</v>
      </c>
      <c r="G4762" s="4">
        <v>5</v>
      </c>
      <c r="H4762" s="1">
        <v>10694</v>
      </c>
      <c r="I4762" s="3" t="s">
        <v>15</v>
      </c>
      <c r="J4762" s="4">
        <v>1</v>
      </c>
    </row>
    <row r="4763" spans="1:10" x14ac:dyDescent="0.35">
      <c r="A4763" s="2" t="s">
        <v>4799</v>
      </c>
      <c r="B4763" s="4">
        <v>5</v>
      </c>
      <c r="C4763" t="s">
        <v>17</v>
      </c>
      <c r="D4763" t="s">
        <v>12</v>
      </c>
      <c r="E4763" t="s">
        <v>53</v>
      </c>
      <c r="F4763" t="s">
        <v>20</v>
      </c>
      <c r="G4763" s="4">
        <v>9</v>
      </c>
      <c r="H4763" s="1">
        <v>55084</v>
      </c>
      <c r="I4763" s="3" t="s">
        <v>15</v>
      </c>
      <c r="J4763" s="4">
        <v>2</v>
      </c>
    </row>
    <row r="4764" spans="1:10" x14ac:dyDescent="0.35">
      <c r="A4764" s="2" t="s">
        <v>4800</v>
      </c>
      <c r="B4764" s="4">
        <v>68</v>
      </c>
      <c r="C4764" t="s">
        <v>17</v>
      </c>
      <c r="D4764" t="s">
        <v>23</v>
      </c>
      <c r="E4764" t="s">
        <v>27</v>
      </c>
      <c r="F4764" t="s">
        <v>14</v>
      </c>
      <c r="G4764" s="4">
        <v>8</v>
      </c>
      <c r="H4764" s="1">
        <v>29184</v>
      </c>
      <c r="I4764" s="3" t="s">
        <v>15</v>
      </c>
      <c r="J4764" s="4">
        <v>2</v>
      </c>
    </row>
    <row r="4765" spans="1:10" x14ac:dyDescent="0.35">
      <c r="A4765" s="2" t="s">
        <v>4801</v>
      </c>
      <c r="B4765" s="4">
        <v>13</v>
      </c>
      <c r="C4765" t="s">
        <v>11</v>
      </c>
      <c r="D4765" t="s">
        <v>41</v>
      </c>
      <c r="E4765" t="s">
        <v>42</v>
      </c>
      <c r="F4765" t="s">
        <v>20</v>
      </c>
      <c r="G4765" s="4">
        <v>12</v>
      </c>
      <c r="H4765" s="1">
        <v>87098</v>
      </c>
      <c r="I4765" s="3" t="s">
        <v>21</v>
      </c>
      <c r="J4765" s="4">
        <v>3</v>
      </c>
    </row>
    <row r="4766" spans="1:10" x14ac:dyDescent="0.35">
      <c r="A4766" s="2" t="s">
        <v>4802</v>
      </c>
      <c r="B4766" s="4">
        <v>55</v>
      </c>
      <c r="C4766" t="s">
        <v>17</v>
      </c>
      <c r="D4766" t="s">
        <v>33</v>
      </c>
      <c r="E4766" t="s">
        <v>13</v>
      </c>
      <c r="F4766" t="s">
        <v>30</v>
      </c>
      <c r="G4766" s="4">
        <v>2</v>
      </c>
      <c r="H4766" s="1">
        <v>51458</v>
      </c>
      <c r="I4766" s="3" t="s">
        <v>21</v>
      </c>
      <c r="J4766" s="4">
        <v>3</v>
      </c>
    </row>
    <row r="4767" spans="1:10" x14ac:dyDescent="0.35">
      <c r="A4767" s="2" t="s">
        <v>4803</v>
      </c>
      <c r="B4767" s="4">
        <v>55</v>
      </c>
      <c r="C4767" t="s">
        <v>11</v>
      </c>
      <c r="D4767" t="s">
        <v>36</v>
      </c>
      <c r="E4767" t="s">
        <v>34</v>
      </c>
      <c r="F4767" t="s">
        <v>30</v>
      </c>
      <c r="G4767" s="4">
        <v>9</v>
      </c>
      <c r="H4767" s="1">
        <v>88660</v>
      </c>
      <c r="I4767" s="3" t="s">
        <v>21</v>
      </c>
      <c r="J4767" s="4">
        <v>4</v>
      </c>
    </row>
    <row r="4768" spans="1:10" x14ac:dyDescent="0.35">
      <c r="A4768" s="2" t="s">
        <v>4804</v>
      </c>
      <c r="B4768" s="4">
        <v>26</v>
      </c>
      <c r="C4768" t="s">
        <v>11</v>
      </c>
      <c r="D4768" t="s">
        <v>36</v>
      </c>
      <c r="E4768" t="s">
        <v>42</v>
      </c>
      <c r="F4768" t="s">
        <v>20</v>
      </c>
      <c r="G4768" s="4">
        <v>14</v>
      </c>
      <c r="H4768" s="1">
        <v>11509</v>
      </c>
      <c r="I4768" s="3" t="s">
        <v>15</v>
      </c>
      <c r="J4768" s="4">
        <v>2</v>
      </c>
    </row>
    <row r="4769" spans="1:10" x14ac:dyDescent="0.35">
      <c r="A4769" s="2" t="s">
        <v>4805</v>
      </c>
      <c r="B4769" s="4">
        <v>45</v>
      </c>
      <c r="C4769" t="s">
        <v>17</v>
      </c>
      <c r="D4769" t="s">
        <v>12</v>
      </c>
      <c r="E4769" t="s">
        <v>13</v>
      </c>
      <c r="F4769" t="s">
        <v>14</v>
      </c>
      <c r="G4769" s="4">
        <v>2</v>
      </c>
      <c r="H4769" s="1">
        <v>39508</v>
      </c>
      <c r="I4769" s="3" t="s">
        <v>21</v>
      </c>
      <c r="J4769" s="4">
        <v>5</v>
      </c>
    </row>
    <row r="4770" spans="1:10" x14ac:dyDescent="0.35">
      <c r="A4770" s="2" t="s">
        <v>4806</v>
      </c>
      <c r="B4770" s="4">
        <v>69</v>
      </c>
      <c r="C4770" t="s">
        <v>11</v>
      </c>
      <c r="D4770" t="s">
        <v>28</v>
      </c>
      <c r="E4770" t="s">
        <v>65</v>
      </c>
      <c r="F4770" t="s">
        <v>30</v>
      </c>
      <c r="G4770" s="4">
        <v>8</v>
      </c>
      <c r="H4770" s="1">
        <v>44459</v>
      </c>
      <c r="I4770" s="3" t="s">
        <v>15</v>
      </c>
      <c r="J4770" s="4">
        <v>3</v>
      </c>
    </row>
    <row r="4771" spans="1:10" x14ac:dyDescent="0.35">
      <c r="A4771" s="2" t="s">
        <v>4807</v>
      </c>
      <c r="B4771" s="4">
        <v>83</v>
      </c>
      <c r="C4771" t="s">
        <v>11</v>
      </c>
      <c r="D4771" t="s">
        <v>41</v>
      </c>
      <c r="E4771" t="s">
        <v>13</v>
      </c>
      <c r="F4771" t="s">
        <v>30</v>
      </c>
      <c r="G4771" s="4">
        <v>10</v>
      </c>
      <c r="H4771" s="1">
        <v>80705</v>
      </c>
      <c r="I4771" s="3" t="s">
        <v>15</v>
      </c>
      <c r="J4771" s="4">
        <v>3</v>
      </c>
    </row>
    <row r="4772" spans="1:10" x14ac:dyDescent="0.35">
      <c r="A4772" s="2" t="s">
        <v>4808</v>
      </c>
      <c r="B4772" s="4">
        <v>90</v>
      </c>
      <c r="C4772" t="s">
        <v>11</v>
      </c>
      <c r="D4772" t="s">
        <v>36</v>
      </c>
      <c r="E4772" t="s">
        <v>13</v>
      </c>
      <c r="F4772" t="s">
        <v>14</v>
      </c>
      <c r="G4772" s="4">
        <v>8</v>
      </c>
      <c r="H4772" s="1">
        <v>44849</v>
      </c>
      <c r="I4772" s="3" t="s">
        <v>15</v>
      </c>
      <c r="J4772" s="4">
        <v>5</v>
      </c>
    </row>
    <row r="4773" spans="1:10" x14ac:dyDescent="0.35">
      <c r="A4773" s="2" t="s">
        <v>4809</v>
      </c>
      <c r="B4773" s="4">
        <v>7</v>
      </c>
      <c r="C4773" t="s">
        <v>11</v>
      </c>
      <c r="D4773" t="s">
        <v>26</v>
      </c>
      <c r="E4773" t="s">
        <v>29</v>
      </c>
      <c r="F4773" t="s">
        <v>14</v>
      </c>
      <c r="G4773" s="4">
        <v>7</v>
      </c>
      <c r="H4773" s="1">
        <v>51440</v>
      </c>
      <c r="I4773" s="3" t="s">
        <v>15</v>
      </c>
      <c r="J4773" s="4">
        <v>3</v>
      </c>
    </row>
    <row r="4774" spans="1:10" x14ac:dyDescent="0.35">
      <c r="A4774" s="2" t="s">
        <v>4810</v>
      </c>
      <c r="B4774" s="4">
        <v>57</v>
      </c>
      <c r="C4774" t="s">
        <v>11</v>
      </c>
      <c r="D4774" t="s">
        <v>23</v>
      </c>
      <c r="E4774" t="s">
        <v>42</v>
      </c>
      <c r="F4774" t="s">
        <v>14</v>
      </c>
      <c r="G4774" s="4">
        <v>7</v>
      </c>
      <c r="H4774" s="1">
        <v>59200</v>
      </c>
      <c r="I4774" s="3" t="s">
        <v>15</v>
      </c>
      <c r="J4774" s="4">
        <v>5</v>
      </c>
    </row>
    <row r="4775" spans="1:10" x14ac:dyDescent="0.35">
      <c r="A4775" s="2" t="s">
        <v>4811</v>
      </c>
      <c r="B4775" s="4">
        <v>17</v>
      </c>
      <c r="C4775" t="s">
        <v>11</v>
      </c>
      <c r="D4775" t="s">
        <v>18</v>
      </c>
      <c r="E4775" t="s">
        <v>53</v>
      </c>
      <c r="F4775" t="s">
        <v>14</v>
      </c>
      <c r="G4775" s="4">
        <v>12</v>
      </c>
      <c r="H4775" s="1">
        <v>60212</v>
      </c>
      <c r="I4775" s="3" t="s">
        <v>21</v>
      </c>
      <c r="J4775" s="4">
        <v>3</v>
      </c>
    </row>
    <row r="4776" spans="1:10" x14ac:dyDescent="0.35">
      <c r="A4776" s="2" t="s">
        <v>4812</v>
      </c>
      <c r="B4776" s="4">
        <v>64</v>
      </c>
      <c r="C4776" t="s">
        <v>17</v>
      </c>
      <c r="D4776" t="s">
        <v>23</v>
      </c>
      <c r="E4776" t="s">
        <v>34</v>
      </c>
      <c r="F4776" t="s">
        <v>14</v>
      </c>
      <c r="G4776" s="4">
        <v>5</v>
      </c>
      <c r="H4776" s="1">
        <v>45531</v>
      </c>
      <c r="I4776" s="3" t="s">
        <v>21</v>
      </c>
      <c r="J4776" s="4">
        <v>2</v>
      </c>
    </row>
    <row r="4777" spans="1:10" x14ac:dyDescent="0.35">
      <c r="A4777" s="2" t="s">
        <v>4813</v>
      </c>
      <c r="B4777" s="4">
        <v>15</v>
      </c>
      <c r="C4777" t="s">
        <v>17</v>
      </c>
      <c r="D4777" t="s">
        <v>28</v>
      </c>
      <c r="E4777" t="s">
        <v>13</v>
      </c>
      <c r="F4777" t="s">
        <v>20</v>
      </c>
      <c r="G4777" s="4">
        <v>3</v>
      </c>
      <c r="H4777" s="1">
        <v>25873</v>
      </c>
      <c r="I4777" s="3" t="s">
        <v>21</v>
      </c>
      <c r="J4777" s="4">
        <v>4</v>
      </c>
    </row>
    <row r="4778" spans="1:10" x14ac:dyDescent="0.35">
      <c r="A4778" s="2" t="s">
        <v>4814</v>
      </c>
      <c r="B4778" s="4">
        <v>44</v>
      </c>
      <c r="C4778" t="s">
        <v>17</v>
      </c>
      <c r="D4778" t="s">
        <v>26</v>
      </c>
      <c r="E4778" t="s">
        <v>27</v>
      </c>
      <c r="F4778" t="s">
        <v>14</v>
      </c>
      <c r="G4778" s="4">
        <v>9</v>
      </c>
      <c r="H4778" s="1">
        <v>51631</v>
      </c>
      <c r="I4778" s="3" t="s">
        <v>21</v>
      </c>
      <c r="J4778" s="4">
        <v>1</v>
      </c>
    </row>
    <row r="4779" spans="1:10" x14ac:dyDescent="0.35">
      <c r="A4779" s="2" t="s">
        <v>4815</v>
      </c>
      <c r="B4779" s="4">
        <v>49</v>
      </c>
      <c r="C4779" t="s">
        <v>11</v>
      </c>
      <c r="D4779" t="s">
        <v>39</v>
      </c>
      <c r="E4779" t="s">
        <v>27</v>
      </c>
      <c r="F4779" t="s">
        <v>14</v>
      </c>
      <c r="G4779" s="4">
        <v>7</v>
      </c>
      <c r="H4779" s="1">
        <v>12004</v>
      </c>
      <c r="I4779" s="3" t="s">
        <v>15</v>
      </c>
      <c r="J4779" s="4">
        <v>3</v>
      </c>
    </row>
    <row r="4780" spans="1:10" x14ac:dyDescent="0.35">
      <c r="A4780" s="2" t="s">
        <v>4816</v>
      </c>
      <c r="B4780" s="4">
        <v>68</v>
      </c>
      <c r="C4780" t="s">
        <v>17</v>
      </c>
      <c r="D4780" t="s">
        <v>28</v>
      </c>
      <c r="E4780" t="s">
        <v>27</v>
      </c>
      <c r="F4780" t="s">
        <v>30</v>
      </c>
      <c r="G4780" s="4">
        <v>14</v>
      </c>
      <c r="H4780" s="1">
        <v>80078</v>
      </c>
      <c r="I4780" s="3" t="s">
        <v>21</v>
      </c>
      <c r="J4780" s="4">
        <v>5</v>
      </c>
    </row>
    <row r="4781" spans="1:10" x14ac:dyDescent="0.35">
      <c r="A4781" s="2" t="s">
        <v>4817</v>
      </c>
      <c r="B4781" s="4">
        <v>34</v>
      </c>
      <c r="C4781" t="s">
        <v>11</v>
      </c>
      <c r="D4781" t="s">
        <v>28</v>
      </c>
      <c r="E4781" t="s">
        <v>53</v>
      </c>
      <c r="F4781" t="s">
        <v>14</v>
      </c>
      <c r="G4781" s="4">
        <v>4</v>
      </c>
      <c r="H4781" s="1">
        <v>53084</v>
      </c>
      <c r="I4781" s="3" t="s">
        <v>21</v>
      </c>
      <c r="J4781" s="4">
        <v>2</v>
      </c>
    </row>
    <row r="4782" spans="1:10" x14ac:dyDescent="0.35">
      <c r="A4782" s="2" t="s">
        <v>4818</v>
      </c>
      <c r="B4782" s="4">
        <v>80</v>
      </c>
      <c r="C4782" t="s">
        <v>11</v>
      </c>
      <c r="D4782" t="s">
        <v>12</v>
      </c>
      <c r="E4782" t="s">
        <v>29</v>
      </c>
      <c r="F4782" t="s">
        <v>20</v>
      </c>
      <c r="G4782" s="4">
        <v>11</v>
      </c>
      <c r="H4782" s="1">
        <v>16201</v>
      </c>
      <c r="I4782" s="3" t="s">
        <v>21</v>
      </c>
      <c r="J4782" s="4">
        <v>3</v>
      </c>
    </row>
    <row r="4783" spans="1:10" x14ac:dyDescent="0.35">
      <c r="A4783" s="2" t="s">
        <v>4819</v>
      </c>
      <c r="B4783" s="4">
        <v>1</v>
      </c>
      <c r="C4783" t="s">
        <v>11</v>
      </c>
      <c r="D4783" t="s">
        <v>33</v>
      </c>
      <c r="E4783" t="s">
        <v>13</v>
      </c>
      <c r="F4783" t="s">
        <v>20</v>
      </c>
      <c r="G4783" s="4">
        <v>14</v>
      </c>
      <c r="H4783" s="1">
        <v>23708</v>
      </c>
      <c r="I4783" s="3" t="s">
        <v>21</v>
      </c>
      <c r="J4783" s="4">
        <v>4</v>
      </c>
    </row>
    <row r="4784" spans="1:10" x14ac:dyDescent="0.35">
      <c r="A4784" s="2" t="s">
        <v>4820</v>
      </c>
      <c r="B4784" s="4">
        <v>78</v>
      </c>
      <c r="C4784" t="s">
        <v>11</v>
      </c>
      <c r="D4784" t="s">
        <v>28</v>
      </c>
      <c r="E4784" t="s">
        <v>27</v>
      </c>
      <c r="F4784" t="s">
        <v>30</v>
      </c>
      <c r="G4784" s="4">
        <v>10</v>
      </c>
      <c r="H4784" s="1">
        <v>96336</v>
      </c>
      <c r="I4784" s="3" t="s">
        <v>21</v>
      </c>
      <c r="J4784" s="4">
        <v>1</v>
      </c>
    </row>
    <row r="4785" spans="1:10" x14ac:dyDescent="0.35">
      <c r="A4785" s="2" t="s">
        <v>4821</v>
      </c>
      <c r="B4785" s="4">
        <v>22</v>
      </c>
      <c r="C4785" t="s">
        <v>11</v>
      </c>
      <c r="D4785" t="s">
        <v>36</v>
      </c>
      <c r="E4785" t="s">
        <v>24</v>
      </c>
      <c r="F4785" t="s">
        <v>30</v>
      </c>
      <c r="G4785" s="4">
        <v>10</v>
      </c>
      <c r="H4785" s="1">
        <v>41540</v>
      </c>
      <c r="I4785" s="3" t="s">
        <v>15</v>
      </c>
      <c r="J4785" s="4">
        <v>4</v>
      </c>
    </row>
    <row r="4786" spans="1:10" x14ac:dyDescent="0.35">
      <c r="A4786" s="2" t="s">
        <v>4822</v>
      </c>
      <c r="B4786" s="4">
        <v>10</v>
      </c>
      <c r="C4786" t="s">
        <v>17</v>
      </c>
      <c r="D4786" t="s">
        <v>41</v>
      </c>
      <c r="E4786" t="s">
        <v>65</v>
      </c>
      <c r="F4786" t="s">
        <v>30</v>
      </c>
      <c r="G4786" s="4">
        <v>15</v>
      </c>
      <c r="H4786" s="1">
        <v>84317</v>
      </c>
      <c r="I4786" s="3" t="s">
        <v>21</v>
      </c>
      <c r="J4786" s="4">
        <v>3</v>
      </c>
    </row>
    <row r="4787" spans="1:10" x14ac:dyDescent="0.35">
      <c r="A4787" s="2" t="s">
        <v>4823</v>
      </c>
      <c r="B4787" s="4">
        <v>46</v>
      </c>
      <c r="C4787" t="s">
        <v>11</v>
      </c>
      <c r="D4787" t="s">
        <v>18</v>
      </c>
      <c r="E4787" t="s">
        <v>13</v>
      </c>
      <c r="F4787" t="s">
        <v>14</v>
      </c>
      <c r="G4787" s="4">
        <v>9</v>
      </c>
      <c r="H4787" s="1">
        <v>15280</v>
      </c>
      <c r="I4787" s="3" t="s">
        <v>15</v>
      </c>
      <c r="J4787" s="4">
        <v>3</v>
      </c>
    </row>
    <row r="4788" spans="1:10" x14ac:dyDescent="0.35">
      <c r="A4788" s="2" t="s">
        <v>4824</v>
      </c>
      <c r="B4788" s="4">
        <v>3</v>
      </c>
      <c r="C4788" t="s">
        <v>11</v>
      </c>
      <c r="D4788" t="s">
        <v>41</v>
      </c>
      <c r="E4788" t="s">
        <v>65</v>
      </c>
      <c r="F4788" t="s">
        <v>20</v>
      </c>
      <c r="G4788" s="4">
        <v>14</v>
      </c>
      <c r="H4788" s="1">
        <v>80821</v>
      </c>
      <c r="I4788" s="3" t="s">
        <v>21</v>
      </c>
      <c r="J4788" s="4">
        <v>4</v>
      </c>
    </row>
    <row r="4789" spans="1:10" x14ac:dyDescent="0.35">
      <c r="A4789" s="2" t="s">
        <v>4825</v>
      </c>
      <c r="B4789" s="4">
        <v>57</v>
      </c>
      <c r="C4789" t="s">
        <v>17</v>
      </c>
      <c r="D4789" t="s">
        <v>26</v>
      </c>
      <c r="E4789" t="s">
        <v>42</v>
      </c>
      <c r="F4789" t="s">
        <v>20</v>
      </c>
      <c r="G4789" s="4">
        <v>8</v>
      </c>
      <c r="H4789" s="1">
        <v>52562</v>
      </c>
      <c r="I4789" s="3" t="s">
        <v>21</v>
      </c>
      <c r="J4789" s="4">
        <v>3</v>
      </c>
    </row>
    <row r="4790" spans="1:10" x14ac:dyDescent="0.35">
      <c r="A4790" s="2" t="s">
        <v>4826</v>
      </c>
      <c r="B4790" s="4">
        <v>51</v>
      </c>
      <c r="C4790" t="s">
        <v>11</v>
      </c>
      <c r="D4790" t="s">
        <v>41</v>
      </c>
      <c r="E4790" t="s">
        <v>29</v>
      </c>
      <c r="F4790" t="s">
        <v>14</v>
      </c>
      <c r="G4790" s="4">
        <v>13</v>
      </c>
      <c r="H4790" s="1">
        <v>86185</v>
      </c>
      <c r="I4790" s="3" t="s">
        <v>15</v>
      </c>
      <c r="J4790" s="4">
        <v>2</v>
      </c>
    </row>
    <row r="4791" spans="1:10" x14ac:dyDescent="0.35">
      <c r="A4791" s="2" t="s">
        <v>4827</v>
      </c>
      <c r="B4791" s="4">
        <v>48</v>
      </c>
      <c r="C4791" t="s">
        <v>11</v>
      </c>
      <c r="D4791" t="s">
        <v>49</v>
      </c>
      <c r="E4791" t="s">
        <v>37</v>
      </c>
      <c r="F4791" t="s">
        <v>20</v>
      </c>
      <c r="G4791" s="4">
        <v>15</v>
      </c>
      <c r="H4791" s="1">
        <v>85503</v>
      </c>
      <c r="I4791" s="3" t="s">
        <v>15</v>
      </c>
      <c r="J4791" s="4">
        <v>3</v>
      </c>
    </row>
    <row r="4792" spans="1:10" x14ac:dyDescent="0.35">
      <c r="A4792" s="2" t="s">
        <v>4828</v>
      </c>
      <c r="B4792" s="4">
        <v>87</v>
      </c>
      <c r="C4792" t="s">
        <v>17</v>
      </c>
      <c r="D4792" t="s">
        <v>23</v>
      </c>
      <c r="E4792" t="s">
        <v>42</v>
      </c>
      <c r="F4792" t="s">
        <v>30</v>
      </c>
      <c r="G4792" s="4">
        <v>11</v>
      </c>
      <c r="H4792" s="1">
        <v>66396</v>
      </c>
      <c r="I4792" s="3" t="s">
        <v>21</v>
      </c>
      <c r="J4792" s="4">
        <v>5</v>
      </c>
    </row>
    <row r="4793" spans="1:10" x14ac:dyDescent="0.35">
      <c r="A4793" s="2" t="s">
        <v>4829</v>
      </c>
      <c r="B4793" s="4">
        <v>69</v>
      </c>
      <c r="C4793" t="s">
        <v>17</v>
      </c>
      <c r="D4793" t="s">
        <v>39</v>
      </c>
      <c r="E4793" t="s">
        <v>65</v>
      </c>
      <c r="F4793" t="s">
        <v>14</v>
      </c>
      <c r="G4793" s="4">
        <v>5</v>
      </c>
      <c r="H4793" s="1">
        <v>98318</v>
      </c>
      <c r="I4793" s="3" t="s">
        <v>21</v>
      </c>
      <c r="J4793" s="4">
        <v>1</v>
      </c>
    </row>
    <row r="4794" spans="1:10" x14ac:dyDescent="0.35">
      <c r="A4794" s="2" t="s">
        <v>4830</v>
      </c>
      <c r="B4794" s="4">
        <v>58</v>
      </c>
      <c r="C4794" t="s">
        <v>17</v>
      </c>
      <c r="D4794" t="s">
        <v>23</v>
      </c>
      <c r="E4794" t="s">
        <v>42</v>
      </c>
      <c r="F4794" t="s">
        <v>20</v>
      </c>
      <c r="G4794" s="4">
        <v>2</v>
      </c>
      <c r="H4794" s="1">
        <v>10802</v>
      </c>
      <c r="I4794" s="3" t="s">
        <v>21</v>
      </c>
      <c r="J4794" s="4">
        <v>3</v>
      </c>
    </row>
    <row r="4795" spans="1:10" x14ac:dyDescent="0.35">
      <c r="A4795" s="2" t="s">
        <v>4831</v>
      </c>
      <c r="B4795" s="4">
        <v>10</v>
      </c>
      <c r="C4795" t="s">
        <v>11</v>
      </c>
      <c r="D4795" t="s">
        <v>28</v>
      </c>
      <c r="E4795" t="s">
        <v>27</v>
      </c>
      <c r="F4795" t="s">
        <v>30</v>
      </c>
      <c r="G4795" s="4">
        <v>2</v>
      </c>
      <c r="H4795" s="1">
        <v>29699</v>
      </c>
      <c r="I4795" s="3" t="s">
        <v>15</v>
      </c>
      <c r="J4795" s="4">
        <v>2</v>
      </c>
    </row>
    <row r="4796" spans="1:10" x14ac:dyDescent="0.35">
      <c r="A4796" s="2" t="s">
        <v>4832</v>
      </c>
      <c r="B4796" s="4">
        <v>37</v>
      </c>
      <c r="C4796" t="s">
        <v>11</v>
      </c>
      <c r="D4796" t="s">
        <v>39</v>
      </c>
      <c r="E4796" t="s">
        <v>24</v>
      </c>
      <c r="F4796" t="s">
        <v>30</v>
      </c>
      <c r="G4796" s="4">
        <v>8</v>
      </c>
      <c r="H4796" s="1">
        <v>59280</v>
      </c>
      <c r="I4796" s="3" t="s">
        <v>21</v>
      </c>
      <c r="J4796" s="4">
        <v>5</v>
      </c>
    </row>
    <row r="4797" spans="1:10" x14ac:dyDescent="0.35">
      <c r="A4797" s="2" t="s">
        <v>4833</v>
      </c>
      <c r="B4797" s="4">
        <v>86</v>
      </c>
      <c r="C4797" t="s">
        <v>17</v>
      </c>
      <c r="D4797" t="s">
        <v>26</v>
      </c>
      <c r="E4797" t="s">
        <v>37</v>
      </c>
      <c r="F4797" t="s">
        <v>20</v>
      </c>
      <c r="G4797" s="4">
        <v>13</v>
      </c>
      <c r="H4797" s="1">
        <v>34944</v>
      </c>
      <c r="I4797" s="3" t="s">
        <v>21</v>
      </c>
      <c r="J4797" s="4">
        <v>3</v>
      </c>
    </row>
    <row r="4798" spans="1:10" x14ac:dyDescent="0.35">
      <c r="A4798" s="2" t="s">
        <v>4834</v>
      </c>
      <c r="B4798" s="4">
        <v>23</v>
      </c>
      <c r="C4798" t="s">
        <v>11</v>
      </c>
      <c r="D4798" t="s">
        <v>33</v>
      </c>
      <c r="E4798" t="s">
        <v>65</v>
      </c>
      <c r="F4798" t="s">
        <v>20</v>
      </c>
      <c r="G4798" s="4">
        <v>2</v>
      </c>
      <c r="H4798" s="1">
        <v>73941</v>
      </c>
      <c r="I4798" s="3" t="s">
        <v>21</v>
      </c>
      <c r="J4798" s="4">
        <v>2</v>
      </c>
    </row>
    <row r="4799" spans="1:10" x14ac:dyDescent="0.35">
      <c r="A4799" s="2" t="s">
        <v>4835</v>
      </c>
      <c r="B4799" s="4">
        <v>23</v>
      </c>
      <c r="C4799" t="s">
        <v>11</v>
      </c>
      <c r="D4799" t="s">
        <v>39</v>
      </c>
      <c r="E4799" t="s">
        <v>19</v>
      </c>
      <c r="F4799" t="s">
        <v>14</v>
      </c>
      <c r="G4799" s="4">
        <v>13</v>
      </c>
      <c r="H4799" s="1">
        <v>79755</v>
      </c>
      <c r="I4799" s="3" t="s">
        <v>21</v>
      </c>
      <c r="J4799" s="4">
        <v>1</v>
      </c>
    </row>
    <row r="4800" spans="1:10" x14ac:dyDescent="0.35">
      <c r="A4800" s="2" t="s">
        <v>4836</v>
      </c>
      <c r="B4800" s="4">
        <v>36</v>
      </c>
      <c r="C4800" t="s">
        <v>17</v>
      </c>
      <c r="D4800" t="s">
        <v>36</v>
      </c>
      <c r="E4800" t="s">
        <v>29</v>
      </c>
      <c r="F4800" t="s">
        <v>20</v>
      </c>
      <c r="G4800" s="4">
        <v>14</v>
      </c>
      <c r="H4800" s="1">
        <v>45620</v>
      </c>
      <c r="I4800" s="3" t="s">
        <v>21</v>
      </c>
      <c r="J4800" s="4">
        <v>5</v>
      </c>
    </row>
    <row r="4801" spans="1:10" x14ac:dyDescent="0.35">
      <c r="A4801" s="2" t="s">
        <v>4837</v>
      </c>
      <c r="B4801" s="4">
        <v>31</v>
      </c>
      <c r="C4801" t="s">
        <v>17</v>
      </c>
      <c r="D4801" t="s">
        <v>18</v>
      </c>
      <c r="E4801" t="s">
        <v>27</v>
      </c>
      <c r="F4801" t="s">
        <v>14</v>
      </c>
      <c r="G4801" s="4">
        <v>2</v>
      </c>
      <c r="H4801" s="1">
        <v>74210</v>
      </c>
      <c r="I4801" s="3" t="s">
        <v>15</v>
      </c>
      <c r="J4801" s="4">
        <v>5</v>
      </c>
    </row>
    <row r="4802" spans="1:10" x14ac:dyDescent="0.35">
      <c r="A4802" s="2" t="s">
        <v>4838</v>
      </c>
      <c r="B4802" s="4">
        <v>61</v>
      </c>
      <c r="C4802" t="s">
        <v>17</v>
      </c>
      <c r="D4802" t="s">
        <v>39</v>
      </c>
      <c r="E4802" t="s">
        <v>24</v>
      </c>
      <c r="F4802" t="s">
        <v>14</v>
      </c>
      <c r="G4802" s="4">
        <v>3</v>
      </c>
      <c r="H4802" s="1">
        <v>92479</v>
      </c>
      <c r="I4802" s="3" t="s">
        <v>15</v>
      </c>
      <c r="J4802" s="4">
        <v>1</v>
      </c>
    </row>
    <row r="4803" spans="1:10" x14ac:dyDescent="0.35">
      <c r="A4803" s="2" t="s">
        <v>4839</v>
      </c>
      <c r="B4803" s="4">
        <v>50</v>
      </c>
      <c r="C4803" t="s">
        <v>17</v>
      </c>
      <c r="D4803" t="s">
        <v>33</v>
      </c>
      <c r="E4803" t="s">
        <v>27</v>
      </c>
      <c r="F4803" t="s">
        <v>20</v>
      </c>
      <c r="G4803" s="4">
        <v>11</v>
      </c>
      <c r="H4803" s="1">
        <v>6383</v>
      </c>
      <c r="I4803" s="3" t="s">
        <v>21</v>
      </c>
      <c r="J4803" s="4">
        <v>5</v>
      </c>
    </row>
    <row r="4804" spans="1:10" x14ac:dyDescent="0.35">
      <c r="A4804" s="2" t="s">
        <v>4840</v>
      </c>
      <c r="B4804" s="4">
        <v>18</v>
      </c>
      <c r="C4804" t="s">
        <v>11</v>
      </c>
      <c r="D4804" t="s">
        <v>28</v>
      </c>
      <c r="E4804" t="s">
        <v>27</v>
      </c>
      <c r="F4804" t="s">
        <v>30</v>
      </c>
      <c r="G4804" s="4">
        <v>5</v>
      </c>
      <c r="H4804" s="1">
        <v>66534</v>
      </c>
      <c r="I4804" s="3" t="s">
        <v>15</v>
      </c>
      <c r="J4804" s="4">
        <v>3</v>
      </c>
    </row>
    <row r="4805" spans="1:10" x14ac:dyDescent="0.35">
      <c r="A4805" s="2" t="s">
        <v>4841</v>
      </c>
      <c r="B4805" s="4">
        <v>81</v>
      </c>
      <c r="C4805" t="s">
        <v>17</v>
      </c>
      <c r="D4805" t="s">
        <v>41</v>
      </c>
      <c r="E4805" t="s">
        <v>27</v>
      </c>
      <c r="F4805" t="s">
        <v>20</v>
      </c>
      <c r="G4805" s="4">
        <v>15</v>
      </c>
      <c r="H4805" s="1">
        <v>10817</v>
      </c>
      <c r="I4805" s="3" t="s">
        <v>21</v>
      </c>
      <c r="J4805" s="4">
        <v>4</v>
      </c>
    </row>
    <row r="4806" spans="1:10" x14ac:dyDescent="0.35">
      <c r="A4806" s="2" t="s">
        <v>4842</v>
      </c>
      <c r="B4806" s="4">
        <v>65</v>
      </c>
      <c r="C4806" t="s">
        <v>11</v>
      </c>
      <c r="D4806" t="s">
        <v>28</v>
      </c>
      <c r="E4806" t="s">
        <v>13</v>
      </c>
      <c r="F4806" t="s">
        <v>30</v>
      </c>
      <c r="G4806" s="4">
        <v>11</v>
      </c>
      <c r="H4806" s="1">
        <v>58187</v>
      </c>
      <c r="I4806" s="3" t="s">
        <v>15</v>
      </c>
      <c r="J4806" s="4">
        <v>5</v>
      </c>
    </row>
    <row r="4807" spans="1:10" x14ac:dyDescent="0.35">
      <c r="A4807" s="2" t="s">
        <v>4843</v>
      </c>
      <c r="B4807" s="4">
        <v>76</v>
      </c>
      <c r="C4807" t="s">
        <v>17</v>
      </c>
      <c r="D4807" t="s">
        <v>23</v>
      </c>
      <c r="E4807" t="s">
        <v>53</v>
      </c>
      <c r="F4807" t="s">
        <v>20</v>
      </c>
      <c r="G4807" s="4">
        <v>4</v>
      </c>
      <c r="H4807" s="1">
        <v>27483</v>
      </c>
      <c r="I4807" s="3" t="s">
        <v>21</v>
      </c>
      <c r="J4807" s="4">
        <v>2</v>
      </c>
    </row>
    <row r="4808" spans="1:10" x14ac:dyDescent="0.35">
      <c r="A4808" s="2" t="s">
        <v>4844</v>
      </c>
      <c r="B4808" s="4">
        <v>86</v>
      </c>
      <c r="C4808" t="s">
        <v>11</v>
      </c>
      <c r="D4808" t="s">
        <v>36</v>
      </c>
      <c r="E4808" t="s">
        <v>19</v>
      </c>
      <c r="F4808" t="s">
        <v>20</v>
      </c>
      <c r="G4808" s="4">
        <v>11</v>
      </c>
      <c r="H4808" s="1">
        <v>76626</v>
      </c>
      <c r="I4808" s="3" t="s">
        <v>15</v>
      </c>
      <c r="J4808" s="4">
        <v>2</v>
      </c>
    </row>
    <row r="4809" spans="1:10" x14ac:dyDescent="0.35">
      <c r="A4809" s="2" t="s">
        <v>4845</v>
      </c>
      <c r="B4809" s="4">
        <v>12</v>
      </c>
      <c r="C4809" t="s">
        <v>11</v>
      </c>
      <c r="D4809" t="s">
        <v>41</v>
      </c>
      <c r="E4809" t="s">
        <v>19</v>
      </c>
      <c r="F4809" t="s">
        <v>20</v>
      </c>
      <c r="G4809" s="4">
        <v>6</v>
      </c>
      <c r="H4809" s="1">
        <v>44873</v>
      </c>
      <c r="I4809" s="3" t="s">
        <v>21</v>
      </c>
      <c r="J4809" s="4">
        <v>2</v>
      </c>
    </row>
    <row r="4810" spans="1:10" x14ac:dyDescent="0.35">
      <c r="A4810" s="2" t="s">
        <v>4846</v>
      </c>
      <c r="B4810" s="4">
        <v>32</v>
      </c>
      <c r="C4810" t="s">
        <v>17</v>
      </c>
      <c r="D4810" t="s">
        <v>49</v>
      </c>
      <c r="E4810" t="s">
        <v>27</v>
      </c>
      <c r="F4810" t="s">
        <v>30</v>
      </c>
      <c r="G4810" s="4">
        <v>12</v>
      </c>
      <c r="H4810" s="1">
        <v>60261</v>
      </c>
      <c r="I4810" s="3" t="s">
        <v>21</v>
      </c>
      <c r="J4810" s="4">
        <v>3</v>
      </c>
    </row>
    <row r="4811" spans="1:10" x14ac:dyDescent="0.35">
      <c r="A4811" s="2" t="s">
        <v>4847</v>
      </c>
      <c r="B4811" s="4">
        <v>77</v>
      </c>
      <c r="C4811" t="s">
        <v>17</v>
      </c>
      <c r="D4811" t="s">
        <v>18</v>
      </c>
      <c r="E4811" t="s">
        <v>19</v>
      </c>
      <c r="F4811" t="s">
        <v>14</v>
      </c>
      <c r="G4811" s="4">
        <v>8</v>
      </c>
      <c r="H4811" s="1">
        <v>35003</v>
      </c>
      <c r="I4811" s="3" t="s">
        <v>21</v>
      </c>
      <c r="J4811" s="4">
        <v>3</v>
      </c>
    </row>
    <row r="4812" spans="1:10" x14ac:dyDescent="0.35">
      <c r="A4812" s="2" t="s">
        <v>4848</v>
      </c>
      <c r="B4812" s="4">
        <v>19</v>
      </c>
      <c r="C4812" t="s">
        <v>17</v>
      </c>
      <c r="D4812" t="s">
        <v>23</v>
      </c>
      <c r="E4812" t="s">
        <v>37</v>
      </c>
      <c r="F4812" t="s">
        <v>30</v>
      </c>
      <c r="G4812" s="4">
        <v>10</v>
      </c>
      <c r="H4812" s="1">
        <v>91225</v>
      </c>
      <c r="I4812" s="3" t="s">
        <v>21</v>
      </c>
      <c r="J4812" s="4">
        <v>4</v>
      </c>
    </row>
    <row r="4813" spans="1:10" x14ac:dyDescent="0.35">
      <c r="A4813" s="2" t="s">
        <v>4849</v>
      </c>
      <c r="B4813" s="4">
        <v>12</v>
      </c>
      <c r="C4813" t="s">
        <v>11</v>
      </c>
      <c r="D4813" t="s">
        <v>33</v>
      </c>
      <c r="E4813" t="s">
        <v>65</v>
      </c>
      <c r="F4813" t="s">
        <v>20</v>
      </c>
      <c r="G4813" s="4">
        <v>2</v>
      </c>
      <c r="H4813" s="1">
        <v>58007</v>
      </c>
      <c r="I4813" s="3" t="s">
        <v>15</v>
      </c>
      <c r="J4813" s="4">
        <v>2</v>
      </c>
    </row>
    <row r="4814" spans="1:10" x14ac:dyDescent="0.35">
      <c r="A4814" s="2" t="s">
        <v>4850</v>
      </c>
      <c r="B4814" s="4">
        <v>49</v>
      </c>
      <c r="C4814" t="s">
        <v>11</v>
      </c>
      <c r="D4814" t="s">
        <v>23</v>
      </c>
      <c r="E4814" t="s">
        <v>42</v>
      </c>
      <c r="F4814" t="s">
        <v>14</v>
      </c>
      <c r="G4814" s="4">
        <v>12</v>
      </c>
      <c r="H4814" s="1">
        <v>36002</v>
      </c>
      <c r="I4814" s="3" t="s">
        <v>15</v>
      </c>
      <c r="J4814" s="4">
        <v>2</v>
      </c>
    </row>
    <row r="4815" spans="1:10" x14ac:dyDescent="0.35">
      <c r="A4815" s="2" t="s">
        <v>4851</v>
      </c>
      <c r="B4815" s="4">
        <v>36</v>
      </c>
      <c r="C4815" t="s">
        <v>11</v>
      </c>
      <c r="D4815" t="s">
        <v>49</v>
      </c>
      <c r="E4815" t="s">
        <v>13</v>
      </c>
      <c r="F4815" t="s">
        <v>14</v>
      </c>
      <c r="G4815" s="4">
        <v>1</v>
      </c>
      <c r="H4815" s="1">
        <v>78819</v>
      </c>
      <c r="I4815" s="3" t="s">
        <v>21</v>
      </c>
      <c r="J4815" s="4">
        <v>1</v>
      </c>
    </row>
    <row r="4816" spans="1:10" x14ac:dyDescent="0.35">
      <c r="A4816" s="2" t="s">
        <v>4852</v>
      </c>
      <c r="B4816" s="4">
        <v>42</v>
      </c>
      <c r="C4816" t="s">
        <v>11</v>
      </c>
      <c r="D4816" t="s">
        <v>28</v>
      </c>
      <c r="E4816" t="s">
        <v>13</v>
      </c>
      <c r="F4816" t="s">
        <v>20</v>
      </c>
      <c r="G4816" s="4">
        <v>14</v>
      </c>
      <c r="H4816" s="1">
        <v>19560</v>
      </c>
      <c r="I4816" s="3" t="s">
        <v>21</v>
      </c>
      <c r="J4816" s="4">
        <v>3</v>
      </c>
    </row>
    <row r="4817" spans="1:10" x14ac:dyDescent="0.35">
      <c r="A4817" s="2" t="s">
        <v>4853</v>
      </c>
      <c r="B4817" s="4">
        <v>30</v>
      </c>
      <c r="C4817" t="s">
        <v>11</v>
      </c>
      <c r="D4817" t="s">
        <v>39</v>
      </c>
      <c r="E4817" t="s">
        <v>65</v>
      </c>
      <c r="F4817" t="s">
        <v>30</v>
      </c>
      <c r="G4817" s="4">
        <v>5</v>
      </c>
      <c r="H4817" s="1">
        <v>70208</v>
      </c>
      <c r="I4817" s="3" t="s">
        <v>21</v>
      </c>
      <c r="J4817" s="4">
        <v>2</v>
      </c>
    </row>
    <row r="4818" spans="1:10" x14ac:dyDescent="0.35">
      <c r="A4818" s="2" t="s">
        <v>4854</v>
      </c>
      <c r="B4818" s="4">
        <v>72</v>
      </c>
      <c r="C4818" t="s">
        <v>11</v>
      </c>
      <c r="D4818" t="s">
        <v>39</v>
      </c>
      <c r="E4818" t="s">
        <v>24</v>
      </c>
      <c r="F4818" t="s">
        <v>14</v>
      </c>
      <c r="G4818" s="4">
        <v>11</v>
      </c>
      <c r="H4818" s="1">
        <v>90763</v>
      </c>
      <c r="I4818" s="3" t="s">
        <v>15</v>
      </c>
      <c r="J4818" s="4">
        <v>1</v>
      </c>
    </row>
    <row r="4819" spans="1:10" x14ac:dyDescent="0.35">
      <c r="A4819" s="2" t="s">
        <v>4855</v>
      </c>
      <c r="B4819" s="4">
        <v>58</v>
      </c>
      <c r="C4819" t="s">
        <v>17</v>
      </c>
      <c r="D4819" t="s">
        <v>26</v>
      </c>
      <c r="E4819" t="s">
        <v>65</v>
      </c>
      <c r="F4819" t="s">
        <v>30</v>
      </c>
      <c r="G4819" s="4">
        <v>2</v>
      </c>
      <c r="H4819" s="1">
        <v>28994</v>
      </c>
      <c r="I4819" s="3" t="s">
        <v>15</v>
      </c>
      <c r="J4819" s="4">
        <v>4</v>
      </c>
    </row>
    <row r="4820" spans="1:10" x14ac:dyDescent="0.35">
      <c r="A4820" s="2" t="s">
        <v>4856</v>
      </c>
      <c r="B4820" s="4">
        <v>70</v>
      </c>
      <c r="C4820" t="s">
        <v>17</v>
      </c>
      <c r="D4820" t="s">
        <v>39</v>
      </c>
      <c r="E4820" t="s">
        <v>24</v>
      </c>
      <c r="F4820" t="s">
        <v>20</v>
      </c>
      <c r="G4820" s="4">
        <v>12</v>
      </c>
      <c r="H4820" s="1">
        <v>56254</v>
      </c>
      <c r="I4820" s="3" t="s">
        <v>15</v>
      </c>
      <c r="J4820" s="4">
        <v>4</v>
      </c>
    </row>
    <row r="4821" spans="1:10" x14ac:dyDescent="0.35">
      <c r="A4821" s="2" t="s">
        <v>4857</v>
      </c>
      <c r="B4821" s="4">
        <v>82</v>
      </c>
      <c r="C4821" t="s">
        <v>11</v>
      </c>
      <c r="D4821" t="s">
        <v>23</v>
      </c>
      <c r="E4821" t="s">
        <v>42</v>
      </c>
      <c r="F4821" t="s">
        <v>30</v>
      </c>
      <c r="G4821" s="4">
        <v>13</v>
      </c>
      <c r="H4821" s="1">
        <v>53555</v>
      </c>
      <c r="I4821" s="3" t="s">
        <v>21</v>
      </c>
      <c r="J4821" s="4">
        <v>1</v>
      </c>
    </row>
    <row r="4822" spans="1:10" x14ac:dyDescent="0.35">
      <c r="A4822" s="2" t="s">
        <v>4858</v>
      </c>
      <c r="B4822" s="4">
        <v>55</v>
      </c>
      <c r="C4822" t="s">
        <v>17</v>
      </c>
      <c r="D4822" t="s">
        <v>49</v>
      </c>
      <c r="E4822" t="s">
        <v>29</v>
      </c>
      <c r="F4822" t="s">
        <v>14</v>
      </c>
      <c r="G4822" s="4">
        <v>9</v>
      </c>
      <c r="H4822" s="1">
        <v>47296</v>
      </c>
      <c r="I4822" s="3" t="s">
        <v>21</v>
      </c>
      <c r="J4822" s="4">
        <v>5</v>
      </c>
    </row>
    <row r="4823" spans="1:10" x14ac:dyDescent="0.35">
      <c r="A4823" s="2" t="s">
        <v>4859</v>
      </c>
      <c r="B4823" s="4">
        <v>33</v>
      </c>
      <c r="C4823" t="s">
        <v>11</v>
      </c>
      <c r="D4823" t="s">
        <v>26</v>
      </c>
      <c r="E4823" t="s">
        <v>42</v>
      </c>
      <c r="F4823" t="s">
        <v>20</v>
      </c>
      <c r="G4823" s="4">
        <v>10</v>
      </c>
      <c r="H4823" s="1">
        <v>92745</v>
      </c>
      <c r="I4823" s="3" t="s">
        <v>15</v>
      </c>
      <c r="J4823" s="4">
        <v>2</v>
      </c>
    </row>
    <row r="4824" spans="1:10" x14ac:dyDescent="0.35">
      <c r="A4824" s="2" t="s">
        <v>4860</v>
      </c>
      <c r="B4824" s="4">
        <v>42</v>
      </c>
      <c r="C4824" t="s">
        <v>11</v>
      </c>
      <c r="D4824" t="s">
        <v>26</v>
      </c>
      <c r="E4824" t="s">
        <v>29</v>
      </c>
      <c r="F4824" t="s">
        <v>20</v>
      </c>
      <c r="G4824" s="4">
        <v>4</v>
      </c>
      <c r="H4824" s="1">
        <v>62383</v>
      </c>
      <c r="I4824" s="3" t="s">
        <v>15</v>
      </c>
      <c r="J4824" s="4">
        <v>5</v>
      </c>
    </row>
    <row r="4825" spans="1:10" x14ac:dyDescent="0.35">
      <c r="A4825" s="2" t="s">
        <v>4861</v>
      </c>
      <c r="B4825" s="4">
        <v>81</v>
      </c>
      <c r="C4825" t="s">
        <v>17</v>
      </c>
      <c r="D4825" t="s">
        <v>41</v>
      </c>
      <c r="E4825" t="s">
        <v>53</v>
      </c>
      <c r="F4825" t="s">
        <v>14</v>
      </c>
      <c r="G4825" s="4">
        <v>3</v>
      </c>
      <c r="H4825" s="1">
        <v>56082</v>
      </c>
      <c r="I4825" s="3" t="s">
        <v>21</v>
      </c>
      <c r="J4825" s="4">
        <v>2</v>
      </c>
    </row>
    <row r="4826" spans="1:10" x14ac:dyDescent="0.35">
      <c r="A4826" s="2" t="s">
        <v>4862</v>
      </c>
      <c r="B4826" s="4">
        <v>44</v>
      </c>
      <c r="C4826" t="s">
        <v>17</v>
      </c>
      <c r="D4826" t="s">
        <v>28</v>
      </c>
      <c r="E4826" t="s">
        <v>19</v>
      </c>
      <c r="F4826" t="s">
        <v>20</v>
      </c>
      <c r="G4826" s="4">
        <v>5</v>
      </c>
      <c r="H4826" s="1">
        <v>25243</v>
      </c>
      <c r="I4826" s="3" t="s">
        <v>15</v>
      </c>
      <c r="J4826" s="4">
        <v>3</v>
      </c>
    </row>
    <row r="4827" spans="1:10" x14ac:dyDescent="0.35">
      <c r="A4827" s="2" t="s">
        <v>4863</v>
      </c>
      <c r="B4827" s="4">
        <v>61</v>
      </c>
      <c r="C4827" t="s">
        <v>11</v>
      </c>
      <c r="D4827" t="s">
        <v>39</v>
      </c>
      <c r="E4827" t="s">
        <v>53</v>
      </c>
      <c r="F4827" t="s">
        <v>30</v>
      </c>
      <c r="G4827" s="4">
        <v>15</v>
      </c>
      <c r="H4827" s="1">
        <v>61318</v>
      </c>
      <c r="I4827" s="3" t="s">
        <v>21</v>
      </c>
      <c r="J4827" s="4">
        <v>1</v>
      </c>
    </row>
    <row r="4828" spans="1:10" x14ac:dyDescent="0.35">
      <c r="A4828" s="2" t="s">
        <v>4864</v>
      </c>
      <c r="B4828" s="4">
        <v>79</v>
      </c>
      <c r="C4828" t="s">
        <v>11</v>
      </c>
      <c r="D4828" t="s">
        <v>28</v>
      </c>
      <c r="E4828" t="s">
        <v>27</v>
      </c>
      <c r="F4828" t="s">
        <v>20</v>
      </c>
      <c r="G4828" s="4">
        <v>5</v>
      </c>
      <c r="H4828" s="1">
        <v>57619</v>
      </c>
      <c r="I4828" s="3" t="s">
        <v>21</v>
      </c>
      <c r="J4828" s="4">
        <v>2</v>
      </c>
    </row>
    <row r="4829" spans="1:10" x14ac:dyDescent="0.35">
      <c r="A4829" s="2" t="s">
        <v>4865</v>
      </c>
      <c r="B4829" s="4">
        <v>29</v>
      </c>
      <c r="C4829" t="s">
        <v>17</v>
      </c>
      <c r="D4829" t="s">
        <v>33</v>
      </c>
      <c r="E4829" t="s">
        <v>29</v>
      </c>
      <c r="F4829" t="s">
        <v>30</v>
      </c>
      <c r="G4829" s="4">
        <v>4</v>
      </c>
      <c r="H4829" s="1">
        <v>95480</v>
      </c>
      <c r="I4829" s="3" t="s">
        <v>21</v>
      </c>
      <c r="J4829" s="4">
        <v>1</v>
      </c>
    </row>
    <row r="4830" spans="1:10" x14ac:dyDescent="0.35">
      <c r="A4830" s="2" t="s">
        <v>4866</v>
      </c>
      <c r="B4830" s="4">
        <v>1</v>
      </c>
      <c r="C4830" t="s">
        <v>17</v>
      </c>
      <c r="D4830" t="s">
        <v>23</v>
      </c>
      <c r="E4830" t="s">
        <v>24</v>
      </c>
      <c r="F4830" t="s">
        <v>14</v>
      </c>
      <c r="G4830" s="4">
        <v>10</v>
      </c>
      <c r="H4830" s="1">
        <v>77765</v>
      </c>
      <c r="I4830" s="3" t="s">
        <v>21</v>
      </c>
      <c r="J4830" s="4">
        <v>2</v>
      </c>
    </row>
    <row r="4831" spans="1:10" x14ac:dyDescent="0.35">
      <c r="A4831" s="2" t="s">
        <v>4867</v>
      </c>
      <c r="B4831" s="4">
        <v>75</v>
      </c>
      <c r="C4831" t="s">
        <v>17</v>
      </c>
      <c r="D4831" t="s">
        <v>23</v>
      </c>
      <c r="E4831" t="s">
        <v>65</v>
      </c>
      <c r="F4831" t="s">
        <v>20</v>
      </c>
      <c r="G4831" s="4">
        <v>11</v>
      </c>
      <c r="H4831" s="1">
        <v>38959</v>
      </c>
      <c r="I4831" s="3" t="s">
        <v>21</v>
      </c>
      <c r="J4831" s="4">
        <v>2</v>
      </c>
    </row>
    <row r="4832" spans="1:10" x14ac:dyDescent="0.35">
      <c r="A4832" s="2" t="s">
        <v>4868</v>
      </c>
      <c r="B4832" s="4">
        <v>22</v>
      </c>
      <c r="C4832" t="s">
        <v>17</v>
      </c>
      <c r="D4832" t="s">
        <v>28</v>
      </c>
      <c r="E4832" t="s">
        <v>19</v>
      </c>
      <c r="F4832" t="s">
        <v>30</v>
      </c>
      <c r="G4832" s="4">
        <v>15</v>
      </c>
      <c r="H4832" s="1">
        <v>69090</v>
      </c>
      <c r="I4832" s="3" t="s">
        <v>21</v>
      </c>
      <c r="J4832" s="4">
        <v>2</v>
      </c>
    </row>
    <row r="4833" spans="1:10" x14ac:dyDescent="0.35">
      <c r="A4833" s="2" t="s">
        <v>4869</v>
      </c>
      <c r="B4833" s="4">
        <v>49</v>
      </c>
      <c r="C4833" t="s">
        <v>17</v>
      </c>
      <c r="D4833" t="s">
        <v>39</v>
      </c>
      <c r="E4833" t="s">
        <v>37</v>
      </c>
      <c r="F4833" t="s">
        <v>14</v>
      </c>
      <c r="G4833" s="4">
        <v>2</v>
      </c>
      <c r="H4833" s="1">
        <v>7822</v>
      </c>
      <c r="I4833" s="3" t="s">
        <v>15</v>
      </c>
      <c r="J4833" s="4">
        <v>1</v>
      </c>
    </row>
    <row r="4834" spans="1:10" x14ac:dyDescent="0.35">
      <c r="A4834" s="2" t="s">
        <v>4870</v>
      </c>
      <c r="B4834" s="4">
        <v>49</v>
      </c>
      <c r="C4834" t="s">
        <v>11</v>
      </c>
      <c r="D4834" t="s">
        <v>18</v>
      </c>
      <c r="E4834" t="s">
        <v>29</v>
      </c>
      <c r="F4834" t="s">
        <v>30</v>
      </c>
      <c r="G4834" s="4">
        <v>6</v>
      </c>
      <c r="H4834" s="1">
        <v>30921</v>
      </c>
      <c r="I4834" s="3" t="s">
        <v>21</v>
      </c>
      <c r="J4834" s="4">
        <v>3</v>
      </c>
    </row>
    <row r="4835" spans="1:10" x14ac:dyDescent="0.35">
      <c r="A4835" s="2" t="s">
        <v>4871</v>
      </c>
      <c r="B4835" s="4">
        <v>88</v>
      </c>
      <c r="C4835" t="s">
        <v>17</v>
      </c>
      <c r="D4835" t="s">
        <v>26</v>
      </c>
      <c r="E4835" t="s">
        <v>42</v>
      </c>
      <c r="F4835" t="s">
        <v>30</v>
      </c>
      <c r="G4835" s="4">
        <v>10</v>
      </c>
      <c r="H4835" s="1">
        <v>77933</v>
      </c>
      <c r="I4835" s="3" t="s">
        <v>15</v>
      </c>
      <c r="J4835" s="4">
        <v>2</v>
      </c>
    </row>
    <row r="4836" spans="1:10" x14ac:dyDescent="0.35">
      <c r="A4836" s="2" t="s">
        <v>4872</v>
      </c>
      <c r="B4836" s="4">
        <v>82</v>
      </c>
      <c r="C4836" t="s">
        <v>11</v>
      </c>
      <c r="D4836" t="s">
        <v>49</v>
      </c>
      <c r="E4836" t="s">
        <v>42</v>
      </c>
      <c r="F4836" t="s">
        <v>20</v>
      </c>
      <c r="G4836" s="4">
        <v>2</v>
      </c>
      <c r="H4836" s="1">
        <v>82395</v>
      </c>
      <c r="I4836" s="3" t="s">
        <v>15</v>
      </c>
      <c r="J4836" s="4">
        <v>2</v>
      </c>
    </row>
    <row r="4837" spans="1:10" x14ac:dyDescent="0.35">
      <c r="A4837" s="2" t="s">
        <v>4873</v>
      </c>
      <c r="B4837" s="4">
        <v>90</v>
      </c>
      <c r="C4837" t="s">
        <v>17</v>
      </c>
      <c r="D4837" t="s">
        <v>41</v>
      </c>
      <c r="E4837" t="s">
        <v>65</v>
      </c>
      <c r="F4837" t="s">
        <v>30</v>
      </c>
      <c r="G4837" s="4">
        <v>4</v>
      </c>
      <c r="H4837" s="1">
        <v>55895</v>
      </c>
      <c r="I4837" s="3" t="s">
        <v>15</v>
      </c>
      <c r="J4837" s="4">
        <v>3</v>
      </c>
    </row>
    <row r="4838" spans="1:10" x14ac:dyDescent="0.35">
      <c r="A4838" s="2" t="s">
        <v>4874</v>
      </c>
      <c r="B4838" s="4">
        <v>59</v>
      </c>
      <c r="C4838" t="s">
        <v>17</v>
      </c>
      <c r="D4838" t="s">
        <v>39</v>
      </c>
      <c r="E4838" t="s">
        <v>27</v>
      </c>
      <c r="F4838" t="s">
        <v>30</v>
      </c>
      <c r="G4838" s="4">
        <v>7</v>
      </c>
      <c r="H4838" s="1">
        <v>46802</v>
      </c>
      <c r="I4838" s="3" t="s">
        <v>21</v>
      </c>
      <c r="J4838" s="4">
        <v>4</v>
      </c>
    </row>
    <row r="4839" spans="1:10" x14ac:dyDescent="0.35">
      <c r="A4839" s="2" t="s">
        <v>4875</v>
      </c>
      <c r="B4839" s="4">
        <v>64</v>
      </c>
      <c r="C4839" t="s">
        <v>17</v>
      </c>
      <c r="D4839" t="s">
        <v>36</v>
      </c>
      <c r="E4839" t="s">
        <v>19</v>
      </c>
      <c r="F4839" t="s">
        <v>20</v>
      </c>
      <c r="G4839" s="4">
        <v>4</v>
      </c>
      <c r="H4839" s="1">
        <v>95484</v>
      </c>
      <c r="I4839" s="3" t="s">
        <v>21</v>
      </c>
      <c r="J4839" s="4">
        <v>4</v>
      </c>
    </row>
    <row r="4840" spans="1:10" x14ac:dyDescent="0.35">
      <c r="A4840" s="2" t="s">
        <v>4876</v>
      </c>
      <c r="B4840" s="4">
        <v>36</v>
      </c>
      <c r="C4840" t="s">
        <v>17</v>
      </c>
      <c r="D4840" t="s">
        <v>36</v>
      </c>
      <c r="E4840" t="s">
        <v>65</v>
      </c>
      <c r="F4840" t="s">
        <v>30</v>
      </c>
      <c r="G4840" s="4">
        <v>2</v>
      </c>
      <c r="H4840" s="1">
        <v>97173</v>
      </c>
      <c r="I4840" s="3" t="s">
        <v>21</v>
      </c>
      <c r="J4840" s="4">
        <v>5</v>
      </c>
    </row>
    <row r="4841" spans="1:10" x14ac:dyDescent="0.35">
      <c r="A4841" s="2" t="s">
        <v>4877</v>
      </c>
      <c r="B4841" s="4">
        <v>12</v>
      </c>
      <c r="C4841" t="s">
        <v>11</v>
      </c>
      <c r="D4841" t="s">
        <v>18</v>
      </c>
      <c r="E4841" t="s">
        <v>24</v>
      </c>
      <c r="F4841" t="s">
        <v>20</v>
      </c>
      <c r="G4841" s="4">
        <v>2</v>
      </c>
      <c r="H4841" s="1">
        <v>14812</v>
      </c>
      <c r="I4841" s="3" t="s">
        <v>15</v>
      </c>
      <c r="J4841" s="4">
        <v>2</v>
      </c>
    </row>
    <row r="4842" spans="1:10" x14ac:dyDescent="0.35">
      <c r="A4842" s="2" t="s">
        <v>4878</v>
      </c>
      <c r="B4842" s="4">
        <v>81</v>
      </c>
      <c r="C4842" t="s">
        <v>11</v>
      </c>
      <c r="D4842" t="s">
        <v>26</v>
      </c>
      <c r="E4842" t="s">
        <v>29</v>
      </c>
      <c r="F4842" t="s">
        <v>14</v>
      </c>
      <c r="G4842" s="4">
        <v>11</v>
      </c>
      <c r="H4842" s="1">
        <v>45078</v>
      </c>
      <c r="I4842" s="3" t="s">
        <v>21</v>
      </c>
      <c r="J4842" s="4">
        <v>3</v>
      </c>
    </row>
    <row r="4843" spans="1:10" x14ac:dyDescent="0.35">
      <c r="A4843" s="2" t="s">
        <v>4879</v>
      </c>
      <c r="B4843" s="4">
        <v>46</v>
      </c>
      <c r="C4843" t="s">
        <v>11</v>
      </c>
      <c r="D4843" t="s">
        <v>41</v>
      </c>
      <c r="E4843" t="s">
        <v>34</v>
      </c>
      <c r="F4843" t="s">
        <v>30</v>
      </c>
      <c r="G4843" s="4">
        <v>9</v>
      </c>
      <c r="H4843" s="1">
        <v>71026</v>
      </c>
      <c r="I4843" s="3" t="s">
        <v>21</v>
      </c>
      <c r="J4843" s="4">
        <v>1</v>
      </c>
    </row>
    <row r="4844" spans="1:10" x14ac:dyDescent="0.35">
      <c r="A4844" s="2" t="s">
        <v>4880</v>
      </c>
      <c r="B4844" s="4">
        <v>19</v>
      </c>
      <c r="C4844" t="s">
        <v>11</v>
      </c>
      <c r="D4844" t="s">
        <v>12</v>
      </c>
      <c r="E4844" t="s">
        <v>34</v>
      </c>
      <c r="F4844" t="s">
        <v>20</v>
      </c>
      <c r="G4844" s="4">
        <v>9</v>
      </c>
      <c r="H4844" s="1">
        <v>95009</v>
      </c>
      <c r="I4844" s="3" t="s">
        <v>21</v>
      </c>
      <c r="J4844" s="4">
        <v>5</v>
      </c>
    </row>
    <row r="4845" spans="1:10" x14ac:dyDescent="0.35">
      <c r="A4845" s="2" t="s">
        <v>4881</v>
      </c>
      <c r="B4845" s="4">
        <v>49</v>
      </c>
      <c r="C4845" t="s">
        <v>17</v>
      </c>
      <c r="D4845" t="s">
        <v>33</v>
      </c>
      <c r="E4845" t="s">
        <v>13</v>
      </c>
      <c r="F4845" t="s">
        <v>30</v>
      </c>
      <c r="G4845" s="4">
        <v>13</v>
      </c>
      <c r="H4845" s="1">
        <v>14748</v>
      </c>
      <c r="I4845" s="3" t="s">
        <v>21</v>
      </c>
      <c r="J4845" s="4">
        <v>3</v>
      </c>
    </row>
    <row r="4846" spans="1:10" x14ac:dyDescent="0.35">
      <c r="A4846" s="2" t="s">
        <v>4882</v>
      </c>
      <c r="B4846" s="4">
        <v>14</v>
      </c>
      <c r="C4846" t="s">
        <v>11</v>
      </c>
      <c r="D4846" t="s">
        <v>33</v>
      </c>
      <c r="E4846" t="s">
        <v>42</v>
      </c>
      <c r="F4846" t="s">
        <v>20</v>
      </c>
      <c r="G4846" s="4">
        <v>2</v>
      </c>
      <c r="H4846" s="1">
        <v>75019</v>
      </c>
      <c r="I4846" s="3" t="s">
        <v>21</v>
      </c>
      <c r="J4846" s="4">
        <v>5</v>
      </c>
    </row>
    <row r="4847" spans="1:10" x14ac:dyDescent="0.35">
      <c r="A4847" s="2" t="s">
        <v>4883</v>
      </c>
      <c r="B4847" s="4">
        <v>39</v>
      </c>
      <c r="C4847" t="s">
        <v>11</v>
      </c>
      <c r="D4847" t="s">
        <v>28</v>
      </c>
      <c r="E4847" t="s">
        <v>19</v>
      </c>
      <c r="F4847" t="s">
        <v>20</v>
      </c>
      <c r="G4847" s="4">
        <v>5</v>
      </c>
      <c r="H4847" s="1">
        <v>48774</v>
      </c>
      <c r="I4847" s="3" t="s">
        <v>15</v>
      </c>
      <c r="J4847" s="4">
        <v>4</v>
      </c>
    </row>
    <row r="4848" spans="1:10" x14ac:dyDescent="0.35">
      <c r="A4848" s="2" t="s">
        <v>4884</v>
      </c>
      <c r="B4848" s="4">
        <v>56</v>
      </c>
      <c r="C4848" t="s">
        <v>11</v>
      </c>
      <c r="D4848" t="s">
        <v>36</v>
      </c>
      <c r="E4848" t="s">
        <v>29</v>
      </c>
      <c r="F4848" t="s">
        <v>30</v>
      </c>
      <c r="G4848" s="4">
        <v>4</v>
      </c>
      <c r="H4848" s="1">
        <v>13677</v>
      </c>
      <c r="I4848" s="3" t="s">
        <v>15</v>
      </c>
      <c r="J4848" s="4">
        <v>5</v>
      </c>
    </row>
    <row r="4849" spans="1:10" x14ac:dyDescent="0.35">
      <c r="A4849" s="2" t="s">
        <v>4885</v>
      </c>
      <c r="B4849" s="4">
        <v>37</v>
      </c>
      <c r="C4849" t="s">
        <v>11</v>
      </c>
      <c r="D4849" t="s">
        <v>36</v>
      </c>
      <c r="E4849" t="s">
        <v>13</v>
      </c>
      <c r="F4849" t="s">
        <v>20</v>
      </c>
      <c r="G4849" s="4">
        <v>5</v>
      </c>
      <c r="H4849" s="1">
        <v>48659</v>
      </c>
      <c r="I4849" s="3" t="s">
        <v>15</v>
      </c>
      <c r="J4849" s="4">
        <v>2</v>
      </c>
    </row>
    <row r="4850" spans="1:10" x14ac:dyDescent="0.35">
      <c r="A4850" s="2" t="s">
        <v>4886</v>
      </c>
      <c r="B4850" s="4">
        <v>8</v>
      </c>
      <c r="C4850" t="s">
        <v>11</v>
      </c>
      <c r="D4850" t="s">
        <v>23</v>
      </c>
      <c r="E4850" t="s">
        <v>65</v>
      </c>
      <c r="F4850" t="s">
        <v>20</v>
      </c>
      <c r="G4850" s="4">
        <v>10</v>
      </c>
      <c r="H4850" s="1">
        <v>14066</v>
      </c>
      <c r="I4850" s="3" t="s">
        <v>21</v>
      </c>
      <c r="J4850" s="4">
        <v>2</v>
      </c>
    </row>
    <row r="4851" spans="1:10" x14ac:dyDescent="0.35">
      <c r="A4851" s="2" t="s">
        <v>4887</v>
      </c>
      <c r="B4851" s="4">
        <v>88</v>
      </c>
      <c r="C4851" t="s">
        <v>17</v>
      </c>
      <c r="D4851" t="s">
        <v>36</v>
      </c>
      <c r="E4851" t="s">
        <v>65</v>
      </c>
      <c r="F4851" t="s">
        <v>30</v>
      </c>
      <c r="G4851" s="4">
        <v>9</v>
      </c>
      <c r="H4851" s="1">
        <v>67237</v>
      </c>
      <c r="I4851" s="3" t="s">
        <v>15</v>
      </c>
      <c r="J4851" s="4">
        <v>1</v>
      </c>
    </row>
    <row r="4852" spans="1:10" x14ac:dyDescent="0.35">
      <c r="A4852" s="2" t="s">
        <v>4888</v>
      </c>
      <c r="B4852" s="4">
        <v>49</v>
      </c>
      <c r="C4852" t="s">
        <v>17</v>
      </c>
      <c r="D4852" t="s">
        <v>33</v>
      </c>
      <c r="E4852" t="s">
        <v>34</v>
      </c>
      <c r="F4852" t="s">
        <v>20</v>
      </c>
      <c r="G4852" s="4">
        <v>3</v>
      </c>
      <c r="H4852" s="1">
        <v>45977</v>
      </c>
      <c r="I4852" s="3" t="s">
        <v>21</v>
      </c>
      <c r="J4852" s="4">
        <v>1</v>
      </c>
    </row>
    <row r="4853" spans="1:10" x14ac:dyDescent="0.35">
      <c r="A4853" s="2" t="s">
        <v>4889</v>
      </c>
      <c r="B4853" s="4">
        <v>78</v>
      </c>
      <c r="C4853" t="s">
        <v>11</v>
      </c>
      <c r="D4853" t="s">
        <v>39</v>
      </c>
      <c r="E4853" t="s">
        <v>37</v>
      </c>
      <c r="F4853" t="s">
        <v>30</v>
      </c>
      <c r="G4853" s="4">
        <v>5</v>
      </c>
      <c r="H4853" s="1">
        <v>97950</v>
      </c>
      <c r="I4853" s="3" t="s">
        <v>15</v>
      </c>
      <c r="J4853" s="4">
        <v>4</v>
      </c>
    </row>
    <row r="4854" spans="1:10" x14ac:dyDescent="0.35">
      <c r="A4854" s="2" t="s">
        <v>4890</v>
      </c>
      <c r="B4854" s="4">
        <v>39</v>
      </c>
      <c r="C4854" t="s">
        <v>17</v>
      </c>
      <c r="D4854" t="s">
        <v>18</v>
      </c>
      <c r="E4854" t="s">
        <v>42</v>
      </c>
      <c r="F4854" t="s">
        <v>14</v>
      </c>
      <c r="G4854" s="4">
        <v>12</v>
      </c>
      <c r="H4854" s="1">
        <v>12726</v>
      </c>
      <c r="I4854" s="3" t="s">
        <v>21</v>
      </c>
      <c r="J4854" s="4">
        <v>1</v>
      </c>
    </row>
    <row r="4855" spans="1:10" x14ac:dyDescent="0.35">
      <c r="A4855" s="2" t="s">
        <v>4891</v>
      </c>
      <c r="B4855" s="4">
        <v>80</v>
      </c>
      <c r="C4855" t="s">
        <v>17</v>
      </c>
      <c r="D4855" t="s">
        <v>33</v>
      </c>
      <c r="E4855" t="s">
        <v>27</v>
      </c>
      <c r="F4855" t="s">
        <v>20</v>
      </c>
      <c r="G4855" s="4">
        <v>6</v>
      </c>
      <c r="H4855" s="1">
        <v>82759</v>
      </c>
      <c r="I4855" s="3" t="s">
        <v>15</v>
      </c>
      <c r="J4855" s="4">
        <v>3</v>
      </c>
    </row>
    <row r="4856" spans="1:10" x14ac:dyDescent="0.35">
      <c r="A4856" s="2" t="s">
        <v>4892</v>
      </c>
      <c r="B4856" s="4">
        <v>12</v>
      </c>
      <c r="C4856" t="s">
        <v>11</v>
      </c>
      <c r="D4856" t="s">
        <v>28</v>
      </c>
      <c r="E4856" t="s">
        <v>13</v>
      </c>
      <c r="F4856" t="s">
        <v>20</v>
      </c>
      <c r="G4856" s="4">
        <v>11</v>
      </c>
      <c r="H4856" s="1">
        <v>87591</v>
      </c>
      <c r="I4856" s="3" t="s">
        <v>21</v>
      </c>
      <c r="J4856" s="4">
        <v>5</v>
      </c>
    </row>
    <row r="4857" spans="1:10" x14ac:dyDescent="0.35">
      <c r="A4857" s="2" t="s">
        <v>4893</v>
      </c>
      <c r="B4857" s="4">
        <v>86</v>
      </c>
      <c r="C4857" t="s">
        <v>11</v>
      </c>
      <c r="D4857" t="s">
        <v>26</v>
      </c>
      <c r="E4857" t="s">
        <v>13</v>
      </c>
      <c r="F4857" t="s">
        <v>30</v>
      </c>
      <c r="G4857" s="4">
        <v>12</v>
      </c>
      <c r="H4857" s="1">
        <v>80760</v>
      </c>
      <c r="I4857" s="3" t="s">
        <v>21</v>
      </c>
      <c r="J4857" s="4">
        <v>1</v>
      </c>
    </row>
    <row r="4858" spans="1:10" x14ac:dyDescent="0.35">
      <c r="A4858" s="2" t="s">
        <v>4894</v>
      </c>
      <c r="B4858" s="4">
        <v>30</v>
      </c>
      <c r="C4858" t="s">
        <v>11</v>
      </c>
      <c r="D4858" t="s">
        <v>41</v>
      </c>
      <c r="E4858" t="s">
        <v>19</v>
      </c>
      <c r="F4858" t="s">
        <v>20</v>
      </c>
      <c r="G4858" s="4">
        <v>2</v>
      </c>
      <c r="H4858" s="1">
        <v>57026</v>
      </c>
      <c r="I4858" s="3" t="s">
        <v>21</v>
      </c>
      <c r="J4858" s="4">
        <v>3</v>
      </c>
    </row>
    <row r="4859" spans="1:10" x14ac:dyDescent="0.35">
      <c r="A4859" s="2" t="s">
        <v>4895</v>
      </c>
      <c r="B4859" s="4">
        <v>65</v>
      </c>
      <c r="C4859" t="s">
        <v>17</v>
      </c>
      <c r="D4859" t="s">
        <v>28</v>
      </c>
      <c r="E4859" t="s">
        <v>24</v>
      </c>
      <c r="F4859" t="s">
        <v>30</v>
      </c>
      <c r="G4859" s="4">
        <v>13</v>
      </c>
      <c r="H4859" s="1">
        <v>13274</v>
      </c>
      <c r="I4859" s="3" t="s">
        <v>15</v>
      </c>
      <c r="J4859" s="4">
        <v>5</v>
      </c>
    </row>
    <row r="4860" spans="1:10" x14ac:dyDescent="0.35">
      <c r="A4860" s="2" t="s">
        <v>4896</v>
      </c>
      <c r="B4860" s="4">
        <v>29</v>
      </c>
      <c r="C4860" t="s">
        <v>11</v>
      </c>
      <c r="D4860" t="s">
        <v>26</v>
      </c>
      <c r="E4860" t="s">
        <v>34</v>
      </c>
      <c r="F4860" t="s">
        <v>20</v>
      </c>
      <c r="G4860" s="4">
        <v>1</v>
      </c>
      <c r="H4860" s="1">
        <v>63926</v>
      </c>
      <c r="I4860" s="3" t="s">
        <v>21</v>
      </c>
      <c r="J4860" s="4">
        <v>3</v>
      </c>
    </row>
    <row r="4861" spans="1:10" x14ac:dyDescent="0.35">
      <c r="A4861" s="2" t="s">
        <v>4897</v>
      </c>
      <c r="B4861" s="4">
        <v>46</v>
      </c>
      <c r="C4861" t="s">
        <v>17</v>
      </c>
      <c r="D4861" t="s">
        <v>36</v>
      </c>
      <c r="E4861" t="s">
        <v>13</v>
      </c>
      <c r="F4861" t="s">
        <v>14</v>
      </c>
      <c r="G4861" s="4">
        <v>7</v>
      </c>
      <c r="H4861" s="1">
        <v>52610</v>
      </c>
      <c r="I4861" s="3" t="s">
        <v>21</v>
      </c>
      <c r="J4861" s="4">
        <v>5</v>
      </c>
    </row>
    <row r="4862" spans="1:10" x14ac:dyDescent="0.35">
      <c r="A4862" s="2" t="s">
        <v>4898</v>
      </c>
      <c r="B4862" s="4">
        <v>58</v>
      </c>
      <c r="C4862" t="s">
        <v>11</v>
      </c>
      <c r="D4862" t="s">
        <v>18</v>
      </c>
      <c r="E4862" t="s">
        <v>29</v>
      </c>
      <c r="F4862" t="s">
        <v>14</v>
      </c>
      <c r="G4862" s="4">
        <v>1</v>
      </c>
      <c r="H4862" s="1">
        <v>36609</v>
      </c>
      <c r="I4862" s="3" t="s">
        <v>15</v>
      </c>
      <c r="J4862" s="4">
        <v>5</v>
      </c>
    </row>
    <row r="4863" spans="1:10" x14ac:dyDescent="0.35">
      <c r="A4863" s="2" t="s">
        <v>4899</v>
      </c>
      <c r="B4863" s="4">
        <v>64</v>
      </c>
      <c r="C4863" t="s">
        <v>17</v>
      </c>
      <c r="D4863" t="s">
        <v>23</v>
      </c>
      <c r="E4863" t="s">
        <v>27</v>
      </c>
      <c r="F4863" t="s">
        <v>20</v>
      </c>
      <c r="G4863" s="4">
        <v>7</v>
      </c>
      <c r="H4863" s="1">
        <v>39714</v>
      </c>
      <c r="I4863" s="3" t="s">
        <v>15</v>
      </c>
      <c r="J4863" s="4">
        <v>1</v>
      </c>
    </row>
    <row r="4864" spans="1:10" x14ac:dyDescent="0.35">
      <c r="A4864" s="2" t="s">
        <v>4900</v>
      </c>
      <c r="B4864" s="4">
        <v>49</v>
      </c>
      <c r="C4864" t="s">
        <v>11</v>
      </c>
      <c r="D4864" t="s">
        <v>28</v>
      </c>
      <c r="E4864" t="s">
        <v>24</v>
      </c>
      <c r="F4864" t="s">
        <v>14</v>
      </c>
      <c r="G4864" s="4">
        <v>7</v>
      </c>
      <c r="H4864" s="1">
        <v>52560</v>
      </c>
      <c r="I4864" s="3" t="s">
        <v>21</v>
      </c>
      <c r="J4864" s="4">
        <v>2</v>
      </c>
    </row>
    <row r="4865" spans="1:10" x14ac:dyDescent="0.35">
      <c r="A4865" s="2" t="s">
        <v>4901</v>
      </c>
      <c r="B4865" s="4">
        <v>77</v>
      </c>
      <c r="C4865" t="s">
        <v>17</v>
      </c>
      <c r="D4865" t="s">
        <v>12</v>
      </c>
      <c r="E4865" t="s">
        <v>42</v>
      </c>
      <c r="F4865" t="s">
        <v>20</v>
      </c>
      <c r="G4865" s="4">
        <v>14</v>
      </c>
      <c r="H4865" s="1">
        <v>30136</v>
      </c>
      <c r="I4865" s="3" t="s">
        <v>15</v>
      </c>
      <c r="J4865" s="4">
        <v>2</v>
      </c>
    </row>
    <row r="4866" spans="1:10" x14ac:dyDescent="0.35">
      <c r="A4866" s="2" t="s">
        <v>4902</v>
      </c>
      <c r="B4866" s="4">
        <v>63</v>
      </c>
      <c r="C4866" t="s">
        <v>11</v>
      </c>
      <c r="D4866" t="s">
        <v>33</v>
      </c>
      <c r="E4866" t="s">
        <v>37</v>
      </c>
      <c r="F4866" t="s">
        <v>30</v>
      </c>
      <c r="G4866" s="4">
        <v>15</v>
      </c>
      <c r="H4866" s="1">
        <v>10470</v>
      </c>
      <c r="I4866" s="3" t="s">
        <v>21</v>
      </c>
      <c r="J4866" s="4">
        <v>4</v>
      </c>
    </row>
    <row r="4867" spans="1:10" x14ac:dyDescent="0.35">
      <c r="A4867" s="2" t="s">
        <v>4903</v>
      </c>
      <c r="B4867" s="4">
        <v>24</v>
      </c>
      <c r="C4867" t="s">
        <v>17</v>
      </c>
      <c r="D4867" t="s">
        <v>28</v>
      </c>
      <c r="E4867" t="s">
        <v>13</v>
      </c>
      <c r="F4867" t="s">
        <v>14</v>
      </c>
      <c r="G4867" s="4">
        <v>13</v>
      </c>
      <c r="H4867" s="1">
        <v>24799</v>
      </c>
      <c r="I4867" s="3" t="s">
        <v>21</v>
      </c>
      <c r="J4867" s="4">
        <v>3</v>
      </c>
    </row>
    <row r="4868" spans="1:10" x14ac:dyDescent="0.35">
      <c r="A4868" s="2" t="s">
        <v>4904</v>
      </c>
      <c r="B4868" s="4">
        <v>21</v>
      </c>
      <c r="C4868" t="s">
        <v>17</v>
      </c>
      <c r="D4868" t="s">
        <v>36</v>
      </c>
      <c r="E4868" t="s">
        <v>13</v>
      </c>
      <c r="F4868" t="s">
        <v>30</v>
      </c>
      <c r="G4868" s="4">
        <v>5</v>
      </c>
      <c r="H4868" s="1">
        <v>69756</v>
      </c>
      <c r="I4868" s="3" t="s">
        <v>21</v>
      </c>
      <c r="J4868" s="4">
        <v>1</v>
      </c>
    </row>
    <row r="4869" spans="1:10" x14ac:dyDescent="0.35">
      <c r="A4869" s="2" t="s">
        <v>4905</v>
      </c>
      <c r="B4869" s="4">
        <v>71</v>
      </c>
      <c r="C4869" t="s">
        <v>17</v>
      </c>
      <c r="D4869" t="s">
        <v>36</v>
      </c>
      <c r="E4869" t="s">
        <v>37</v>
      </c>
      <c r="F4869" t="s">
        <v>14</v>
      </c>
      <c r="G4869" s="4">
        <v>15</v>
      </c>
      <c r="H4869" s="1">
        <v>29233</v>
      </c>
      <c r="I4869" s="3" t="s">
        <v>15</v>
      </c>
      <c r="J4869" s="4">
        <v>2</v>
      </c>
    </row>
    <row r="4870" spans="1:10" x14ac:dyDescent="0.35">
      <c r="A4870" s="2" t="s">
        <v>4906</v>
      </c>
      <c r="B4870" s="4">
        <v>53</v>
      </c>
      <c r="C4870" t="s">
        <v>17</v>
      </c>
      <c r="D4870" t="s">
        <v>23</v>
      </c>
      <c r="E4870" t="s">
        <v>34</v>
      </c>
      <c r="F4870" t="s">
        <v>14</v>
      </c>
      <c r="G4870" s="4">
        <v>6</v>
      </c>
      <c r="H4870" s="1">
        <v>69842</v>
      </c>
      <c r="I4870" s="3" t="s">
        <v>15</v>
      </c>
      <c r="J4870" s="4">
        <v>4</v>
      </c>
    </row>
    <row r="4871" spans="1:10" x14ac:dyDescent="0.35">
      <c r="A4871" s="2" t="s">
        <v>4907</v>
      </c>
      <c r="B4871" s="4">
        <v>69</v>
      </c>
      <c r="C4871" t="s">
        <v>17</v>
      </c>
      <c r="D4871" t="s">
        <v>36</v>
      </c>
      <c r="E4871" t="s">
        <v>42</v>
      </c>
      <c r="F4871" t="s">
        <v>14</v>
      </c>
      <c r="G4871" s="4">
        <v>8</v>
      </c>
      <c r="H4871" s="1">
        <v>85618</v>
      </c>
      <c r="I4871" s="3" t="s">
        <v>15</v>
      </c>
      <c r="J4871" s="4">
        <v>1</v>
      </c>
    </row>
    <row r="4872" spans="1:10" x14ac:dyDescent="0.35">
      <c r="A4872" s="2" t="s">
        <v>4908</v>
      </c>
      <c r="B4872" s="4">
        <v>67</v>
      </c>
      <c r="C4872" t="s">
        <v>11</v>
      </c>
      <c r="D4872" t="s">
        <v>28</v>
      </c>
      <c r="E4872" t="s">
        <v>42</v>
      </c>
      <c r="F4872" t="s">
        <v>30</v>
      </c>
      <c r="G4872" s="4">
        <v>6</v>
      </c>
      <c r="H4872" s="1">
        <v>15967</v>
      </c>
      <c r="I4872" s="3" t="s">
        <v>15</v>
      </c>
      <c r="J4872" s="4">
        <v>3</v>
      </c>
    </row>
    <row r="4873" spans="1:10" x14ac:dyDescent="0.35">
      <c r="A4873" s="2" t="s">
        <v>4909</v>
      </c>
      <c r="B4873" s="4">
        <v>65</v>
      </c>
      <c r="C4873" t="s">
        <v>17</v>
      </c>
      <c r="D4873" t="s">
        <v>41</v>
      </c>
      <c r="E4873" t="s">
        <v>24</v>
      </c>
      <c r="F4873" t="s">
        <v>20</v>
      </c>
      <c r="G4873" s="4">
        <v>2</v>
      </c>
      <c r="H4873" s="1">
        <v>71576</v>
      </c>
      <c r="I4873" s="3" t="s">
        <v>15</v>
      </c>
      <c r="J4873" s="4">
        <v>5</v>
      </c>
    </row>
    <row r="4874" spans="1:10" x14ac:dyDescent="0.35">
      <c r="A4874" s="2" t="s">
        <v>4910</v>
      </c>
      <c r="B4874" s="4">
        <v>35</v>
      </c>
      <c r="C4874" t="s">
        <v>11</v>
      </c>
      <c r="D4874" t="s">
        <v>49</v>
      </c>
      <c r="E4874" t="s">
        <v>34</v>
      </c>
      <c r="F4874" t="s">
        <v>30</v>
      </c>
      <c r="G4874" s="4">
        <v>6</v>
      </c>
      <c r="H4874" s="1">
        <v>64671</v>
      </c>
      <c r="I4874" s="3" t="s">
        <v>15</v>
      </c>
      <c r="J4874" s="4">
        <v>4</v>
      </c>
    </row>
    <row r="4875" spans="1:10" x14ac:dyDescent="0.35">
      <c r="A4875" s="2" t="s">
        <v>4911</v>
      </c>
      <c r="B4875" s="4">
        <v>30</v>
      </c>
      <c r="C4875" t="s">
        <v>11</v>
      </c>
      <c r="D4875" t="s">
        <v>49</v>
      </c>
      <c r="E4875" t="s">
        <v>24</v>
      </c>
      <c r="F4875" t="s">
        <v>14</v>
      </c>
      <c r="G4875" s="4">
        <v>12</v>
      </c>
      <c r="H4875" s="1">
        <v>43857</v>
      </c>
      <c r="I4875" s="3" t="s">
        <v>21</v>
      </c>
      <c r="J4875" s="4">
        <v>2</v>
      </c>
    </row>
    <row r="4876" spans="1:10" x14ac:dyDescent="0.35">
      <c r="A4876" s="2" t="s">
        <v>4912</v>
      </c>
      <c r="B4876" s="4">
        <v>68</v>
      </c>
      <c r="C4876" t="s">
        <v>11</v>
      </c>
      <c r="D4876" t="s">
        <v>41</v>
      </c>
      <c r="E4876" t="s">
        <v>34</v>
      </c>
      <c r="F4876" t="s">
        <v>14</v>
      </c>
      <c r="G4876" s="4">
        <v>7</v>
      </c>
      <c r="H4876" s="1">
        <v>89089</v>
      </c>
      <c r="I4876" s="3" t="s">
        <v>15</v>
      </c>
      <c r="J4876" s="4">
        <v>4</v>
      </c>
    </row>
    <row r="4877" spans="1:10" x14ac:dyDescent="0.35">
      <c r="A4877" s="2" t="s">
        <v>4913</v>
      </c>
      <c r="B4877" s="4">
        <v>26</v>
      </c>
      <c r="C4877" t="s">
        <v>11</v>
      </c>
      <c r="D4877" t="s">
        <v>28</v>
      </c>
      <c r="E4877" t="s">
        <v>13</v>
      </c>
      <c r="F4877" t="s">
        <v>14</v>
      </c>
      <c r="G4877" s="4">
        <v>3</v>
      </c>
      <c r="H4877" s="1">
        <v>84654</v>
      </c>
      <c r="I4877" s="3" t="s">
        <v>15</v>
      </c>
      <c r="J4877" s="4">
        <v>4</v>
      </c>
    </row>
    <row r="4878" spans="1:10" x14ac:dyDescent="0.35">
      <c r="A4878" s="2" t="s">
        <v>4914</v>
      </c>
      <c r="B4878" s="4">
        <v>54</v>
      </c>
      <c r="C4878" t="s">
        <v>17</v>
      </c>
      <c r="D4878" t="s">
        <v>12</v>
      </c>
      <c r="E4878" t="s">
        <v>53</v>
      </c>
      <c r="F4878" t="s">
        <v>30</v>
      </c>
      <c r="G4878" s="4">
        <v>10</v>
      </c>
      <c r="H4878" s="1">
        <v>98922</v>
      </c>
      <c r="I4878" s="3" t="s">
        <v>15</v>
      </c>
      <c r="J4878" s="4">
        <v>2</v>
      </c>
    </row>
    <row r="4879" spans="1:10" x14ac:dyDescent="0.35">
      <c r="A4879" s="2" t="s">
        <v>4915</v>
      </c>
      <c r="B4879" s="4">
        <v>31</v>
      </c>
      <c r="C4879" t="s">
        <v>17</v>
      </c>
      <c r="D4879" t="s">
        <v>39</v>
      </c>
      <c r="E4879" t="s">
        <v>53</v>
      </c>
      <c r="F4879" t="s">
        <v>20</v>
      </c>
      <c r="G4879" s="4">
        <v>2</v>
      </c>
      <c r="H4879" s="1">
        <v>82450</v>
      </c>
      <c r="I4879" s="3" t="s">
        <v>21</v>
      </c>
      <c r="J4879" s="4">
        <v>1</v>
      </c>
    </row>
    <row r="4880" spans="1:10" x14ac:dyDescent="0.35">
      <c r="A4880" s="2" t="s">
        <v>4916</v>
      </c>
      <c r="B4880" s="4">
        <v>10</v>
      </c>
      <c r="C4880" t="s">
        <v>17</v>
      </c>
      <c r="D4880" t="s">
        <v>12</v>
      </c>
      <c r="E4880" t="s">
        <v>65</v>
      </c>
      <c r="F4880" t="s">
        <v>20</v>
      </c>
      <c r="G4880" s="4">
        <v>7</v>
      </c>
      <c r="H4880" s="1">
        <v>12164</v>
      </c>
      <c r="I4880" s="3" t="s">
        <v>21</v>
      </c>
      <c r="J4880" s="4">
        <v>3</v>
      </c>
    </row>
    <row r="4881" spans="1:10" x14ac:dyDescent="0.35">
      <c r="A4881" s="2" t="s">
        <v>4917</v>
      </c>
      <c r="B4881" s="4">
        <v>84</v>
      </c>
      <c r="C4881" t="s">
        <v>11</v>
      </c>
      <c r="D4881" t="s">
        <v>12</v>
      </c>
      <c r="E4881" t="s">
        <v>65</v>
      </c>
      <c r="F4881" t="s">
        <v>14</v>
      </c>
      <c r="G4881" s="4">
        <v>4</v>
      </c>
      <c r="H4881" s="1">
        <v>11685</v>
      </c>
      <c r="I4881" s="3" t="s">
        <v>15</v>
      </c>
      <c r="J4881" s="4">
        <v>5</v>
      </c>
    </row>
    <row r="4882" spans="1:10" x14ac:dyDescent="0.35">
      <c r="A4882" s="2" t="s">
        <v>4918</v>
      </c>
      <c r="B4882" s="4">
        <v>31</v>
      </c>
      <c r="C4882" t="s">
        <v>11</v>
      </c>
      <c r="D4882" t="s">
        <v>39</v>
      </c>
      <c r="E4882" t="s">
        <v>42</v>
      </c>
      <c r="F4882" t="s">
        <v>14</v>
      </c>
      <c r="G4882" s="4">
        <v>12</v>
      </c>
      <c r="H4882" s="1">
        <v>39213</v>
      </c>
      <c r="I4882" s="3" t="s">
        <v>15</v>
      </c>
      <c r="J4882" s="4">
        <v>2</v>
      </c>
    </row>
    <row r="4883" spans="1:10" x14ac:dyDescent="0.35">
      <c r="A4883" s="2" t="s">
        <v>4919</v>
      </c>
      <c r="B4883" s="4">
        <v>58</v>
      </c>
      <c r="C4883" t="s">
        <v>11</v>
      </c>
      <c r="D4883" t="s">
        <v>12</v>
      </c>
      <c r="E4883" t="s">
        <v>53</v>
      </c>
      <c r="F4883" t="s">
        <v>14</v>
      </c>
      <c r="G4883" s="4">
        <v>12</v>
      </c>
      <c r="H4883" s="1">
        <v>9485</v>
      </c>
      <c r="I4883" s="3" t="s">
        <v>15</v>
      </c>
      <c r="J4883" s="4">
        <v>3</v>
      </c>
    </row>
    <row r="4884" spans="1:10" x14ac:dyDescent="0.35">
      <c r="A4884" s="2" t="s">
        <v>4920</v>
      </c>
      <c r="B4884" s="4">
        <v>41</v>
      </c>
      <c r="C4884" t="s">
        <v>11</v>
      </c>
      <c r="D4884" t="s">
        <v>36</v>
      </c>
      <c r="E4884" t="s">
        <v>65</v>
      </c>
      <c r="F4884" t="s">
        <v>20</v>
      </c>
      <c r="G4884" s="4">
        <v>8</v>
      </c>
      <c r="H4884" s="1">
        <v>24456</v>
      </c>
      <c r="I4884" s="3" t="s">
        <v>15</v>
      </c>
      <c r="J4884" s="4">
        <v>4</v>
      </c>
    </row>
    <row r="4885" spans="1:10" x14ac:dyDescent="0.35">
      <c r="A4885" s="2" t="s">
        <v>4921</v>
      </c>
      <c r="B4885" s="4">
        <v>6</v>
      </c>
      <c r="C4885" t="s">
        <v>11</v>
      </c>
      <c r="D4885" t="s">
        <v>39</v>
      </c>
      <c r="E4885" t="s">
        <v>29</v>
      </c>
      <c r="F4885" t="s">
        <v>14</v>
      </c>
      <c r="G4885" s="4">
        <v>7</v>
      </c>
      <c r="H4885" s="1">
        <v>65523</v>
      </c>
      <c r="I4885" s="3" t="s">
        <v>15</v>
      </c>
      <c r="J4885" s="4">
        <v>3</v>
      </c>
    </row>
    <row r="4886" spans="1:10" x14ac:dyDescent="0.35">
      <c r="A4886" s="2" t="s">
        <v>4922</v>
      </c>
      <c r="B4886" s="4">
        <v>33</v>
      </c>
      <c r="C4886" t="s">
        <v>11</v>
      </c>
      <c r="D4886" t="s">
        <v>39</v>
      </c>
      <c r="E4886" t="s">
        <v>27</v>
      </c>
      <c r="F4886" t="s">
        <v>14</v>
      </c>
      <c r="G4886" s="4">
        <v>6</v>
      </c>
      <c r="H4886" s="1">
        <v>77999</v>
      </c>
      <c r="I4886" s="3" t="s">
        <v>21</v>
      </c>
      <c r="J4886" s="4">
        <v>2</v>
      </c>
    </row>
    <row r="4887" spans="1:10" x14ac:dyDescent="0.35">
      <c r="A4887" s="2" t="s">
        <v>4923</v>
      </c>
      <c r="B4887" s="4">
        <v>43</v>
      </c>
      <c r="C4887" t="s">
        <v>11</v>
      </c>
      <c r="D4887" t="s">
        <v>12</v>
      </c>
      <c r="E4887" t="s">
        <v>27</v>
      </c>
      <c r="F4887" t="s">
        <v>20</v>
      </c>
      <c r="G4887" s="4">
        <v>5</v>
      </c>
      <c r="H4887" s="1">
        <v>15311</v>
      </c>
      <c r="I4887" s="3" t="s">
        <v>15</v>
      </c>
      <c r="J4887" s="4">
        <v>3</v>
      </c>
    </row>
    <row r="4888" spans="1:10" x14ac:dyDescent="0.35">
      <c r="A4888" s="2" t="s">
        <v>4924</v>
      </c>
      <c r="B4888" s="4">
        <v>26</v>
      </c>
      <c r="C4888" t="s">
        <v>17</v>
      </c>
      <c r="D4888" t="s">
        <v>49</v>
      </c>
      <c r="E4888" t="s">
        <v>65</v>
      </c>
      <c r="F4888" t="s">
        <v>20</v>
      </c>
      <c r="G4888" s="4">
        <v>4</v>
      </c>
      <c r="H4888" s="1">
        <v>58061</v>
      </c>
      <c r="I4888" s="3" t="s">
        <v>15</v>
      </c>
      <c r="J4888" s="4">
        <v>5</v>
      </c>
    </row>
    <row r="4889" spans="1:10" x14ac:dyDescent="0.35">
      <c r="A4889" s="2" t="s">
        <v>4925</v>
      </c>
      <c r="B4889" s="4">
        <v>32</v>
      </c>
      <c r="C4889" t="s">
        <v>11</v>
      </c>
      <c r="D4889" t="s">
        <v>39</v>
      </c>
      <c r="E4889" t="s">
        <v>29</v>
      </c>
      <c r="F4889" t="s">
        <v>14</v>
      </c>
      <c r="G4889" s="4">
        <v>8</v>
      </c>
      <c r="H4889" s="1">
        <v>62571</v>
      </c>
      <c r="I4889" s="3" t="s">
        <v>21</v>
      </c>
      <c r="J4889" s="4">
        <v>3</v>
      </c>
    </row>
    <row r="4890" spans="1:10" x14ac:dyDescent="0.35">
      <c r="A4890" s="2" t="s">
        <v>4926</v>
      </c>
      <c r="B4890" s="4">
        <v>55</v>
      </c>
      <c r="C4890" t="s">
        <v>11</v>
      </c>
      <c r="D4890" t="s">
        <v>28</v>
      </c>
      <c r="E4890" t="s">
        <v>53</v>
      </c>
      <c r="F4890" t="s">
        <v>30</v>
      </c>
      <c r="G4890" s="4">
        <v>3</v>
      </c>
      <c r="H4890" s="1">
        <v>9899</v>
      </c>
      <c r="I4890" s="3" t="s">
        <v>15</v>
      </c>
      <c r="J4890" s="4">
        <v>4</v>
      </c>
    </row>
    <row r="4891" spans="1:10" x14ac:dyDescent="0.35">
      <c r="A4891" s="2" t="s">
        <v>4927</v>
      </c>
      <c r="B4891" s="4">
        <v>74</v>
      </c>
      <c r="C4891" t="s">
        <v>11</v>
      </c>
      <c r="D4891" t="s">
        <v>28</v>
      </c>
      <c r="E4891" t="s">
        <v>37</v>
      </c>
      <c r="F4891" t="s">
        <v>30</v>
      </c>
      <c r="G4891" s="4">
        <v>6</v>
      </c>
      <c r="H4891" s="1">
        <v>37123</v>
      </c>
      <c r="I4891" s="3" t="s">
        <v>21</v>
      </c>
      <c r="J4891" s="4">
        <v>4</v>
      </c>
    </row>
    <row r="4892" spans="1:10" x14ac:dyDescent="0.35">
      <c r="A4892" s="2" t="s">
        <v>4928</v>
      </c>
      <c r="B4892" s="4">
        <v>74</v>
      </c>
      <c r="C4892" t="s">
        <v>11</v>
      </c>
      <c r="D4892" t="s">
        <v>18</v>
      </c>
      <c r="E4892" t="s">
        <v>29</v>
      </c>
      <c r="F4892" t="s">
        <v>14</v>
      </c>
      <c r="G4892" s="4">
        <v>6</v>
      </c>
      <c r="H4892" s="1">
        <v>22142</v>
      </c>
      <c r="I4892" s="3" t="s">
        <v>21</v>
      </c>
      <c r="J4892" s="4">
        <v>3</v>
      </c>
    </row>
    <row r="4893" spans="1:10" x14ac:dyDescent="0.35">
      <c r="A4893" s="2" t="s">
        <v>4929</v>
      </c>
      <c r="B4893" s="4">
        <v>22</v>
      </c>
      <c r="C4893" t="s">
        <v>11</v>
      </c>
      <c r="D4893" t="s">
        <v>36</v>
      </c>
      <c r="E4893" t="s">
        <v>37</v>
      </c>
      <c r="F4893" t="s">
        <v>14</v>
      </c>
      <c r="G4893" s="4">
        <v>5</v>
      </c>
      <c r="H4893" s="1">
        <v>59024</v>
      </c>
      <c r="I4893" s="3" t="s">
        <v>21</v>
      </c>
      <c r="J4893" s="4">
        <v>2</v>
      </c>
    </row>
    <row r="4894" spans="1:10" x14ac:dyDescent="0.35">
      <c r="A4894" s="2" t="s">
        <v>4930</v>
      </c>
      <c r="B4894" s="4">
        <v>66</v>
      </c>
      <c r="C4894" t="s">
        <v>11</v>
      </c>
      <c r="D4894" t="s">
        <v>41</v>
      </c>
      <c r="E4894" t="s">
        <v>65</v>
      </c>
      <c r="F4894" t="s">
        <v>30</v>
      </c>
      <c r="G4894" s="4">
        <v>15</v>
      </c>
      <c r="H4894" s="1">
        <v>5213</v>
      </c>
      <c r="I4894" s="3" t="s">
        <v>15</v>
      </c>
      <c r="J4894" s="4">
        <v>4</v>
      </c>
    </row>
    <row r="4895" spans="1:10" x14ac:dyDescent="0.35">
      <c r="A4895" s="2" t="s">
        <v>4931</v>
      </c>
      <c r="B4895" s="4">
        <v>10</v>
      </c>
      <c r="C4895" t="s">
        <v>17</v>
      </c>
      <c r="D4895" t="s">
        <v>23</v>
      </c>
      <c r="E4895" t="s">
        <v>13</v>
      </c>
      <c r="F4895" t="s">
        <v>14</v>
      </c>
      <c r="G4895" s="4">
        <v>4</v>
      </c>
      <c r="H4895" s="1">
        <v>94957</v>
      </c>
      <c r="I4895" s="3" t="s">
        <v>21</v>
      </c>
      <c r="J4895" s="4">
        <v>4</v>
      </c>
    </row>
    <row r="4896" spans="1:10" x14ac:dyDescent="0.35">
      <c r="A4896" s="2" t="s">
        <v>4932</v>
      </c>
      <c r="B4896" s="4">
        <v>47</v>
      </c>
      <c r="C4896" t="s">
        <v>17</v>
      </c>
      <c r="D4896" t="s">
        <v>39</v>
      </c>
      <c r="E4896" t="s">
        <v>24</v>
      </c>
      <c r="F4896" t="s">
        <v>30</v>
      </c>
      <c r="G4896" s="4">
        <v>15</v>
      </c>
      <c r="H4896" s="1">
        <v>15780</v>
      </c>
      <c r="I4896" s="3" t="s">
        <v>15</v>
      </c>
      <c r="J4896" s="4">
        <v>5</v>
      </c>
    </row>
    <row r="4897" spans="1:10" x14ac:dyDescent="0.35">
      <c r="A4897" s="2" t="s">
        <v>4933</v>
      </c>
      <c r="B4897" s="4">
        <v>12</v>
      </c>
      <c r="C4897" t="s">
        <v>17</v>
      </c>
      <c r="D4897" t="s">
        <v>49</v>
      </c>
      <c r="E4897" t="s">
        <v>13</v>
      </c>
      <c r="F4897" t="s">
        <v>20</v>
      </c>
      <c r="G4897" s="4">
        <v>14</v>
      </c>
      <c r="H4897" s="1">
        <v>81381</v>
      </c>
      <c r="I4897" s="3" t="s">
        <v>21</v>
      </c>
      <c r="J4897" s="4">
        <v>1</v>
      </c>
    </row>
    <row r="4898" spans="1:10" x14ac:dyDescent="0.35">
      <c r="A4898" s="2" t="s">
        <v>4934</v>
      </c>
      <c r="B4898" s="4">
        <v>51</v>
      </c>
      <c r="C4898" t="s">
        <v>17</v>
      </c>
      <c r="D4898" t="s">
        <v>23</v>
      </c>
      <c r="E4898" t="s">
        <v>13</v>
      </c>
      <c r="F4898" t="s">
        <v>30</v>
      </c>
      <c r="G4898" s="4">
        <v>14</v>
      </c>
      <c r="H4898" s="1">
        <v>73278</v>
      </c>
      <c r="I4898" s="3" t="s">
        <v>21</v>
      </c>
      <c r="J4898" s="4">
        <v>4</v>
      </c>
    </row>
    <row r="4899" spans="1:10" x14ac:dyDescent="0.35">
      <c r="A4899" s="2" t="s">
        <v>4935</v>
      </c>
      <c r="B4899" s="4">
        <v>55</v>
      </c>
      <c r="C4899" t="s">
        <v>17</v>
      </c>
      <c r="D4899" t="s">
        <v>39</v>
      </c>
      <c r="E4899" t="s">
        <v>37</v>
      </c>
      <c r="F4899" t="s">
        <v>20</v>
      </c>
      <c r="G4899" s="4">
        <v>7</v>
      </c>
      <c r="H4899" s="1">
        <v>29343</v>
      </c>
      <c r="I4899" s="3" t="s">
        <v>21</v>
      </c>
      <c r="J4899" s="4">
        <v>1</v>
      </c>
    </row>
    <row r="4900" spans="1:10" x14ac:dyDescent="0.35">
      <c r="A4900" s="2" t="s">
        <v>4936</v>
      </c>
      <c r="B4900" s="4">
        <v>63</v>
      </c>
      <c r="C4900" t="s">
        <v>17</v>
      </c>
      <c r="D4900" t="s">
        <v>26</v>
      </c>
      <c r="E4900" t="s">
        <v>37</v>
      </c>
      <c r="F4900" t="s">
        <v>14</v>
      </c>
      <c r="G4900" s="4">
        <v>2</v>
      </c>
      <c r="H4900" s="1">
        <v>70203</v>
      </c>
      <c r="I4900" s="3" t="s">
        <v>15</v>
      </c>
      <c r="J4900" s="4">
        <v>1</v>
      </c>
    </row>
    <row r="4901" spans="1:10" x14ac:dyDescent="0.35">
      <c r="A4901" s="2" t="s">
        <v>4937</v>
      </c>
      <c r="B4901" s="4">
        <v>58</v>
      </c>
      <c r="C4901" t="s">
        <v>17</v>
      </c>
      <c r="D4901" t="s">
        <v>12</v>
      </c>
      <c r="E4901" t="s">
        <v>29</v>
      </c>
      <c r="F4901" t="s">
        <v>20</v>
      </c>
      <c r="G4901" s="4">
        <v>3</v>
      </c>
      <c r="H4901" s="1">
        <v>47110</v>
      </c>
      <c r="I4901" s="3" t="s">
        <v>21</v>
      </c>
      <c r="J4901" s="4">
        <v>2</v>
      </c>
    </row>
    <row r="4902" spans="1:10" x14ac:dyDescent="0.35">
      <c r="A4902" s="2" t="s">
        <v>4938</v>
      </c>
      <c r="B4902" s="4">
        <v>46</v>
      </c>
      <c r="C4902" t="s">
        <v>17</v>
      </c>
      <c r="D4902" t="s">
        <v>18</v>
      </c>
      <c r="E4902" t="s">
        <v>13</v>
      </c>
      <c r="F4902" t="s">
        <v>30</v>
      </c>
      <c r="G4902" s="4">
        <v>13</v>
      </c>
      <c r="H4902" s="1">
        <v>47434</v>
      </c>
      <c r="I4902" s="3" t="s">
        <v>21</v>
      </c>
      <c r="J4902" s="4">
        <v>2</v>
      </c>
    </row>
    <row r="4903" spans="1:10" x14ac:dyDescent="0.35">
      <c r="A4903" s="2" t="s">
        <v>4939</v>
      </c>
      <c r="B4903" s="4">
        <v>52</v>
      </c>
      <c r="C4903" t="s">
        <v>17</v>
      </c>
      <c r="D4903" t="s">
        <v>12</v>
      </c>
      <c r="E4903" t="s">
        <v>19</v>
      </c>
      <c r="F4903" t="s">
        <v>14</v>
      </c>
      <c r="G4903" s="4">
        <v>13</v>
      </c>
      <c r="H4903" s="1">
        <v>59165</v>
      </c>
      <c r="I4903" s="3" t="s">
        <v>21</v>
      </c>
      <c r="J4903" s="4">
        <v>4</v>
      </c>
    </row>
    <row r="4904" spans="1:10" x14ac:dyDescent="0.35">
      <c r="A4904" s="2" t="s">
        <v>4940</v>
      </c>
      <c r="B4904" s="4">
        <v>50</v>
      </c>
      <c r="C4904" t="s">
        <v>17</v>
      </c>
      <c r="D4904" t="s">
        <v>33</v>
      </c>
      <c r="E4904" t="s">
        <v>34</v>
      </c>
      <c r="F4904" t="s">
        <v>30</v>
      </c>
      <c r="G4904" s="4">
        <v>9</v>
      </c>
      <c r="H4904" s="1">
        <v>91983</v>
      </c>
      <c r="I4904" s="3" t="s">
        <v>15</v>
      </c>
      <c r="J4904" s="4">
        <v>2</v>
      </c>
    </row>
    <row r="4905" spans="1:10" x14ac:dyDescent="0.35">
      <c r="A4905" s="2" t="s">
        <v>4941</v>
      </c>
      <c r="B4905" s="4">
        <v>47</v>
      </c>
      <c r="C4905" t="s">
        <v>17</v>
      </c>
      <c r="D4905" t="s">
        <v>18</v>
      </c>
      <c r="E4905" t="s">
        <v>65</v>
      </c>
      <c r="F4905" t="s">
        <v>20</v>
      </c>
      <c r="G4905" s="4">
        <v>6</v>
      </c>
      <c r="H4905" s="1">
        <v>73616</v>
      </c>
      <c r="I4905" s="3" t="s">
        <v>15</v>
      </c>
      <c r="J4905" s="4">
        <v>2</v>
      </c>
    </row>
    <row r="4906" spans="1:10" x14ac:dyDescent="0.35">
      <c r="A4906" s="2" t="s">
        <v>4942</v>
      </c>
      <c r="B4906" s="4">
        <v>49</v>
      </c>
      <c r="C4906" t="s">
        <v>11</v>
      </c>
      <c r="D4906" t="s">
        <v>26</v>
      </c>
      <c r="E4906" t="s">
        <v>42</v>
      </c>
      <c r="F4906" t="s">
        <v>30</v>
      </c>
      <c r="G4906" s="4">
        <v>2</v>
      </c>
      <c r="H4906" s="1">
        <v>86414</v>
      </c>
      <c r="I4906" s="3" t="s">
        <v>21</v>
      </c>
      <c r="J4906" s="4">
        <v>5</v>
      </c>
    </row>
    <row r="4907" spans="1:10" x14ac:dyDescent="0.35">
      <c r="A4907" s="2" t="s">
        <v>4943</v>
      </c>
      <c r="B4907" s="4">
        <v>68</v>
      </c>
      <c r="C4907" t="s">
        <v>17</v>
      </c>
      <c r="D4907" t="s">
        <v>49</v>
      </c>
      <c r="E4907" t="s">
        <v>24</v>
      </c>
      <c r="F4907" t="s">
        <v>14</v>
      </c>
      <c r="G4907" s="4">
        <v>9</v>
      </c>
      <c r="H4907" s="1">
        <v>94636</v>
      </c>
      <c r="I4907" s="3" t="s">
        <v>21</v>
      </c>
      <c r="J4907" s="4">
        <v>4</v>
      </c>
    </row>
    <row r="4908" spans="1:10" x14ac:dyDescent="0.35">
      <c r="A4908" s="2" t="s">
        <v>4944</v>
      </c>
      <c r="B4908" s="4">
        <v>63</v>
      </c>
      <c r="C4908" t="s">
        <v>17</v>
      </c>
      <c r="D4908" t="s">
        <v>23</v>
      </c>
      <c r="E4908" t="s">
        <v>27</v>
      </c>
      <c r="F4908" t="s">
        <v>14</v>
      </c>
      <c r="G4908" s="4">
        <v>12</v>
      </c>
      <c r="H4908" s="1">
        <v>42712</v>
      </c>
      <c r="I4908" s="3" t="s">
        <v>21</v>
      </c>
      <c r="J4908" s="4">
        <v>5</v>
      </c>
    </row>
    <row r="4909" spans="1:10" x14ac:dyDescent="0.35">
      <c r="A4909" s="2" t="s">
        <v>4945</v>
      </c>
      <c r="B4909" s="4">
        <v>79</v>
      </c>
      <c r="C4909" t="s">
        <v>11</v>
      </c>
      <c r="D4909" t="s">
        <v>33</v>
      </c>
      <c r="E4909" t="s">
        <v>34</v>
      </c>
      <c r="F4909" t="s">
        <v>14</v>
      </c>
      <c r="G4909" s="4">
        <v>1</v>
      </c>
      <c r="H4909" s="1">
        <v>50022</v>
      </c>
      <c r="I4909" s="3" t="s">
        <v>15</v>
      </c>
      <c r="J4909" s="4">
        <v>4</v>
      </c>
    </row>
    <row r="4910" spans="1:10" x14ac:dyDescent="0.35">
      <c r="A4910" s="2" t="s">
        <v>4946</v>
      </c>
      <c r="B4910" s="4">
        <v>14</v>
      </c>
      <c r="C4910" t="s">
        <v>11</v>
      </c>
      <c r="D4910" t="s">
        <v>12</v>
      </c>
      <c r="E4910" t="s">
        <v>13</v>
      </c>
      <c r="F4910" t="s">
        <v>20</v>
      </c>
      <c r="G4910" s="4">
        <v>3</v>
      </c>
      <c r="H4910" s="1">
        <v>68886</v>
      </c>
      <c r="I4910" s="3" t="s">
        <v>15</v>
      </c>
      <c r="J4910" s="4">
        <v>1</v>
      </c>
    </row>
    <row r="4911" spans="1:10" x14ac:dyDescent="0.35">
      <c r="A4911" s="2" t="s">
        <v>4947</v>
      </c>
      <c r="B4911" s="4">
        <v>76</v>
      </c>
      <c r="C4911" t="s">
        <v>11</v>
      </c>
      <c r="D4911" t="s">
        <v>26</v>
      </c>
      <c r="E4911" t="s">
        <v>37</v>
      </c>
      <c r="F4911" t="s">
        <v>14</v>
      </c>
      <c r="G4911" s="4">
        <v>10</v>
      </c>
      <c r="H4911" s="1">
        <v>85948</v>
      </c>
      <c r="I4911" s="3" t="s">
        <v>15</v>
      </c>
      <c r="J4911" s="4">
        <v>4</v>
      </c>
    </row>
    <row r="4912" spans="1:10" x14ac:dyDescent="0.35">
      <c r="A4912" s="2" t="s">
        <v>4948</v>
      </c>
      <c r="B4912" s="4">
        <v>64</v>
      </c>
      <c r="C4912" t="s">
        <v>11</v>
      </c>
      <c r="D4912" t="s">
        <v>33</v>
      </c>
      <c r="E4912" t="s">
        <v>53</v>
      </c>
      <c r="F4912" t="s">
        <v>14</v>
      </c>
      <c r="G4912" s="4">
        <v>12</v>
      </c>
      <c r="H4912" s="1">
        <v>40869</v>
      </c>
      <c r="I4912" s="3" t="s">
        <v>15</v>
      </c>
      <c r="J4912" s="4">
        <v>5</v>
      </c>
    </row>
    <row r="4913" spans="1:10" x14ac:dyDescent="0.35">
      <c r="A4913" s="2" t="s">
        <v>4949</v>
      </c>
      <c r="B4913" s="4">
        <v>2</v>
      </c>
      <c r="C4913" t="s">
        <v>11</v>
      </c>
      <c r="D4913" t="s">
        <v>28</v>
      </c>
      <c r="E4913" t="s">
        <v>27</v>
      </c>
      <c r="F4913" t="s">
        <v>30</v>
      </c>
      <c r="G4913" s="4">
        <v>1</v>
      </c>
      <c r="H4913" s="1">
        <v>41474</v>
      </c>
      <c r="I4913" s="3" t="s">
        <v>15</v>
      </c>
      <c r="J4913" s="4">
        <v>3</v>
      </c>
    </row>
    <row r="4914" spans="1:10" x14ac:dyDescent="0.35">
      <c r="A4914" s="2" t="s">
        <v>4950</v>
      </c>
      <c r="B4914" s="4">
        <v>82</v>
      </c>
      <c r="C4914" t="s">
        <v>11</v>
      </c>
      <c r="D4914" t="s">
        <v>41</v>
      </c>
      <c r="E4914" t="s">
        <v>24</v>
      </c>
      <c r="F4914" t="s">
        <v>20</v>
      </c>
      <c r="G4914" s="4">
        <v>14</v>
      </c>
      <c r="H4914" s="1">
        <v>34415</v>
      </c>
      <c r="I4914" s="3" t="s">
        <v>15</v>
      </c>
      <c r="J4914" s="4">
        <v>2</v>
      </c>
    </row>
    <row r="4915" spans="1:10" x14ac:dyDescent="0.35">
      <c r="A4915" s="2" t="s">
        <v>4951</v>
      </c>
      <c r="B4915" s="4">
        <v>61</v>
      </c>
      <c r="C4915" t="s">
        <v>17</v>
      </c>
      <c r="D4915" t="s">
        <v>23</v>
      </c>
      <c r="E4915" t="s">
        <v>65</v>
      </c>
      <c r="F4915" t="s">
        <v>20</v>
      </c>
      <c r="G4915" s="4">
        <v>14</v>
      </c>
      <c r="H4915" s="1">
        <v>61778</v>
      </c>
      <c r="I4915" s="3" t="s">
        <v>15</v>
      </c>
      <c r="J4915" s="4">
        <v>3</v>
      </c>
    </row>
    <row r="4916" spans="1:10" x14ac:dyDescent="0.35">
      <c r="A4916" s="2" t="s">
        <v>4952</v>
      </c>
      <c r="B4916" s="4">
        <v>68</v>
      </c>
      <c r="C4916" t="s">
        <v>11</v>
      </c>
      <c r="D4916" t="s">
        <v>36</v>
      </c>
      <c r="E4916" t="s">
        <v>53</v>
      </c>
      <c r="F4916" t="s">
        <v>20</v>
      </c>
      <c r="G4916" s="4">
        <v>8</v>
      </c>
      <c r="H4916" s="1">
        <v>70131</v>
      </c>
      <c r="I4916" s="3" t="s">
        <v>21</v>
      </c>
      <c r="J4916" s="4">
        <v>4</v>
      </c>
    </row>
    <row r="4917" spans="1:10" x14ac:dyDescent="0.35">
      <c r="A4917" s="2" t="s">
        <v>4953</v>
      </c>
      <c r="B4917" s="4">
        <v>66</v>
      </c>
      <c r="C4917" t="s">
        <v>17</v>
      </c>
      <c r="D4917" t="s">
        <v>33</v>
      </c>
      <c r="E4917" t="s">
        <v>37</v>
      </c>
      <c r="F4917" t="s">
        <v>14</v>
      </c>
      <c r="G4917" s="4">
        <v>12</v>
      </c>
      <c r="H4917" s="1">
        <v>83959</v>
      </c>
      <c r="I4917" s="3" t="s">
        <v>21</v>
      </c>
      <c r="J4917" s="4">
        <v>3</v>
      </c>
    </row>
    <row r="4918" spans="1:10" x14ac:dyDescent="0.35">
      <c r="A4918" s="2" t="s">
        <v>4954</v>
      </c>
      <c r="B4918" s="4">
        <v>33</v>
      </c>
      <c r="C4918" t="s">
        <v>17</v>
      </c>
      <c r="D4918" t="s">
        <v>28</v>
      </c>
      <c r="E4918" t="s">
        <v>13</v>
      </c>
      <c r="F4918" t="s">
        <v>30</v>
      </c>
      <c r="G4918" s="4">
        <v>10</v>
      </c>
      <c r="H4918" s="1">
        <v>56015</v>
      </c>
      <c r="I4918" s="3" t="s">
        <v>21</v>
      </c>
      <c r="J4918" s="4">
        <v>3</v>
      </c>
    </row>
    <row r="4919" spans="1:10" x14ac:dyDescent="0.35">
      <c r="A4919" s="2" t="s">
        <v>4955</v>
      </c>
      <c r="B4919" s="4">
        <v>1</v>
      </c>
      <c r="C4919" t="s">
        <v>17</v>
      </c>
      <c r="D4919" t="s">
        <v>26</v>
      </c>
      <c r="E4919" t="s">
        <v>65</v>
      </c>
      <c r="F4919" t="s">
        <v>20</v>
      </c>
      <c r="G4919" s="4">
        <v>8</v>
      </c>
      <c r="H4919" s="1">
        <v>5533</v>
      </c>
      <c r="I4919" s="3" t="s">
        <v>21</v>
      </c>
      <c r="J4919" s="4">
        <v>2</v>
      </c>
    </row>
    <row r="4920" spans="1:10" x14ac:dyDescent="0.35">
      <c r="A4920" s="2" t="s">
        <v>4956</v>
      </c>
      <c r="B4920" s="4">
        <v>45</v>
      </c>
      <c r="C4920" t="s">
        <v>11</v>
      </c>
      <c r="D4920" t="s">
        <v>49</v>
      </c>
      <c r="E4920" t="s">
        <v>27</v>
      </c>
      <c r="F4920" t="s">
        <v>14</v>
      </c>
      <c r="G4920" s="4">
        <v>12</v>
      </c>
      <c r="H4920" s="1">
        <v>52344</v>
      </c>
      <c r="I4920" s="3" t="s">
        <v>21</v>
      </c>
      <c r="J4920" s="4">
        <v>1</v>
      </c>
    </row>
    <row r="4921" spans="1:10" x14ac:dyDescent="0.35">
      <c r="A4921" s="2" t="s">
        <v>4957</v>
      </c>
      <c r="B4921" s="4">
        <v>66</v>
      </c>
      <c r="C4921" t="s">
        <v>11</v>
      </c>
      <c r="D4921" t="s">
        <v>39</v>
      </c>
      <c r="E4921" t="s">
        <v>42</v>
      </c>
      <c r="F4921" t="s">
        <v>14</v>
      </c>
      <c r="G4921" s="4">
        <v>4</v>
      </c>
      <c r="H4921" s="1">
        <v>78764</v>
      </c>
      <c r="I4921" s="3" t="s">
        <v>21</v>
      </c>
      <c r="J4921" s="4">
        <v>5</v>
      </c>
    </row>
    <row r="4922" spans="1:10" x14ac:dyDescent="0.35">
      <c r="A4922" s="2" t="s">
        <v>4958</v>
      </c>
      <c r="B4922" s="4">
        <v>43</v>
      </c>
      <c r="C4922" t="s">
        <v>11</v>
      </c>
      <c r="D4922" t="s">
        <v>28</v>
      </c>
      <c r="E4922" t="s">
        <v>34</v>
      </c>
      <c r="F4922" t="s">
        <v>30</v>
      </c>
      <c r="G4922" s="4">
        <v>5</v>
      </c>
      <c r="H4922" s="1">
        <v>43194</v>
      </c>
      <c r="I4922" s="3" t="s">
        <v>21</v>
      </c>
      <c r="J4922" s="4">
        <v>1</v>
      </c>
    </row>
    <row r="4923" spans="1:10" x14ac:dyDescent="0.35">
      <c r="A4923" s="2" t="s">
        <v>4959</v>
      </c>
      <c r="B4923" s="4">
        <v>89</v>
      </c>
      <c r="C4923" t="s">
        <v>17</v>
      </c>
      <c r="D4923" t="s">
        <v>33</v>
      </c>
      <c r="E4923" t="s">
        <v>65</v>
      </c>
      <c r="F4923" t="s">
        <v>30</v>
      </c>
      <c r="G4923" s="4">
        <v>10</v>
      </c>
      <c r="H4923" s="1">
        <v>76348</v>
      </c>
      <c r="I4923" s="3" t="s">
        <v>15</v>
      </c>
      <c r="J4923" s="4">
        <v>4</v>
      </c>
    </row>
    <row r="4924" spans="1:10" x14ac:dyDescent="0.35">
      <c r="A4924" s="2" t="s">
        <v>4960</v>
      </c>
      <c r="B4924" s="4">
        <v>70</v>
      </c>
      <c r="C4924" t="s">
        <v>11</v>
      </c>
      <c r="D4924" t="s">
        <v>28</v>
      </c>
      <c r="E4924" t="s">
        <v>29</v>
      </c>
      <c r="F4924" t="s">
        <v>30</v>
      </c>
      <c r="G4924" s="4">
        <v>1</v>
      </c>
      <c r="H4924" s="1">
        <v>29302</v>
      </c>
      <c r="I4924" s="3" t="s">
        <v>15</v>
      </c>
      <c r="J4924" s="4">
        <v>5</v>
      </c>
    </row>
    <row r="4925" spans="1:10" x14ac:dyDescent="0.35">
      <c r="A4925" s="2" t="s">
        <v>4961</v>
      </c>
      <c r="B4925" s="4">
        <v>17</v>
      </c>
      <c r="C4925" t="s">
        <v>17</v>
      </c>
      <c r="D4925" t="s">
        <v>49</v>
      </c>
      <c r="E4925" t="s">
        <v>27</v>
      </c>
      <c r="F4925" t="s">
        <v>20</v>
      </c>
      <c r="G4925" s="4">
        <v>6</v>
      </c>
      <c r="H4925" s="1">
        <v>14568</v>
      </c>
      <c r="I4925" s="3" t="s">
        <v>15</v>
      </c>
      <c r="J4925" s="4">
        <v>4</v>
      </c>
    </row>
    <row r="4926" spans="1:10" x14ac:dyDescent="0.35">
      <c r="A4926" s="2" t="s">
        <v>4962</v>
      </c>
      <c r="B4926" s="4">
        <v>56</v>
      </c>
      <c r="C4926" t="s">
        <v>11</v>
      </c>
      <c r="D4926" t="s">
        <v>33</v>
      </c>
      <c r="E4926" t="s">
        <v>29</v>
      </c>
      <c r="F4926" t="s">
        <v>14</v>
      </c>
      <c r="G4926" s="4">
        <v>3</v>
      </c>
      <c r="H4926" s="1">
        <v>45132</v>
      </c>
      <c r="I4926" s="3" t="s">
        <v>15</v>
      </c>
      <c r="J4926" s="4">
        <v>5</v>
      </c>
    </row>
    <row r="4927" spans="1:10" x14ac:dyDescent="0.35">
      <c r="A4927" s="2" t="s">
        <v>4963</v>
      </c>
      <c r="B4927" s="4">
        <v>80</v>
      </c>
      <c r="C4927" t="s">
        <v>17</v>
      </c>
      <c r="D4927" t="s">
        <v>41</v>
      </c>
      <c r="E4927" t="s">
        <v>53</v>
      </c>
      <c r="F4927" t="s">
        <v>14</v>
      </c>
      <c r="G4927" s="4">
        <v>5</v>
      </c>
      <c r="H4927" s="1">
        <v>27995</v>
      </c>
      <c r="I4927" s="3" t="s">
        <v>15</v>
      </c>
      <c r="J4927" s="4">
        <v>1</v>
      </c>
    </row>
    <row r="4928" spans="1:10" x14ac:dyDescent="0.35">
      <c r="A4928" s="2" t="s">
        <v>4964</v>
      </c>
      <c r="B4928" s="4">
        <v>14</v>
      </c>
      <c r="C4928" t="s">
        <v>11</v>
      </c>
      <c r="D4928" t="s">
        <v>33</v>
      </c>
      <c r="E4928" t="s">
        <v>24</v>
      </c>
      <c r="F4928" t="s">
        <v>14</v>
      </c>
      <c r="G4928" s="4">
        <v>15</v>
      </c>
      <c r="H4928" s="1">
        <v>19588</v>
      </c>
      <c r="I4928" s="3" t="s">
        <v>21</v>
      </c>
      <c r="J4928" s="4">
        <v>1</v>
      </c>
    </row>
    <row r="4929" spans="1:10" x14ac:dyDescent="0.35">
      <c r="A4929" s="2" t="s">
        <v>4965</v>
      </c>
      <c r="B4929" s="4">
        <v>86</v>
      </c>
      <c r="C4929" t="s">
        <v>11</v>
      </c>
      <c r="D4929" t="s">
        <v>26</v>
      </c>
      <c r="E4929" t="s">
        <v>19</v>
      </c>
      <c r="F4929" t="s">
        <v>14</v>
      </c>
      <c r="G4929" s="4">
        <v>14</v>
      </c>
      <c r="H4929" s="1">
        <v>38840</v>
      </c>
      <c r="I4929" s="3" t="s">
        <v>15</v>
      </c>
      <c r="J4929" s="4">
        <v>1</v>
      </c>
    </row>
    <row r="4930" spans="1:10" x14ac:dyDescent="0.35">
      <c r="A4930" s="2" t="s">
        <v>4966</v>
      </c>
      <c r="B4930" s="4">
        <v>62</v>
      </c>
      <c r="C4930" t="s">
        <v>11</v>
      </c>
      <c r="D4930" t="s">
        <v>36</v>
      </c>
      <c r="E4930" t="s">
        <v>65</v>
      </c>
      <c r="F4930" t="s">
        <v>20</v>
      </c>
      <c r="G4930" s="4">
        <v>11</v>
      </c>
      <c r="H4930" s="1">
        <v>87860</v>
      </c>
      <c r="I4930" s="3" t="s">
        <v>15</v>
      </c>
      <c r="J4930" s="4">
        <v>5</v>
      </c>
    </row>
    <row r="4931" spans="1:10" x14ac:dyDescent="0.35">
      <c r="A4931" s="2" t="s">
        <v>4967</v>
      </c>
      <c r="B4931" s="4">
        <v>69</v>
      </c>
      <c r="C4931" t="s">
        <v>17</v>
      </c>
      <c r="D4931" t="s">
        <v>12</v>
      </c>
      <c r="E4931" t="s">
        <v>42</v>
      </c>
      <c r="F4931" t="s">
        <v>30</v>
      </c>
      <c r="G4931" s="4">
        <v>4</v>
      </c>
      <c r="H4931" s="1">
        <v>85451</v>
      </c>
      <c r="I4931" s="3" t="s">
        <v>15</v>
      </c>
      <c r="J4931" s="4">
        <v>5</v>
      </c>
    </row>
    <row r="4932" spans="1:10" x14ac:dyDescent="0.35">
      <c r="A4932" s="2" t="s">
        <v>4968</v>
      </c>
      <c r="B4932" s="4">
        <v>40</v>
      </c>
      <c r="C4932" t="s">
        <v>11</v>
      </c>
      <c r="D4932" t="s">
        <v>36</v>
      </c>
      <c r="E4932" t="s">
        <v>53</v>
      </c>
      <c r="F4932" t="s">
        <v>30</v>
      </c>
      <c r="G4932" s="4">
        <v>8</v>
      </c>
      <c r="H4932" s="1">
        <v>47387</v>
      </c>
      <c r="I4932" s="3" t="s">
        <v>15</v>
      </c>
      <c r="J4932" s="4">
        <v>2</v>
      </c>
    </row>
    <row r="4933" spans="1:10" x14ac:dyDescent="0.35">
      <c r="A4933" s="2" t="s">
        <v>4969</v>
      </c>
      <c r="B4933" s="4">
        <v>60</v>
      </c>
      <c r="C4933" t="s">
        <v>17</v>
      </c>
      <c r="D4933" t="s">
        <v>26</v>
      </c>
      <c r="E4933" t="s">
        <v>27</v>
      </c>
      <c r="F4933" t="s">
        <v>30</v>
      </c>
      <c r="G4933" s="4">
        <v>2</v>
      </c>
      <c r="H4933" s="1">
        <v>93231</v>
      </c>
      <c r="I4933" s="3" t="s">
        <v>21</v>
      </c>
      <c r="J4933" s="4">
        <v>3</v>
      </c>
    </row>
    <row r="4934" spans="1:10" x14ac:dyDescent="0.35">
      <c r="A4934" s="2" t="s">
        <v>4970</v>
      </c>
      <c r="B4934" s="4">
        <v>64</v>
      </c>
      <c r="C4934" t="s">
        <v>11</v>
      </c>
      <c r="D4934" t="s">
        <v>28</v>
      </c>
      <c r="E4934" t="s">
        <v>27</v>
      </c>
      <c r="F4934" t="s">
        <v>30</v>
      </c>
      <c r="G4934" s="4">
        <v>4</v>
      </c>
      <c r="H4934" s="1">
        <v>19103</v>
      </c>
      <c r="I4934" s="3" t="s">
        <v>21</v>
      </c>
      <c r="J4934" s="4">
        <v>3</v>
      </c>
    </row>
    <row r="4935" spans="1:10" x14ac:dyDescent="0.35">
      <c r="A4935" s="2" t="s">
        <v>4971</v>
      </c>
      <c r="B4935" s="4">
        <v>31</v>
      </c>
      <c r="C4935" t="s">
        <v>11</v>
      </c>
      <c r="D4935" t="s">
        <v>28</v>
      </c>
      <c r="E4935" t="s">
        <v>29</v>
      </c>
      <c r="F4935" t="s">
        <v>14</v>
      </c>
      <c r="G4935" s="4">
        <v>14</v>
      </c>
      <c r="H4935" s="1">
        <v>71097</v>
      </c>
      <c r="I4935" s="3" t="s">
        <v>21</v>
      </c>
      <c r="J4935" s="4">
        <v>3</v>
      </c>
    </row>
    <row r="4936" spans="1:10" x14ac:dyDescent="0.35">
      <c r="A4936" s="2" t="s">
        <v>4972</v>
      </c>
      <c r="B4936" s="4">
        <v>9</v>
      </c>
      <c r="C4936" t="s">
        <v>17</v>
      </c>
      <c r="D4936" t="s">
        <v>23</v>
      </c>
      <c r="E4936" t="s">
        <v>42</v>
      </c>
      <c r="F4936" t="s">
        <v>14</v>
      </c>
      <c r="G4936" s="4">
        <v>10</v>
      </c>
      <c r="H4936" s="1">
        <v>58081</v>
      </c>
      <c r="I4936" s="3" t="s">
        <v>15</v>
      </c>
      <c r="J4936" s="4">
        <v>1</v>
      </c>
    </row>
    <row r="4937" spans="1:10" x14ac:dyDescent="0.35">
      <c r="A4937" s="2" t="s">
        <v>4973</v>
      </c>
      <c r="B4937" s="4">
        <v>56</v>
      </c>
      <c r="C4937" t="s">
        <v>17</v>
      </c>
      <c r="D4937" t="s">
        <v>28</v>
      </c>
      <c r="E4937" t="s">
        <v>37</v>
      </c>
      <c r="F4937" t="s">
        <v>14</v>
      </c>
      <c r="G4937" s="4">
        <v>14</v>
      </c>
      <c r="H4937" s="1">
        <v>14670</v>
      </c>
      <c r="I4937" s="3" t="s">
        <v>15</v>
      </c>
      <c r="J4937" s="4">
        <v>2</v>
      </c>
    </row>
    <row r="4938" spans="1:10" x14ac:dyDescent="0.35">
      <c r="A4938" s="2" t="s">
        <v>4974</v>
      </c>
      <c r="B4938" s="4">
        <v>61</v>
      </c>
      <c r="C4938" t="s">
        <v>17</v>
      </c>
      <c r="D4938" t="s">
        <v>26</v>
      </c>
      <c r="E4938" t="s">
        <v>42</v>
      </c>
      <c r="F4938" t="s">
        <v>20</v>
      </c>
      <c r="G4938" s="4">
        <v>11</v>
      </c>
      <c r="H4938" s="1">
        <v>84581</v>
      </c>
      <c r="I4938" s="3" t="s">
        <v>21</v>
      </c>
      <c r="J4938" s="4">
        <v>4</v>
      </c>
    </row>
    <row r="4939" spans="1:10" x14ac:dyDescent="0.35">
      <c r="A4939" s="2" t="s">
        <v>4975</v>
      </c>
      <c r="B4939" s="4">
        <v>15</v>
      </c>
      <c r="C4939" t="s">
        <v>17</v>
      </c>
      <c r="D4939" t="s">
        <v>12</v>
      </c>
      <c r="E4939" t="s">
        <v>34</v>
      </c>
      <c r="F4939" t="s">
        <v>30</v>
      </c>
      <c r="G4939" s="4">
        <v>12</v>
      </c>
      <c r="H4939" s="1">
        <v>73647</v>
      </c>
      <c r="I4939" s="3" t="s">
        <v>21</v>
      </c>
      <c r="J4939" s="4">
        <v>5</v>
      </c>
    </row>
    <row r="4940" spans="1:10" x14ac:dyDescent="0.35">
      <c r="A4940" s="2" t="s">
        <v>4976</v>
      </c>
      <c r="B4940" s="4">
        <v>43</v>
      </c>
      <c r="C4940" t="s">
        <v>17</v>
      </c>
      <c r="D4940" t="s">
        <v>33</v>
      </c>
      <c r="E4940" t="s">
        <v>19</v>
      </c>
      <c r="F4940" t="s">
        <v>14</v>
      </c>
      <c r="G4940" s="4">
        <v>1</v>
      </c>
      <c r="H4940" s="1">
        <v>82939</v>
      </c>
      <c r="I4940" s="3" t="s">
        <v>21</v>
      </c>
      <c r="J4940" s="4">
        <v>1</v>
      </c>
    </row>
    <row r="4941" spans="1:10" x14ac:dyDescent="0.35">
      <c r="A4941" s="2" t="s">
        <v>4977</v>
      </c>
      <c r="B4941" s="4">
        <v>59</v>
      </c>
      <c r="C4941" t="s">
        <v>17</v>
      </c>
      <c r="D4941" t="s">
        <v>12</v>
      </c>
      <c r="E4941" t="s">
        <v>37</v>
      </c>
      <c r="F4941" t="s">
        <v>20</v>
      </c>
      <c r="G4941" s="4">
        <v>7</v>
      </c>
      <c r="H4941" s="1">
        <v>44901</v>
      </c>
      <c r="I4941" s="3" t="s">
        <v>21</v>
      </c>
      <c r="J4941" s="4">
        <v>1</v>
      </c>
    </row>
    <row r="4942" spans="1:10" x14ac:dyDescent="0.35">
      <c r="A4942" s="2" t="s">
        <v>4978</v>
      </c>
      <c r="B4942" s="4">
        <v>34</v>
      </c>
      <c r="C4942" t="s">
        <v>17</v>
      </c>
      <c r="D4942" t="s">
        <v>36</v>
      </c>
      <c r="E4942" t="s">
        <v>42</v>
      </c>
      <c r="F4942" t="s">
        <v>30</v>
      </c>
      <c r="G4942" s="4">
        <v>15</v>
      </c>
      <c r="H4942" s="1">
        <v>35282</v>
      </c>
      <c r="I4942" s="3" t="s">
        <v>15</v>
      </c>
      <c r="J4942" s="4">
        <v>3</v>
      </c>
    </row>
    <row r="4943" spans="1:10" x14ac:dyDescent="0.35">
      <c r="A4943" s="2" t="s">
        <v>4979</v>
      </c>
      <c r="B4943" s="4">
        <v>67</v>
      </c>
      <c r="C4943" t="s">
        <v>17</v>
      </c>
      <c r="D4943" t="s">
        <v>49</v>
      </c>
      <c r="E4943" t="s">
        <v>29</v>
      </c>
      <c r="F4943" t="s">
        <v>20</v>
      </c>
      <c r="G4943" s="4">
        <v>8</v>
      </c>
      <c r="H4943" s="1">
        <v>71806</v>
      </c>
      <c r="I4943" s="3" t="s">
        <v>21</v>
      </c>
      <c r="J4943" s="4">
        <v>1</v>
      </c>
    </row>
    <row r="4944" spans="1:10" x14ac:dyDescent="0.35">
      <c r="A4944" s="2" t="s">
        <v>4980</v>
      </c>
      <c r="B4944" s="4">
        <v>15</v>
      </c>
      <c r="C4944" t="s">
        <v>11</v>
      </c>
      <c r="D4944" t="s">
        <v>41</v>
      </c>
      <c r="E4944" t="s">
        <v>42</v>
      </c>
      <c r="F4944" t="s">
        <v>30</v>
      </c>
      <c r="G4944" s="4">
        <v>5</v>
      </c>
      <c r="H4944" s="1">
        <v>50077</v>
      </c>
      <c r="I4944" s="3" t="s">
        <v>21</v>
      </c>
      <c r="J4944" s="4">
        <v>4</v>
      </c>
    </row>
    <row r="4945" spans="1:10" x14ac:dyDescent="0.35">
      <c r="A4945" s="2" t="s">
        <v>4981</v>
      </c>
      <c r="B4945" s="4">
        <v>77</v>
      </c>
      <c r="C4945" t="s">
        <v>11</v>
      </c>
      <c r="D4945" t="s">
        <v>18</v>
      </c>
      <c r="E4945" t="s">
        <v>24</v>
      </c>
      <c r="F4945" t="s">
        <v>20</v>
      </c>
      <c r="G4945" s="4">
        <v>12</v>
      </c>
      <c r="H4945" s="1">
        <v>36118</v>
      </c>
      <c r="I4945" s="3" t="s">
        <v>21</v>
      </c>
      <c r="J4945" s="4">
        <v>3</v>
      </c>
    </row>
    <row r="4946" spans="1:10" x14ac:dyDescent="0.35">
      <c r="A4946" s="2" t="s">
        <v>4982</v>
      </c>
      <c r="B4946" s="4">
        <v>47</v>
      </c>
      <c r="C4946" t="s">
        <v>11</v>
      </c>
      <c r="D4946" t="s">
        <v>28</v>
      </c>
      <c r="E4946" t="s">
        <v>27</v>
      </c>
      <c r="F4946" t="s">
        <v>30</v>
      </c>
      <c r="G4946" s="4">
        <v>3</v>
      </c>
      <c r="H4946" s="1">
        <v>61293</v>
      </c>
      <c r="I4946" s="3" t="s">
        <v>21</v>
      </c>
      <c r="J4946" s="4">
        <v>2</v>
      </c>
    </row>
    <row r="4947" spans="1:10" x14ac:dyDescent="0.35">
      <c r="A4947" s="2" t="s">
        <v>4983</v>
      </c>
      <c r="B4947" s="4">
        <v>57</v>
      </c>
      <c r="C4947" t="s">
        <v>17</v>
      </c>
      <c r="D4947" t="s">
        <v>39</v>
      </c>
      <c r="E4947" t="s">
        <v>53</v>
      </c>
      <c r="F4947" t="s">
        <v>14</v>
      </c>
      <c r="G4947" s="4">
        <v>8</v>
      </c>
      <c r="H4947" s="1">
        <v>29584</v>
      </c>
      <c r="I4947" s="3" t="s">
        <v>21</v>
      </c>
      <c r="J4947" s="4">
        <v>4</v>
      </c>
    </row>
    <row r="4948" spans="1:10" x14ac:dyDescent="0.35">
      <c r="A4948" s="2" t="s">
        <v>4984</v>
      </c>
      <c r="B4948" s="4">
        <v>19</v>
      </c>
      <c r="C4948" t="s">
        <v>17</v>
      </c>
      <c r="D4948" t="s">
        <v>26</v>
      </c>
      <c r="E4948" t="s">
        <v>29</v>
      </c>
      <c r="F4948" t="s">
        <v>30</v>
      </c>
      <c r="G4948" s="4">
        <v>4</v>
      </c>
      <c r="H4948" s="1">
        <v>32975</v>
      </c>
      <c r="I4948" s="3" t="s">
        <v>21</v>
      </c>
      <c r="J4948" s="4">
        <v>3</v>
      </c>
    </row>
    <row r="4949" spans="1:10" x14ac:dyDescent="0.35">
      <c r="A4949" s="2" t="s">
        <v>4985</v>
      </c>
      <c r="B4949" s="4">
        <v>43</v>
      </c>
      <c r="C4949" t="s">
        <v>17</v>
      </c>
      <c r="D4949" t="s">
        <v>39</v>
      </c>
      <c r="E4949" t="s">
        <v>42</v>
      </c>
      <c r="F4949" t="s">
        <v>14</v>
      </c>
      <c r="G4949" s="4">
        <v>9</v>
      </c>
      <c r="H4949" s="1">
        <v>69672</v>
      </c>
      <c r="I4949" s="3" t="s">
        <v>15</v>
      </c>
      <c r="J4949" s="4">
        <v>4</v>
      </c>
    </row>
    <row r="4950" spans="1:10" x14ac:dyDescent="0.35">
      <c r="A4950" s="2" t="s">
        <v>4986</v>
      </c>
      <c r="B4950" s="4">
        <v>88</v>
      </c>
      <c r="C4950" t="s">
        <v>11</v>
      </c>
      <c r="D4950" t="s">
        <v>26</v>
      </c>
      <c r="E4950" t="s">
        <v>29</v>
      </c>
      <c r="F4950" t="s">
        <v>30</v>
      </c>
      <c r="G4950" s="4">
        <v>3</v>
      </c>
      <c r="H4950" s="1">
        <v>82670</v>
      </c>
      <c r="I4950" s="3" t="s">
        <v>15</v>
      </c>
      <c r="J4950" s="4">
        <v>1</v>
      </c>
    </row>
    <row r="4951" spans="1:10" x14ac:dyDescent="0.35">
      <c r="A4951" s="2" t="s">
        <v>4987</v>
      </c>
      <c r="B4951" s="4">
        <v>67</v>
      </c>
      <c r="C4951" t="s">
        <v>17</v>
      </c>
      <c r="D4951" t="s">
        <v>33</v>
      </c>
      <c r="E4951" t="s">
        <v>27</v>
      </c>
      <c r="F4951" t="s">
        <v>20</v>
      </c>
      <c r="G4951" s="4">
        <v>4</v>
      </c>
      <c r="H4951" s="1">
        <v>41449</v>
      </c>
      <c r="I4951" s="3" t="s">
        <v>15</v>
      </c>
      <c r="J4951" s="4">
        <v>2</v>
      </c>
    </row>
    <row r="4952" spans="1:10" x14ac:dyDescent="0.35">
      <c r="A4952" s="2" t="s">
        <v>4988</v>
      </c>
      <c r="B4952" s="4">
        <v>79</v>
      </c>
      <c r="C4952" t="s">
        <v>17</v>
      </c>
      <c r="D4952" t="s">
        <v>33</v>
      </c>
      <c r="E4952" t="s">
        <v>42</v>
      </c>
      <c r="F4952" t="s">
        <v>14</v>
      </c>
      <c r="G4952" s="4">
        <v>6</v>
      </c>
      <c r="H4952" s="1">
        <v>70433</v>
      </c>
      <c r="I4952" s="3" t="s">
        <v>15</v>
      </c>
      <c r="J4952" s="4">
        <v>2</v>
      </c>
    </row>
    <row r="4953" spans="1:10" x14ac:dyDescent="0.35">
      <c r="A4953" s="2" t="s">
        <v>4989</v>
      </c>
      <c r="B4953" s="4">
        <v>21</v>
      </c>
      <c r="C4953" t="s">
        <v>17</v>
      </c>
      <c r="D4953" t="s">
        <v>49</v>
      </c>
      <c r="E4953" t="s">
        <v>53</v>
      </c>
      <c r="F4953" t="s">
        <v>20</v>
      </c>
      <c r="G4953" s="4">
        <v>7</v>
      </c>
      <c r="H4953" s="1">
        <v>61204</v>
      </c>
      <c r="I4953" s="3" t="s">
        <v>15</v>
      </c>
      <c r="J4953" s="4">
        <v>5</v>
      </c>
    </row>
    <row r="4954" spans="1:10" x14ac:dyDescent="0.35">
      <c r="A4954" s="2" t="s">
        <v>4990</v>
      </c>
      <c r="B4954" s="4">
        <v>1</v>
      </c>
      <c r="C4954" t="s">
        <v>11</v>
      </c>
      <c r="D4954" t="s">
        <v>36</v>
      </c>
      <c r="E4954" t="s">
        <v>37</v>
      </c>
      <c r="F4954" t="s">
        <v>14</v>
      </c>
      <c r="G4954" s="4">
        <v>12</v>
      </c>
      <c r="H4954" s="1">
        <v>99944</v>
      </c>
      <c r="I4954" s="3" t="s">
        <v>21</v>
      </c>
      <c r="J4954" s="4">
        <v>1</v>
      </c>
    </row>
    <row r="4955" spans="1:10" x14ac:dyDescent="0.35">
      <c r="A4955" s="2" t="s">
        <v>4991</v>
      </c>
      <c r="B4955" s="4">
        <v>67</v>
      </c>
      <c r="C4955" t="s">
        <v>11</v>
      </c>
      <c r="D4955" t="s">
        <v>49</v>
      </c>
      <c r="E4955" t="s">
        <v>53</v>
      </c>
      <c r="F4955" t="s">
        <v>20</v>
      </c>
      <c r="G4955" s="4">
        <v>10</v>
      </c>
      <c r="H4955" s="1">
        <v>88865</v>
      </c>
      <c r="I4955" s="3" t="s">
        <v>15</v>
      </c>
      <c r="J4955" s="4">
        <v>2</v>
      </c>
    </row>
    <row r="4956" spans="1:10" x14ac:dyDescent="0.35">
      <c r="A4956" s="2" t="s">
        <v>4992</v>
      </c>
      <c r="B4956" s="4">
        <v>64</v>
      </c>
      <c r="C4956" t="s">
        <v>11</v>
      </c>
      <c r="D4956" t="s">
        <v>26</v>
      </c>
      <c r="E4956" t="s">
        <v>13</v>
      </c>
      <c r="F4956" t="s">
        <v>30</v>
      </c>
      <c r="G4956" s="4">
        <v>14</v>
      </c>
      <c r="H4956" s="1">
        <v>84990</v>
      </c>
      <c r="I4956" s="3" t="s">
        <v>15</v>
      </c>
      <c r="J4956" s="4">
        <v>2</v>
      </c>
    </row>
    <row r="4957" spans="1:10" x14ac:dyDescent="0.35">
      <c r="A4957" s="2" t="s">
        <v>4993</v>
      </c>
      <c r="B4957" s="4">
        <v>24</v>
      </c>
      <c r="C4957" t="s">
        <v>17</v>
      </c>
      <c r="D4957" t="s">
        <v>41</v>
      </c>
      <c r="E4957" t="s">
        <v>27</v>
      </c>
      <c r="F4957" t="s">
        <v>14</v>
      </c>
      <c r="G4957" s="4">
        <v>11</v>
      </c>
      <c r="H4957" s="1">
        <v>76575</v>
      </c>
      <c r="I4957" s="3" t="s">
        <v>15</v>
      </c>
      <c r="J4957" s="4">
        <v>2</v>
      </c>
    </row>
    <row r="4958" spans="1:10" x14ac:dyDescent="0.35">
      <c r="A4958" s="2" t="s">
        <v>4994</v>
      </c>
      <c r="B4958" s="4">
        <v>40</v>
      </c>
      <c r="C4958" t="s">
        <v>17</v>
      </c>
      <c r="D4958" t="s">
        <v>28</v>
      </c>
      <c r="E4958" t="s">
        <v>53</v>
      </c>
      <c r="F4958" t="s">
        <v>20</v>
      </c>
      <c r="G4958" s="4">
        <v>10</v>
      </c>
      <c r="H4958" s="1">
        <v>75600</v>
      </c>
      <c r="I4958" s="3" t="s">
        <v>15</v>
      </c>
      <c r="J4958" s="4">
        <v>3</v>
      </c>
    </row>
    <row r="4959" spans="1:10" x14ac:dyDescent="0.35">
      <c r="A4959" s="2" t="s">
        <v>4995</v>
      </c>
      <c r="B4959" s="4">
        <v>42</v>
      </c>
      <c r="C4959" t="s">
        <v>11</v>
      </c>
      <c r="D4959" t="s">
        <v>49</v>
      </c>
      <c r="E4959" t="s">
        <v>24</v>
      </c>
      <c r="F4959" t="s">
        <v>20</v>
      </c>
      <c r="G4959" s="4">
        <v>2</v>
      </c>
      <c r="H4959" s="1">
        <v>45690</v>
      </c>
      <c r="I4959" s="3" t="s">
        <v>15</v>
      </c>
      <c r="J4959" s="4">
        <v>1</v>
      </c>
    </row>
    <row r="4960" spans="1:10" x14ac:dyDescent="0.35">
      <c r="A4960" s="2" t="s">
        <v>4996</v>
      </c>
      <c r="B4960" s="4">
        <v>90</v>
      </c>
      <c r="C4960" t="s">
        <v>17</v>
      </c>
      <c r="D4960" t="s">
        <v>18</v>
      </c>
      <c r="E4960" t="s">
        <v>24</v>
      </c>
      <c r="F4960" t="s">
        <v>30</v>
      </c>
      <c r="G4960" s="4">
        <v>1</v>
      </c>
      <c r="H4960" s="1">
        <v>70477</v>
      </c>
      <c r="I4960" s="3" t="s">
        <v>15</v>
      </c>
      <c r="J4960" s="4">
        <v>2</v>
      </c>
    </row>
    <row r="4961" spans="1:10" x14ac:dyDescent="0.35">
      <c r="A4961" s="2" t="s">
        <v>4997</v>
      </c>
      <c r="B4961" s="4">
        <v>17</v>
      </c>
      <c r="C4961" t="s">
        <v>11</v>
      </c>
      <c r="D4961" t="s">
        <v>28</v>
      </c>
      <c r="E4961" t="s">
        <v>42</v>
      </c>
      <c r="F4961" t="s">
        <v>14</v>
      </c>
      <c r="G4961" s="4">
        <v>10</v>
      </c>
      <c r="H4961" s="1">
        <v>70472</v>
      </c>
      <c r="I4961" s="3" t="s">
        <v>21</v>
      </c>
      <c r="J4961" s="4">
        <v>4</v>
      </c>
    </row>
    <row r="4962" spans="1:10" x14ac:dyDescent="0.35">
      <c r="A4962" s="2" t="s">
        <v>4998</v>
      </c>
      <c r="B4962" s="4">
        <v>34</v>
      </c>
      <c r="C4962" t="s">
        <v>17</v>
      </c>
      <c r="D4962" t="s">
        <v>33</v>
      </c>
      <c r="E4962" t="s">
        <v>53</v>
      </c>
      <c r="F4962" t="s">
        <v>20</v>
      </c>
      <c r="G4962" s="4">
        <v>10</v>
      </c>
      <c r="H4962" s="1">
        <v>31443</v>
      </c>
      <c r="I4962" s="3" t="s">
        <v>15</v>
      </c>
      <c r="J4962" s="4">
        <v>4</v>
      </c>
    </row>
    <row r="4963" spans="1:10" x14ac:dyDescent="0.35">
      <c r="A4963" s="2" t="s">
        <v>4999</v>
      </c>
      <c r="B4963" s="4">
        <v>46</v>
      </c>
      <c r="C4963" t="s">
        <v>11</v>
      </c>
      <c r="D4963" t="s">
        <v>33</v>
      </c>
      <c r="E4963" t="s">
        <v>34</v>
      </c>
      <c r="F4963" t="s">
        <v>30</v>
      </c>
      <c r="G4963" s="4">
        <v>13</v>
      </c>
      <c r="H4963" s="1">
        <v>92103</v>
      </c>
      <c r="I4963" s="3" t="s">
        <v>21</v>
      </c>
      <c r="J4963" s="4">
        <v>3</v>
      </c>
    </row>
    <row r="4964" spans="1:10" x14ac:dyDescent="0.35">
      <c r="A4964" s="2" t="s">
        <v>5000</v>
      </c>
      <c r="B4964" s="4">
        <v>61</v>
      </c>
      <c r="C4964" t="s">
        <v>17</v>
      </c>
      <c r="D4964" t="s">
        <v>28</v>
      </c>
      <c r="E4964" t="s">
        <v>34</v>
      </c>
      <c r="F4964" t="s">
        <v>30</v>
      </c>
      <c r="G4964" s="4">
        <v>5</v>
      </c>
      <c r="H4964" s="1">
        <v>40417</v>
      </c>
      <c r="I4964" s="3" t="s">
        <v>21</v>
      </c>
      <c r="J4964" s="4">
        <v>1</v>
      </c>
    </row>
    <row r="4965" spans="1:10" x14ac:dyDescent="0.35">
      <c r="A4965" s="2" t="s">
        <v>5001</v>
      </c>
      <c r="B4965" s="4">
        <v>87</v>
      </c>
      <c r="C4965" t="s">
        <v>11</v>
      </c>
      <c r="D4965" t="s">
        <v>26</v>
      </c>
      <c r="E4965" t="s">
        <v>37</v>
      </c>
      <c r="F4965" t="s">
        <v>30</v>
      </c>
      <c r="G4965" s="4">
        <v>9</v>
      </c>
      <c r="H4965" s="1">
        <v>63044</v>
      </c>
      <c r="I4965" s="3" t="s">
        <v>15</v>
      </c>
      <c r="J4965" s="4">
        <v>5</v>
      </c>
    </row>
    <row r="4966" spans="1:10" x14ac:dyDescent="0.35">
      <c r="A4966" s="2" t="s">
        <v>5002</v>
      </c>
      <c r="B4966" s="4">
        <v>61</v>
      </c>
      <c r="C4966" t="s">
        <v>17</v>
      </c>
      <c r="D4966" t="s">
        <v>26</v>
      </c>
      <c r="E4966" t="s">
        <v>53</v>
      </c>
      <c r="F4966" t="s">
        <v>20</v>
      </c>
      <c r="G4966" s="4">
        <v>1</v>
      </c>
      <c r="H4966" s="1">
        <v>70489</v>
      </c>
      <c r="I4966" s="3" t="s">
        <v>15</v>
      </c>
      <c r="J4966" s="4">
        <v>2</v>
      </c>
    </row>
    <row r="4967" spans="1:10" x14ac:dyDescent="0.35">
      <c r="A4967" s="2" t="s">
        <v>5003</v>
      </c>
      <c r="B4967" s="4">
        <v>22</v>
      </c>
      <c r="C4967" t="s">
        <v>17</v>
      </c>
      <c r="D4967" t="s">
        <v>18</v>
      </c>
      <c r="E4967" t="s">
        <v>13</v>
      </c>
      <c r="F4967" t="s">
        <v>14</v>
      </c>
      <c r="G4967" s="4">
        <v>4</v>
      </c>
      <c r="H4967" s="1">
        <v>68485</v>
      </c>
      <c r="I4967" s="3" t="s">
        <v>15</v>
      </c>
      <c r="J4967" s="4">
        <v>5</v>
      </c>
    </row>
    <row r="4968" spans="1:10" x14ac:dyDescent="0.35">
      <c r="A4968" s="2" t="s">
        <v>5004</v>
      </c>
      <c r="B4968" s="4">
        <v>4</v>
      </c>
      <c r="C4968" t="s">
        <v>11</v>
      </c>
      <c r="D4968" t="s">
        <v>36</v>
      </c>
      <c r="E4968" t="s">
        <v>13</v>
      </c>
      <c r="F4968" t="s">
        <v>30</v>
      </c>
      <c r="G4968" s="4">
        <v>15</v>
      </c>
      <c r="H4968" s="1">
        <v>17094</v>
      </c>
      <c r="I4968" s="3" t="s">
        <v>15</v>
      </c>
      <c r="J4968" s="4">
        <v>1</v>
      </c>
    </row>
    <row r="4969" spans="1:10" x14ac:dyDescent="0.35">
      <c r="A4969" s="2" t="s">
        <v>5005</v>
      </c>
      <c r="B4969" s="4">
        <v>34</v>
      </c>
      <c r="C4969" t="s">
        <v>11</v>
      </c>
      <c r="D4969" t="s">
        <v>23</v>
      </c>
      <c r="E4969" t="s">
        <v>42</v>
      </c>
      <c r="F4969" t="s">
        <v>14</v>
      </c>
      <c r="G4969" s="4">
        <v>3</v>
      </c>
      <c r="H4969" s="1">
        <v>57619</v>
      </c>
      <c r="I4969" s="3" t="s">
        <v>15</v>
      </c>
      <c r="J4969" s="4">
        <v>4</v>
      </c>
    </row>
    <row r="4970" spans="1:10" x14ac:dyDescent="0.35">
      <c r="A4970" s="2" t="s">
        <v>5006</v>
      </c>
      <c r="B4970" s="4">
        <v>26</v>
      </c>
      <c r="C4970" t="s">
        <v>11</v>
      </c>
      <c r="D4970" t="s">
        <v>41</v>
      </c>
      <c r="E4970" t="s">
        <v>53</v>
      </c>
      <c r="F4970" t="s">
        <v>14</v>
      </c>
      <c r="G4970" s="4">
        <v>5</v>
      </c>
      <c r="H4970" s="1">
        <v>35376</v>
      </c>
      <c r="I4970" s="3" t="s">
        <v>15</v>
      </c>
      <c r="J4970" s="4">
        <v>5</v>
      </c>
    </row>
    <row r="4971" spans="1:10" x14ac:dyDescent="0.35">
      <c r="A4971" s="2" t="s">
        <v>5007</v>
      </c>
      <c r="B4971" s="4">
        <v>62</v>
      </c>
      <c r="C4971" t="s">
        <v>11</v>
      </c>
      <c r="D4971" t="s">
        <v>26</v>
      </c>
      <c r="E4971" t="s">
        <v>65</v>
      </c>
      <c r="F4971" t="s">
        <v>20</v>
      </c>
      <c r="G4971" s="4">
        <v>7</v>
      </c>
      <c r="H4971" s="1">
        <v>40765</v>
      </c>
      <c r="I4971" s="3" t="s">
        <v>21</v>
      </c>
      <c r="J4971" s="4">
        <v>5</v>
      </c>
    </row>
    <row r="4972" spans="1:10" x14ac:dyDescent="0.35">
      <c r="A4972" s="2" t="s">
        <v>5008</v>
      </c>
      <c r="B4972" s="4">
        <v>1</v>
      </c>
      <c r="C4972" t="s">
        <v>17</v>
      </c>
      <c r="D4972" t="s">
        <v>39</v>
      </c>
      <c r="E4972" t="s">
        <v>37</v>
      </c>
      <c r="F4972" t="s">
        <v>30</v>
      </c>
      <c r="G4972" s="4">
        <v>5</v>
      </c>
      <c r="H4972" s="1">
        <v>52660</v>
      </c>
      <c r="I4972" s="3" t="s">
        <v>21</v>
      </c>
      <c r="J4972" s="4">
        <v>3</v>
      </c>
    </row>
    <row r="4973" spans="1:10" x14ac:dyDescent="0.35">
      <c r="A4973" s="2" t="s">
        <v>5009</v>
      </c>
      <c r="B4973" s="4">
        <v>43</v>
      </c>
      <c r="C4973" t="s">
        <v>11</v>
      </c>
      <c r="D4973" t="s">
        <v>26</v>
      </c>
      <c r="E4973" t="s">
        <v>13</v>
      </c>
      <c r="F4973" t="s">
        <v>14</v>
      </c>
      <c r="G4973" s="4">
        <v>11</v>
      </c>
      <c r="H4973" s="1">
        <v>79425</v>
      </c>
      <c r="I4973" s="3" t="s">
        <v>15</v>
      </c>
      <c r="J4973" s="4">
        <v>5</v>
      </c>
    </row>
    <row r="4974" spans="1:10" x14ac:dyDescent="0.35">
      <c r="A4974" s="2" t="s">
        <v>5010</v>
      </c>
      <c r="B4974" s="4">
        <v>66</v>
      </c>
      <c r="C4974" t="s">
        <v>11</v>
      </c>
      <c r="D4974" t="s">
        <v>26</v>
      </c>
      <c r="E4974" t="s">
        <v>29</v>
      </c>
      <c r="F4974" t="s">
        <v>20</v>
      </c>
      <c r="G4974" s="4">
        <v>15</v>
      </c>
      <c r="H4974" s="1">
        <v>84276</v>
      </c>
      <c r="I4974" s="3" t="s">
        <v>15</v>
      </c>
      <c r="J4974" s="4">
        <v>2</v>
      </c>
    </row>
    <row r="4975" spans="1:10" x14ac:dyDescent="0.35">
      <c r="A4975" s="2" t="s">
        <v>5011</v>
      </c>
      <c r="B4975" s="4">
        <v>10</v>
      </c>
      <c r="C4975" t="s">
        <v>11</v>
      </c>
      <c r="D4975" t="s">
        <v>28</v>
      </c>
      <c r="E4975" t="s">
        <v>65</v>
      </c>
      <c r="F4975" t="s">
        <v>20</v>
      </c>
      <c r="G4975" s="4">
        <v>3</v>
      </c>
      <c r="H4975" s="1">
        <v>56794</v>
      </c>
      <c r="I4975" s="3" t="s">
        <v>21</v>
      </c>
      <c r="J4975" s="4">
        <v>2</v>
      </c>
    </row>
    <row r="4976" spans="1:10" x14ac:dyDescent="0.35">
      <c r="A4976" s="2" t="s">
        <v>5012</v>
      </c>
      <c r="B4976" s="4">
        <v>39</v>
      </c>
      <c r="C4976" t="s">
        <v>11</v>
      </c>
      <c r="D4976" t="s">
        <v>36</v>
      </c>
      <c r="E4976" t="s">
        <v>27</v>
      </c>
      <c r="F4976" t="s">
        <v>30</v>
      </c>
      <c r="G4976" s="4">
        <v>13</v>
      </c>
      <c r="H4976" s="1">
        <v>46656</v>
      </c>
      <c r="I4976" s="3" t="s">
        <v>21</v>
      </c>
      <c r="J4976" s="4">
        <v>5</v>
      </c>
    </row>
    <row r="4977" spans="1:10" x14ac:dyDescent="0.35">
      <c r="A4977" s="2" t="s">
        <v>5013</v>
      </c>
      <c r="B4977" s="4">
        <v>59</v>
      </c>
      <c r="C4977" t="s">
        <v>17</v>
      </c>
      <c r="D4977" t="s">
        <v>28</v>
      </c>
      <c r="E4977" t="s">
        <v>29</v>
      </c>
      <c r="F4977" t="s">
        <v>30</v>
      </c>
      <c r="G4977" s="4">
        <v>13</v>
      </c>
      <c r="H4977" s="1">
        <v>21243</v>
      </c>
      <c r="I4977" s="3" t="s">
        <v>15</v>
      </c>
      <c r="J4977" s="4">
        <v>3</v>
      </c>
    </row>
    <row r="4978" spans="1:10" x14ac:dyDescent="0.35">
      <c r="A4978" s="2" t="s">
        <v>5014</v>
      </c>
      <c r="B4978" s="4">
        <v>32</v>
      </c>
      <c r="C4978" t="s">
        <v>11</v>
      </c>
      <c r="D4978" t="s">
        <v>49</v>
      </c>
      <c r="E4978" t="s">
        <v>34</v>
      </c>
      <c r="F4978" t="s">
        <v>20</v>
      </c>
      <c r="G4978" s="4">
        <v>12</v>
      </c>
      <c r="H4978" s="1">
        <v>33330</v>
      </c>
      <c r="I4978" s="3" t="s">
        <v>21</v>
      </c>
      <c r="J4978" s="4">
        <v>2</v>
      </c>
    </row>
    <row r="4979" spans="1:10" x14ac:dyDescent="0.35">
      <c r="A4979" s="2" t="s">
        <v>5015</v>
      </c>
      <c r="B4979" s="4">
        <v>18</v>
      </c>
      <c r="C4979" t="s">
        <v>17</v>
      </c>
      <c r="D4979" t="s">
        <v>33</v>
      </c>
      <c r="E4979" t="s">
        <v>65</v>
      </c>
      <c r="F4979" t="s">
        <v>14</v>
      </c>
      <c r="G4979" s="4">
        <v>13</v>
      </c>
      <c r="H4979" s="1">
        <v>86395</v>
      </c>
      <c r="I4979" s="3" t="s">
        <v>15</v>
      </c>
      <c r="J4979" s="4">
        <v>5</v>
      </c>
    </row>
    <row r="4980" spans="1:10" x14ac:dyDescent="0.35">
      <c r="A4980" s="2" t="s">
        <v>5016</v>
      </c>
      <c r="B4980" s="4">
        <v>66</v>
      </c>
      <c r="C4980" t="s">
        <v>11</v>
      </c>
      <c r="D4980" t="s">
        <v>49</v>
      </c>
      <c r="E4980" t="s">
        <v>19</v>
      </c>
      <c r="F4980" t="s">
        <v>14</v>
      </c>
      <c r="G4980" s="4">
        <v>12</v>
      </c>
      <c r="H4980" s="1">
        <v>28460</v>
      </c>
      <c r="I4980" s="3" t="s">
        <v>21</v>
      </c>
      <c r="J4980" s="4">
        <v>2</v>
      </c>
    </row>
    <row r="4981" spans="1:10" x14ac:dyDescent="0.35">
      <c r="A4981" s="2" t="s">
        <v>5017</v>
      </c>
      <c r="B4981" s="4">
        <v>23</v>
      </c>
      <c r="C4981" t="s">
        <v>17</v>
      </c>
      <c r="D4981" t="s">
        <v>36</v>
      </c>
      <c r="E4981" t="s">
        <v>27</v>
      </c>
      <c r="F4981" t="s">
        <v>20</v>
      </c>
      <c r="G4981" s="4">
        <v>8</v>
      </c>
      <c r="H4981" s="1">
        <v>80853</v>
      </c>
      <c r="I4981" s="3" t="s">
        <v>15</v>
      </c>
      <c r="J4981" s="4">
        <v>2</v>
      </c>
    </row>
    <row r="4982" spans="1:10" x14ac:dyDescent="0.35">
      <c r="A4982" s="2" t="s">
        <v>5018</v>
      </c>
      <c r="B4982" s="4">
        <v>48</v>
      </c>
      <c r="C4982" t="s">
        <v>17</v>
      </c>
      <c r="D4982" t="s">
        <v>28</v>
      </c>
      <c r="E4982" t="s">
        <v>13</v>
      </c>
      <c r="F4982" t="s">
        <v>20</v>
      </c>
      <c r="G4982" s="4">
        <v>9</v>
      </c>
      <c r="H4982" s="1">
        <v>46903</v>
      </c>
      <c r="I4982" s="3" t="s">
        <v>21</v>
      </c>
      <c r="J4982" s="4">
        <v>5</v>
      </c>
    </row>
    <row r="4983" spans="1:10" x14ac:dyDescent="0.35">
      <c r="A4983" s="2" t="s">
        <v>5019</v>
      </c>
      <c r="B4983" s="4">
        <v>43</v>
      </c>
      <c r="C4983" t="s">
        <v>11</v>
      </c>
      <c r="D4983" t="s">
        <v>18</v>
      </c>
      <c r="E4983" t="s">
        <v>29</v>
      </c>
      <c r="F4983" t="s">
        <v>14</v>
      </c>
      <c r="G4983" s="4">
        <v>8</v>
      </c>
      <c r="H4983" s="1">
        <v>63393</v>
      </c>
      <c r="I4983" s="3" t="s">
        <v>15</v>
      </c>
      <c r="J4983" s="4">
        <v>1</v>
      </c>
    </row>
    <row r="4984" spans="1:10" x14ac:dyDescent="0.35">
      <c r="A4984" s="2" t="s">
        <v>5020</v>
      </c>
      <c r="B4984" s="4">
        <v>33</v>
      </c>
      <c r="C4984" t="s">
        <v>17</v>
      </c>
      <c r="D4984" t="s">
        <v>41</v>
      </c>
      <c r="E4984" t="s">
        <v>29</v>
      </c>
      <c r="F4984" t="s">
        <v>20</v>
      </c>
      <c r="G4984" s="4">
        <v>14</v>
      </c>
      <c r="H4984" s="1">
        <v>24563</v>
      </c>
      <c r="I4984" s="3" t="s">
        <v>15</v>
      </c>
      <c r="J4984" s="4">
        <v>2</v>
      </c>
    </row>
    <row r="4985" spans="1:10" x14ac:dyDescent="0.35">
      <c r="A4985" s="2" t="s">
        <v>5021</v>
      </c>
      <c r="B4985" s="4">
        <v>73</v>
      </c>
      <c r="C4985" t="s">
        <v>17</v>
      </c>
      <c r="D4985" t="s">
        <v>12</v>
      </c>
      <c r="E4985" t="s">
        <v>13</v>
      </c>
      <c r="F4985" t="s">
        <v>20</v>
      </c>
      <c r="G4985" s="4">
        <v>9</v>
      </c>
      <c r="H4985" s="1">
        <v>39997</v>
      </c>
      <c r="I4985" s="3" t="s">
        <v>21</v>
      </c>
      <c r="J4985" s="4">
        <v>2</v>
      </c>
    </row>
    <row r="4986" spans="1:10" x14ac:dyDescent="0.35">
      <c r="A4986" s="2" t="s">
        <v>5022</v>
      </c>
      <c r="B4986" s="4">
        <v>53</v>
      </c>
      <c r="C4986" t="s">
        <v>17</v>
      </c>
      <c r="D4986" t="s">
        <v>49</v>
      </c>
      <c r="E4986" t="s">
        <v>29</v>
      </c>
      <c r="F4986" t="s">
        <v>20</v>
      </c>
      <c r="G4986" s="4">
        <v>2</v>
      </c>
      <c r="H4986" s="1">
        <v>12080</v>
      </c>
      <c r="I4986" s="3" t="s">
        <v>15</v>
      </c>
      <c r="J4986" s="4">
        <v>5</v>
      </c>
    </row>
    <row r="4987" spans="1:10" x14ac:dyDescent="0.35">
      <c r="A4987" s="2" t="s">
        <v>5023</v>
      </c>
      <c r="B4987" s="4">
        <v>83</v>
      </c>
      <c r="C4987" t="s">
        <v>11</v>
      </c>
      <c r="D4987" t="s">
        <v>33</v>
      </c>
      <c r="E4987" t="s">
        <v>37</v>
      </c>
      <c r="F4987" t="s">
        <v>30</v>
      </c>
      <c r="G4987" s="4">
        <v>10</v>
      </c>
      <c r="H4987" s="1">
        <v>17357</v>
      </c>
      <c r="I4987" s="3" t="s">
        <v>21</v>
      </c>
      <c r="J4987" s="4">
        <v>4</v>
      </c>
    </row>
    <row r="4988" spans="1:10" x14ac:dyDescent="0.35">
      <c r="A4988" s="2" t="s">
        <v>5024</v>
      </c>
      <c r="B4988" s="4">
        <v>49</v>
      </c>
      <c r="C4988" t="s">
        <v>17</v>
      </c>
      <c r="D4988" t="s">
        <v>33</v>
      </c>
      <c r="E4988" t="s">
        <v>13</v>
      </c>
      <c r="F4988" t="s">
        <v>14</v>
      </c>
      <c r="G4988" s="4">
        <v>3</v>
      </c>
      <c r="H4988" s="1">
        <v>63861</v>
      </c>
      <c r="I4988" s="3" t="s">
        <v>15</v>
      </c>
      <c r="J4988" s="4">
        <v>5</v>
      </c>
    </row>
    <row r="4989" spans="1:10" x14ac:dyDescent="0.35">
      <c r="A4989" s="2" t="s">
        <v>5025</v>
      </c>
      <c r="B4989" s="4">
        <v>69</v>
      </c>
      <c r="C4989" t="s">
        <v>11</v>
      </c>
      <c r="D4989" t="s">
        <v>39</v>
      </c>
      <c r="E4989" t="s">
        <v>65</v>
      </c>
      <c r="F4989" t="s">
        <v>20</v>
      </c>
      <c r="G4989" s="4">
        <v>3</v>
      </c>
      <c r="H4989" s="1">
        <v>99461</v>
      </c>
      <c r="I4989" s="3" t="s">
        <v>21</v>
      </c>
      <c r="J4989" s="4">
        <v>1</v>
      </c>
    </row>
    <row r="4990" spans="1:10" x14ac:dyDescent="0.35">
      <c r="A4990" s="2" t="s">
        <v>5026</v>
      </c>
      <c r="B4990" s="4">
        <v>13</v>
      </c>
      <c r="C4990" t="s">
        <v>11</v>
      </c>
      <c r="D4990" t="s">
        <v>39</v>
      </c>
      <c r="E4990" t="s">
        <v>53</v>
      </c>
      <c r="F4990" t="s">
        <v>14</v>
      </c>
      <c r="G4990" s="4">
        <v>13</v>
      </c>
      <c r="H4990" s="1">
        <v>62392</v>
      </c>
      <c r="I4990" s="3" t="s">
        <v>15</v>
      </c>
      <c r="J4990" s="4">
        <v>5</v>
      </c>
    </row>
    <row r="4991" spans="1:10" x14ac:dyDescent="0.35">
      <c r="A4991" s="2" t="s">
        <v>5027</v>
      </c>
      <c r="B4991" s="4">
        <v>15</v>
      </c>
      <c r="C4991" t="s">
        <v>17</v>
      </c>
      <c r="D4991" t="s">
        <v>33</v>
      </c>
      <c r="E4991" t="s">
        <v>42</v>
      </c>
      <c r="F4991" t="s">
        <v>30</v>
      </c>
      <c r="G4991" s="4">
        <v>14</v>
      </c>
      <c r="H4991" s="1">
        <v>28385</v>
      </c>
      <c r="I4991" s="3" t="s">
        <v>21</v>
      </c>
      <c r="J4991" s="4">
        <v>1</v>
      </c>
    </row>
    <row r="4992" spans="1:10" x14ac:dyDescent="0.35">
      <c r="A4992" s="2" t="s">
        <v>5028</v>
      </c>
      <c r="B4992" s="4">
        <v>61</v>
      </c>
      <c r="C4992" t="s">
        <v>17</v>
      </c>
      <c r="D4992" t="s">
        <v>26</v>
      </c>
      <c r="E4992" t="s">
        <v>53</v>
      </c>
      <c r="F4992" t="s">
        <v>30</v>
      </c>
      <c r="G4992" s="4">
        <v>11</v>
      </c>
      <c r="H4992" s="1">
        <v>40604</v>
      </c>
      <c r="I4992" s="3" t="s">
        <v>21</v>
      </c>
      <c r="J4992" s="4">
        <v>5</v>
      </c>
    </row>
    <row r="4993" spans="1:10" x14ac:dyDescent="0.35">
      <c r="A4993" s="2" t="s">
        <v>5029</v>
      </c>
      <c r="B4993" s="4">
        <v>39</v>
      </c>
      <c r="C4993" t="s">
        <v>11</v>
      </c>
      <c r="D4993" t="s">
        <v>26</v>
      </c>
      <c r="E4993" t="s">
        <v>34</v>
      </c>
      <c r="F4993" t="s">
        <v>14</v>
      </c>
      <c r="G4993" s="4">
        <v>1</v>
      </c>
      <c r="H4993" s="1">
        <v>73126</v>
      </c>
      <c r="I4993" s="3" t="s">
        <v>15</v>
      </c>
      <c r="J4993" s="4">
        <v>4</v>
      </c>
    </row>
    <row r="4994" spans="1:10" x14ac:dyDescent="0.35">
      <c r="A4994" s="2" t="s">
        <v>5030</v>
      </c>
      <c r="B4994" s="4">
        <v>69</v>
      </c>
      <c r="C4994" t="s">
        <v>17</v>
      </c>
      <c r="D4994" t="s">
        <v>23</v>
      </c>
      <c r="E4994" t="s">
        <v>24</v>
      </c>
      <c r="F4994" t="s">
        <v>20</v>
      </c>
      <c r="G4994" s="4">
        <v>10</v>
      </c>
      <c r="H4994" s="1">
        <v>41995</v>
      </c>
      <c r="I4994" s="3" t="s">
        <v>21</v>
      </c>
      <c r="J4994" s="4">
        <v>2</v>
      </c>
    </row>
    <row r="4995" spans="1:10" x14ac:dyDescent="0.35">
      <c r="A4995" s="2" t="s">
        <v>5031</v>
      </c>
      <c r="B4995" s="4">
        <v>63</v>
      </c>
      <c r="C4995" t="s">
        <v>11</v>
      </c>
      <c r="D4995" t="s">
        <v>49</v>
      </c>
      <c r="E4995" t="s">
        <v>53</v>
      </c>
      <c r="F4995" t="s">
        <v>14</v>
      </c>
      <c r="G4995" s="4">
        <v>1</v>
      </c>
      <c r="H4995" s="1">
        <v>65876</v>
      </c>
      <c r="I4995" s="3" t="s">
        <v>15</v>
      </c>
      <c r="J4995" s="4">
        <v>5</v>
      </c>
    </row>
    <row r="4996" spans="1:10" x14ac:dyDescent="0.35">
      <c r="A4996" s="2" t="s">
        <v>5032</v>
      </c>
      <c r="B4996" s="4">
        <v>81</v>
      </c>
      <c r="C4996" t="s">
        <v>11</v>
      </c>
      <c r="D4996" t="s">
        <v>41</v>
      </c>
      <c r="E4996" t="s">
        <v>27</v>
      </c>
      <c r="F4996" t="s">
        <v>20</v>
      </c>
      <c r="G4996" s="4">
        <v>12</v>
      </c>
      <c r="H4996" s="1">
        <v>63731</v>
      </c>
      <c r="I4996" s="3" t="s">
        <v>21</v>
      </c>
      <c r="J4996" s="4">
        <v>5</v>
      </c>
    </row>
    <row r="4997" spans="1:10" x14ac:dyDescent="0.35">
      <c r="A4997" s="2" t="s">
        <v>5033</v>
      </c>
      <c r="B4997" s="4">
        <v>6</v>
      </c>
      <c r="C4997" t="s">
        <v>17</v>
      </c>
      <c r="D4997" t="s">
        <v>49</v>
      </c>
      <c r="E4997" t="s">
        <v>27</v>
      </c>
      <c r="F4997" t="s">
        <v>30</v>
      </c>
      <c r="G4997" s="4">
        <v>2</v>
      </c>
      <c r="H4997" s="1">
        <v>54561</v>
      </c>
      <c r="I4997" s="3" t="s">
        <v>21</v>
      </c>
      <c r="J4997" s="4">
        <v>4</v>
      </c>
    </row>
    <row r="4998" spans="1:10" x14ac:dyDescent="0.35">
      <c r="A4998" s="2" t="s">
        <v>5034</v>
      </c>
      <c r="B4998" s="4">
        <v>82</v>
      </c>
      <c r="C4998" t="s">
        <v>17</v>
      </c>
      <c r="D4998" t="s">
        <v>49</v>
      </c>
      <c r="E4998" t="s">
        <v>53</v>
      </c>
      <c r="F4998" t="s">
        <v>20</v>
      </c>
      <c r="G4998" s="4">
        <v>7</v>
      </c>
      <c r="H4998" s="1">
        <v>92533</v>
      </c>
      <c r="I4998" s="3" t="s">
        <v>21</v>
      </c>
      <c r="J4998" s="4">
        <v>4</v>
      </c>
    </row>
    <row r="4999" spans="1:10" x14ac:dyDescent="0.35">
      <c r="A4999" s="2" t="s">
        <v>5035</v>
      </c>
      <c r="B4999" s="4">
        <v>58</v>
      </c>
      <c r="C4999" t="s">
        <v>17</v>
      </c>
      <c r="D4999" t="s">
        <v>12</v>
      </c>
      <c r="E4999" t="s">
        <v>24</v>
      </c>
      <c r="F4999" t="s">
        <v>14</v>
      </c>
      <c r="G4999" s="4">
        <v>5</v>
      </c>
      <c r="H4999" s="1">
        <v>58959</v>
      </c>
      <c r="I4999" s="3" t="s">
        <v>21</v>
      </c>
      <c r="J4999" s="4">
        <v>3</v>
      </c>
    </row>
    <row r="5000" spans="1:10" x14ac:dyDescent="0.35">
      <c r="A5000" s="2" t="s">
        <v>5036</v>
      </c>
      <c r="B5000" s="4">
        <v>28</v>
      </c>
      <c r="C5000" t="s">
        <v>17</v>
      </c>
      <c r="D5000" t="s">
        <v>23</v>
      </c>
      <c r="E5000" t="s">
        <v>42</v>
      </c>
      <c r="F5000" t="s">
        <v>14</v>
      </c>
      <c r="G5000" s="4">
        <v>5</v>
      </c>
      <c r="H5000" s="1">
        <v>81629</v>
      </c>
      <c r="I5000" s="3" t="s">
        <v>21</v>
      </c>
      <c r="J5000" s="4">
        <v>1</v>
      </c>
    </row>
    <row r="5001" spans="1:10" x14ac:dyDescent="0.35">
      <c r="A5001" s="2" t="s">
        <v>25</v>
      </c>
      <c r="B5001" s="4">
        <v>88</v>
      </c>
      <c r="C5001" t="s">
        <v>17</v>
      </c>
      <c r="D5001" t="s">
        <v>41</v>
      </c>
      <c r="E5001" t="s">
        <v>42</v>
      </c>
      <c r="F5001" t="s">
        <v>30</v>
      </c>
      <c r="G5001" s="4">
        <v>9</v>
      </c>
      <c r="H5001" s="1">
        <v>9267</v>
      </c>
      <c r="I5001" s="3" t="s">
        <v>15</v>
      </c>
      <c r="J5001" s="4">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F018-4495-4B6C-9D9A-1759D9EE7607}">
  <dimension ref="A1:C7"/>
  <sheetViews>
    <sheetView workbookViewId="0">
      <selection sqref="A1:B7"/>
    </sheetView>
  </sheetViews>
  <sheetFormatPr defaultRowHeight="14.5" x14ac:dyDescent="0.35"/>
  <cols>
    <col min="1" max="1" width="26.36328125" customWidth="1"/>
    <col min="2" max="2" width="52.36328125" customWidth="1"/>
    <col min="3" max="3" width="26.36328125" customWidth="1"/>
  </cols>
  <sheetData>
    <row r="1" spans="1:3" x14ac:dyDescent="0.35">
      <c r="A1" s="9" t="s">
        <v>5048</v>
      </c>
      <c r="B1" s="9" t="s">
        <v>5049</v>
      </c>
      <c r="C1" s="9" t="s">
        <v>5050</v>
      </c>
    </row>
    <row r="2" spans="1:3" x14ac:dyDescent="0.35">
      <c r="A2" t="s">
        <v>5055</v>
      </c>
      <c r="B2">
        <f>COUNTA(data!A2:A5001)</f>
        <v>5000</v>
      </c>
      <c r="C2" t="s">
        <v>5051</v>
      </c>
    </row>
    <row r="3" spans="1:3" x14ac:dyDescent="0.35">
      <c r="A3" t="s">
        <v>5056</v>
      </c>
      <c r="B3" s="1">
        <f>SUM(data!H2:H5001)</f>
        <v>265471058</v>
      </c>
      <c r="C3" t="s">
        <v>5053</v>
      </c>
    </row>
    <row r="4" spans="1:3" x14ac:dyDescent="0.35">
      <c r="A4" t="s">
        <v>5057</v>
      </c>
      <c r="B4" s="1">
        <f>AVERAGE(data!H2:H5001)</f>
        <v>53094.211600000002</v>
      </c>
      <c r="C4" t="s">
        <v>5052</v>
      </c>
    </row>
    <row r="5" spans="1:3" x14ac:dyDescent="0.35">
      <c r="A5" t="s">
        <v>5058</v>
      </c>
      <c r="B5" s="4">
        <f>AVERAGE(data!G2:G5001)</f>
        <v>7.9398</v>
      </c>
      <c r="C5" t="s">
        <v>5052</v>
      </c>
    </row>
    <row r="6" spans="1:3" x14ac:dyDescent="0.35">
      <c r="A6" t="s">
        <v>5059</v>
      </c>
      <c r="B6" s="10">
        <f>COUNTIF(data!I:I,"No")</f>
        <v>2481</v>
      </c>
      <c r="C6" t="s">
        <v>5054</v>
      </c>
    </row>
    <row r="7" spans="1:3" x14ac:dyDescent="0.35">
      <c r="A7" t="s">
        <v>5060</v>
      </c>
      <c r="B7" s="4">
        <f>AVERAGE(data!J2:J5001)</f>
        <v>2.9882</v>
      </c>
      <c r="C7" t="s">
        <v>5052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C6C7F-C587-42B3-BA4C-7A2649830CA3}">
  <dimension ref="A1:B17"/>
  <sheetViews>
    <sheetView workbookViewId="0">
      <selection activeCell="F10" sqref="F10"/>
    </sheetView>
  </sheetViews>
  <sheetFormatPr defaultRowHeight="14.5" x14ac:dyDescent="0.35"/>
  <cols>
    <col min="1" max="1" width="33.81640625" customWidth="1"/>
    <col min="2" max="2" width="51.7265625" customWidth="1"/>
  </cols>
  <sheetData>
    <row r="1" spans="1:2" x14ac:dyDescent="0.35">
      <c r="A1" s="9" t="s">
        <v>5061</v>
      </c>
      <c r="B1" s="9" t="s">
        <v>5049</v>
      </c>
    </row>
    <row r="2" spans="1:2" x14ac:dyDescent="0.35">
      <c r="A2" t="s">
        <v>5062</v>
      </c>
      <c r="B2">
        <f>COUNTIF(data!D:D,"Gastroenterology")</f>
        <v>485</v>
      </c>
    </row>
    <row r="3" spans="1:2" x14ac:dyDescent="0.35">
      <c r="A3" t="s">
        <v>5063</v>
      </c>
      <c r="B3">
        <f>COUNTIF(data!D:D,"Orthopedics")</f>
        <v>510</v>
      </c>
    </row>
    <row r="4" spans="1:2" x14ac:dyDescent="0.35">
      <c r="A4" t="s">
        <v>5064</v>
      </c>
      <c r="B4">
        <f>COUNTIF(data!D:D,"Pediatrics")</f>
        <v>501</v>
      </c>
    </row>
    <row r="5" spans="1:2" x14ac:dyDescent="0.35">
      <c r="A5" t="s">
        <v>5065</v>
      </c>
      <c r="B5">
        <f>COUNTIF(data!D:D,"ENT")</f>
        <v>485</v>
      </c>
    </row>
    <row r="6" spans="1:2" x14ac:dyDescent="0.35">
      <c r="A6" t="s">
        <v>5066</v>
      </c>
      <c r="B6">
        <f>COUNTIF(data!D:D,"Dermatology")</f>
        <v>493</v>
      </c>
    </row>
    <row r="7" spans="1:2" x14ac:dyDescent="0.35">
      <c r="A7" t="s">
        <v>5067</v>
      </c>
      <c r="B7">
        <f>COUNTIF(data!D:D,"Dermatology")</f>
        <v>493</v>
      </c>
    </row>
    <row r="8" spans="1:2" x14ac:dyDescent="0.35">
      <c r="A8" t="s">
        <v>5068</v>
      </c>
      <c r="B8">
        <f>COUNTIF(data!D:D,"Oncology")</f>
        <v>509</v>
      </c>
    </row>
    <row r="9" spans="1:2" x14ac:dyDescent="0.35">
      <c r="A9" t="s">
        <v>5069</v>
      </c>
      <c r="B9">
        <f>COUNTIF(data!D:D,"General Medicine")</f>
        <v>483</v>
      </c>
    </row>
    <row r="10" spans="1:2" x14ac:dyDescent="0.35">
      <c r="A10" t="s">
        <v>5070</v>
      </c>
      <c r="B10">
        <f>COUNTIF(data!D:D,"Neurology")</f>
        <v>487</v>
      </c>
    </row>
    <row r="11" spans="1:2" x14ac:dyDescent="0.35">
      <c r="A11" t="s">
        <v>5071</v>
      </c>
      <c r="B11">
        <f>COUNTIF(data!I:I,"Yes")</f>
        <v>2519</v>
      </c>
    </row>
    <row r="12" spans="1:2" x14ac:dyDescent="0.35">
      <c r="A12" t="s">
        <v>5072</v>
      </c>
      <c r="B12">
        <f>COUNTIF(data!I:I,"No")</f>
        <v>2481</v>
      </c>
    </row>
    <row r="13" spans="1:2" x14ac:dyDescent="0.35">
      <c r="A13" t="s">
        <v>5073</v>
      </c>
      <c r="B13">
        <f>AVERAGEIF(data!D:D,"Gastroenterology",data!H:H)</f>
        <v>53838.255670103092</v>
      </c>
    </row>
    <row r="14" spans="1:2" x14ac:dyDescent="0.35">
      <c r="A14" t="s">
        <v>5074</v>
      </c>
      <c r="B14">
        <f>AVERAGEIF(data!D:D,"Orthopedics",data!H:H)</f>
        <v>53658.631372549018</v>
      </c>
    </row>
    <row r="15" spans="1:2" x14ac:dyDescent="0.35">
      <c r="A15" t="s">
        <v>5075</v>
      </c>
      <c r="B15">
        <f>AVERAGEIF(data!D:D,"Cardiology",data!H:H)</f>
        <v>54085.682080924853</v>
      </c>
    </row>
    <row r="16" spans="1:2" x14ac:dyDescent="0.35">
      <c r="A16" t="s">
        <v>5076</v>
      </c>
      <c r="B16" s="1">
        <f>MAX(data!H:H)</f>
        <v>99997</v>
      </c>
    </row>
    <row r="17" spans="1:2" x14ac:dyDescent="0.35">
      <c r="A17" t="s">
        <v>5077</v>
      </c>
      <c r="B17" s="1">
        <f>MIN(data!H:H)</f>
        <v>5031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8FFB-5A1A-4F41-AE9E-00C8D3365B97}">
  <dimension ref="A1:T90"/>
  <sheetViews>
    <sheetView showGridLines="0" tabSelected="1" workbookViewId="0">
      <selection sqref="A1:T3"/>
    </sheetView>
  </sheetViews>
  <sheetFormatPr defaultRowHeight="14.5" x14ac:dyDescent="0.35"/>
  <cols>
    <col min="1" max="16384" width="8.7265625" style="15"/>
  </cols>
  <sheetData>
    <row r="1" spans="1:20" x14ac:dyDescent="0.35">
      <c r="A1" s="14" t="s">
        <v>5080</v>
      </c>
      <c r="B1" s="12"/>
      <c r="C1" s="12"/>
      <c r="D1" s="12"/>
      <c r="E1" s="12"/>
      <c r="F1" s="12"/>
      <c r="G1" s="12"/>
      <c r="H1" s="12"/>
      <c r="I1" s="12"/>
      <c r="J1" s="12"/>
      <c r="K1" s="12"/>
      <c r="L1" s="12"/>
      <c r="M1" s="12"/>
      <c r="N1" s="12"/>
      <c r="O1" s="12"/>
      <c r="P1" s="12"/>
      <c r="Q1" s="12"/>
      <c r="R1" s="12"/>
      <c r="S1" s="12"/>
      <c r="T1" s="12"/>
    </row>
    <row r="2" spans="1:20" x14ac:dyDescent="0.35">
      <c r="A2" s="12"/>
      <c r="B2" s="12"/>
      <c r="C2" s="12"/>
      <c r="D2" s="12"/>
      <c r="E2" s="12"/>
      <c r="F2" s="12"/>
      <c r="G2" s="12"/>
      <c r="H2" s="12"/>
      <c r="I2" s="12"/>
      <c r="J2" s="12"/>
      <c r="K2" s="12"/>
      <c r="L2" s="12"/>
      <c r="M2" s="12"/>
      <c r="N2" s="12"/>
      <c r="O2" s="12"/>
      <c r="P2" s="12"/>
      <c r="Q2" s="12"/>
      <c r="R2" s="12"/>
      <c r="S2" s="12"/>
      <c r="T2" s="12"/>
    </row>
    <row r="3" spans="1:20" x14ac:dyDescent="0.35">
      <c r="A3" s="12"/>
      <c r="B3" s="12"/>
      <c r="C3" s="12"/>
      <c r="D3" s="12"/>
      <c r="E3" s="12"/>
      <c r="F3" s="12"/>
      <c r="G3" s="12"/>
      <c r="H3" s="12"/>
      <c r="I3" s="12"/>
      <c r="J3" s="12"/>
      <c r="K3" s="12"/>
      <c r="L3" s="12"/>
      <c r="M3" s="12"/>
      <c r="N3" s="12"/>
      <c r="O3" s="12"/>
      <c r="P3" s="12"/>
      <c r="Q3" s="12"/>
      <c r="R3" s="12"/>
      <c r="S3" s="12"/>
      <c r="T3" s="12"/>
    </row>
    <row r="4" spans="1:20" x14ac:dyDescent="0.35">
      <c r="B4" s="15" t="s">
        <v>5081</v>
      </c>
      <c r="E4" s="15" t="s">
        <v>5082</v>
      </c>
      <c r="I4" s="15" t="s">
        <v>5084</v>
      </c>
      <c r="M4" s="15" t="s">
        <v>5086</v>
      </c>
      <c r="Q4" s="15" t="s">
        <v>5087</v>
      </c>
    </row>
    <row r="5" spans="1:20" x14ac:dyDescent="0.35">
      <c r="B5" s="12">
        <v>5000</v>
      </c>
      <c r="C5" s="12"/>
      <c r="E5" s="12" t="s">
        <v>5083</v>
      </c>
      <c r="F5" s="12"/>
      <c r="G5" s="12"/>
      <c r="I5" s="12" t="s">
        <v>5085</v>
      </c>
      <c r="J5" s="12"/>
      <c r="K5" s="12"/>
      <c r="M5" s="16">
        <v>0.496</v>
      </c>
      <c r="N5" s="16"/>
      <c r="O5" s="16"/>
      <c r="Q5" s="12" t="s">
        <v>5088</v>
      </c>
      <c r="R5" s="12"/>
      <c r="S5" s="12"/>
    </row>
    <row r="6" spans="1:20" x14ac:dyDescent="0.35">
      <c r="B6" s="12"/>
      <c r="C6" s="12"/>
      <c r="E6" s="12"/>
      <c r="F6" s="12"/>
      <c r="G6" s="12"/>
      <c r="I6" s="12"/>
      <c r="J6" s="12"/>
      <c r="K6" s="12"/>
      <c r="M6" s="12"/>
      <c r="N6" s="12"/>
      <c r="O6" s="12"/>
      <c r="Q6" s="12"/>
      <c r="R6" s="12"/>
      <c r="S6" s="12"/>
    </row>
    <row r="8" spans="1:20" x14ac:dyDescent="0.35">
      <c r="A8" s="11" t="s">
        <v>5089</v>
      </c>
      <c r="B8" s="12"/>
      <c r="C8" s="12"/>
      <c r="D8" s="12"/>
      <c r="E8" s="12"/>
      <c r="F8" s="12"/>
      <c r="G8" s="12"/>
      <c r="I8" s="17" t="s">
        <v>5090</v>
      </c>
      <c r="J8" s="12"/>
      <c r="K8" s="12"/>
      <c r="L8" s="12"/>
      <c r="M8" s="12"/>
      <c r="N8" s="12"/>
      <c r="O8" s="12"/>
    </row>
    <row r="9" spans="1:20" x14ac:dyDescent="0.35">
      <c r="A9" s="12"/>
      <c r="B9" s="12"/>
      <c r="C9" s="12"/>
      <c r="D9" s="12"/>
      <c r="E9" s="12"/>
      <c r="F9" s="12"/>
      <c r="G9" s="12"/>
      <c r="I9" s="12"/>
      <c r="J9" s="12"/>
      <c r="K9" s="12"/>
      <c r="L9" s="12"/>
      <c r="M9" s="12"/>
      <c r="N9" s="12"/>
      <c r="O9" s="12"/>
    </row>
    <row r="27" spans="1:15" x14ac:dyDescent="0.35">
      <c r="A27" s="17" t="s">
        <v>5091</v>
      </c>
      <c r="B27" s="12"/>
      <c r="C27" s="12"/>
      <c r="D27" s="12"/>
      <c r="E27" s="12"/>
      <c r="F27" s="12"/>
      <c r="G27" s="12"/>
      <c r="I27" s="17" t="s">
        <v>5092</v>
      </c>
      <c r="J27" s="12"/>
      <c r="K27" s="12"/>
      <c r="L27" s="12"/>
      <c r="M27" s="12"/>
      <c r="N27" s="12"/>
      <c r="O27" s="12"/>
    </row>
    <row r="28" spans="1:15" x14ac:dyDescent="0.35">
      <c r="A28" s="12"/>
      <c r="B28" s="12"/>
      <c r="C28" s="12"/>
      <c r="D28" s="12"/>
      <c r="E28" s="12"/>
      <c r="F28" s="12"/>
      <c r="G28" s="12"/>
      <c r="I28" s="12"/>
      <c r="J28" s="12"/>
      <c r="K28" s="12"/>
      <c r="L28" s="12"/>
      <c r="M28" s="12"/>
      <c r="N28" s="12"/>
      <c r="O28" s="12"/>
    </row>
    <row r="48" spans="1:7" x14ac:dyDescent="0.35">
      <c r="A48" s="11" t="s">
        <v>5093</v>
      </c>
      <c r="B48" s="12"/>
      <c r="C48" s="12"/>
      <c r="D48" s="12"/>
      <c r="E48" s="12"/>
      <c r="F48" s="12"/>
      <c r="G48" s="12"/>
    </row>
    <row r="49" spans="1:7" x14ac:dyDescent="0.35">
      <c r="A49" s="12"/>
      <c r="B49" s="12"/>
      <c r="C49" s="12"/>
      <c r="D49" s="12"/>
      <c r="E49" s="12"/>
      <c r="F49" s="12"/>
      <c r="G49" s="12"/>
    </row>
    <row r="68" spans="1:7" x14ac:dyDescent="0.35">
      <c r="A68" s="18" t="s">
        <v>5094</v>
      </c>
      <c r="B68" s="12"/>
      <c r="C68" s="12"/>
      <c r="D68" s="12"/>
      <c r="E68" s="12"/>
      <c r="F68" s="12"/>
      <c r="G68" s="12"/>
    </row>
    <row r="69" spans="1:7" x14ac:dyDescent="0.35">
      <c r="A69" s="12"/>
      <c r="B69" s="12"/>
      <c r="C69" s="12"/>
      <c r="D69" s="12"/>
      <c r="E69" s="12"/>
      <c r="F69" s="12"/>
      <c r="G69" s="12"/>
    </row>
    <row r="89" spans="1:7" x14ac:dyDescent="0.35">
      <c r="A89" s="18" t="s">
        <v>5095</v>
      </c>
      <c r="B89" s="12"/>
      <c r="C89" s="12"/>
      <c r="D89" s="12"/>
      <c r="E89" s="12"/>
      <c r="F89" s="12"/>
      <c r="G89" s="12"/>
    </row>
    <row r="90" spans="1:7" x14ac:dyDescent="0.35">
      <c r="A90" s="12"/>
      <c r="B90" s="12"/>
      <c r="C90" s="12"/>
      <c r="D90" s="12"/>
      <c r="E90" s="12"/>
      <c r="F90" s="12"/>
      <c r="G90" s="12"/>
    </row>
  </sheetData>
  <mergeCells count="17">
    <mergeCell ref="A68:G69"/>
    <mergeCell ref="A89:G90"/>
    <mergeCell ref="Q5:S6"/>
    <mergeCell ref="A8:G9"/>
    <mergeCell ref="I8:O9"/>
    <mergeCell ref="A27:G28"/>
    <mergeCell ref="I27:O28"/>
    <mergeCell ref="A48:G49"/>
    <mergeCell ref="A1:T3"/>
    <mergeCell ref="B5:C5"/>
    <mergeCell ref="B6:C6"/>
    <mergeCell ref="E5:G5"/>
    <mergeCell ref="E6:G6"/>
    <mergeCell ref="I5:K5"/>
    <mergeCell ref="I6:K6"/>
    <mergeCell ref="M5:O5"/>
    <mergeCell ref="M6:O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pivot</vt:lpstr>
      <vt:lpstr>data</vt:lpstr>
      <vt:lpstr>KPI_</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Selfish Girl</dc:creator>
  <cp:lastModifiedBy>Selfish Girl</cp:lastModifiedBy>
  <dcterms:created xsi:type="dcterms:W3CDTF">2026-07-21T16:55:07Z</dcterms:created>
  <dcterms:modified xsi:type="dcterms:W3CDTF">2026-08-03T10:41:00Z</dcterms:modified>
</cp:coreProperties>
</file>